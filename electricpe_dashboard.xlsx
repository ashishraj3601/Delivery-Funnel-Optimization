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drawings/drawing2.xml" ContentType="application/vnd.openxmlformats-officedocument.drawing+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slicers/slicer1.xml" ContentType="application/vnd.ms-excel.slicer+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Ex1.xml" ContentType="application/vnd.ms-office.chartex+xml"/>
  <Override PartName="/xl/charts/style12.xml" ContentType="application/vnd.ms-office.chartstyle+xml"/>
  <Override PartName="/xl/charts/colors12.xml" ContentType="application/vnd.ms-office.chartcolorstyle+xml"/>
  <Override PartName="/xl/charts/chart12.xml" ContentType="application/vnd.openxmlformats-officedocument.drawingml.chart+xml"/>
  <Override PartName="/xl/charts/style13.xml" ContentType="application/vnd.ms-office.chartstyle+xml"/>
  <Override PartName="/xl/charts/colors13.xml" ContentType="application/vnd.ms-office.chartcolorstyle+xml"/>
  <Override PartName="/xl/charts/chart13.xml" ContentType="application/vnd.openxmlformats-officedocument.drawingml.chart+xml"/>
  <Override PartName="/xl/charts/style14.xml" ContentType="application/vnd.ms-office.chartstyle+xml"/>
  <Override PartName="/xl/charts/colors14.xml" ContentType="application/vnd.ms-office.chartcolorstyle+xml"/>
  <Override PartName="/xl/charts/chart14.xml" ContentType="application/vnd.openxmlformats-officedocument.drawingml.chart+xml"/>
  <Override PartName="/xl/charts/style15.xml" ContentType="application/vnd.ms-office.chartstyle+xml"/>
  <Override PartName="/xl/charts/colors15.xml" ContentType="application/vnd.ms-office.chartcolorstyle+xml"/>
  <Override PartName="/xl/charts/chartEx2.xml" ContentType="application/vnd.ms-office.chartex+xml"/>
  <Override PartName="/xl/charts/style16.xml" ContentType="application/vnd.ms-office.chartstyle+xml"/>
  <Override PartName="/xl/charts/colors16.xml" ContentType="application/vnd.ms-office.chartcolorstyle+xml"/>
  <Override PartName="/xl/charts/chart15.xml" ContentType="application/vnd.openxmlformats-officedocument.drawingml.chart+xml"/>
  <Override PartName="/xl/charts/style17.xml" ContentType="application/vnd.ms-office.chartstyle+xml"/>
  <Override PartName="/xl/charts/colors17.xml" ContentType="application/vnd.ms-office.chartcolorstyle+xml"/>
  <Override PartName="/xl/charts/chart16.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slicers/slicer2.xml" ContentType="application/vnd.ms-excel.slicer+xml"/>
  <Override PartName="/xl/charts/chartEx3.xml" ContentType="application/vnd.ms-office.chartex+xml"/>
  <Override PartName="/xl/charts/style19.xml" ContentType="application/vnd.ms-office.chartstyle+xml"/>
  <Override PartName="/xl/charts/colors19.xml" ContentType="application/vnd.ms-office.chartcolorstyle+xml"/>
  <Override PartName="/xl/charts/chart17.xml" ContentType="application/vnd.openxmlformats-officedocument.drawingml.chart+xml"/>
  <Override PartName="/xl/charts/style20.xml" ContentType="application/vnd.ms-office.chartstyle+xml"/>
  <Override PartName="/xl/charts/colors20.xml" ContentType="application/vnd.ms-office.chartcolorstyle+xml"/>
  <Override PartName="/xl/charts/chart18.xml" ContentType="application/vnd.openxmlformats-officedocument.drawingml.chart+xml"/>
  <Override PartName="/xl/charts/style21.xml" ContentType="application/vnd.ms-office.chartstyle+xml"/>
  <Override PartName="/xl/charts/colors21.xml" ContentType="application/vnd.ms-office.chartcolorstyle+xml"/>
  <Override PartName="/xl/charts/chart19.xml" ContentType="application/vnd.openxmlformats-officedocument.drawingml.chart+xml"/>
  <Override PartName="/xl/charts/style22.xml" ContentType="application/vnd.ms-office.chartstyle+xml"/>
  <Override PartName="/xl/charts/colors22.xml" ContentType="application/vnd.ms-office.chartcolorstyle+xml"/>
  <Override PartName="/xl/charts/chart20.xml" ContentType="application/vnd.openxmlformats-officedocument.drawingml.chart+xml"/>
  <Override PartName="/xl/charts/style23.xml" ContentType="application/vnd.ms-office.chartstyle+xml"/>
  <Override PartName="/xl/charts/colors23.xml" ContentType="application/vnd.ms-office.chartcolorstyle+xml"/>
  <Override PartName="/xl/charts/chart21.xml" ContentType="application/vnd.openxmlformats-officedocument.drawingml.chart+xml"/>
  <Override PartName="/xl/charts/style24.xml" ContentType="application/vnd.ms-office.chartstyle+xml"/>
  <Override PartName="/xl/charts/colors24.xml" ContentType="application/vnd.ms-office.chartcolorstyle+xml"/>
  <Override PartName="/xl/charts/chart22.xml" ContentType="application/vnd.openxmlformats-officedocument.drawingml.chart+xml"/>
  <Override PartName="/xl/charts/chart23.xml" ContentType="application/vnd.openxmlformats-officedocument.drawingml.chart+xml"/>
  <Override PartName="/xl/charts/chartEx4.xml" ContentType="application/vnd.ms-office.chartex+xml"/>
  <Override PartName="/xl/charts/style25.xml" ContentType="application/vnd.ms-office.chartstyle+xml"/>
  <Override PartName="/xl/charts/colors25.xml" ContentType="application/vnd.ms-office.chartcolorstyle+xml"/>
  <Override PartName="/xl/charts/chart24.xml" ContentType="application/vnd.openxmlformats-officedocument.drawingml.chart+xml"/>
  <Override PartName="/xl/charts/style26.xml" ContentType="application/vnd.ms-office.chartstyle+xml"/>
  <Override PartName="/xl/charts/colors26.xml" ContentType="application/vnd.ms-office.chartcolorstyle+xml"/>
  <Override PartName="/xl/charts/chart25.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E:\desktopp1\VARSHA\rt\"/>
    </mc:Choice>
  </mc:AlternateContent>
  <xr:revisionPtr revIDLastSave="0" documentId="13_ncr:1_{24851FF0-9D14-4640-A0CA-B4A8D2B07451}" xr6:coauthVersionLast="47" xr6:coauthVersionMax="47" xr10:uidLastSave="{00000000-0000-0000-0000-000000000000}"/>
  <bookViews>
    <workbookView xWindow="-108" yWindow="-108" windowWidth="23256" windowHeight="12456" xr2:uid="{00000000-000D-0000-FFFF-FFFF00000000}"/>
  </bookViews>
  <sheets>
    <sheet name="data" sheetId="1" r:id="rId1"/>
    <sheet name="Analysis" sheetId="3" r:id="rId2"/>
    <sheet name="calculation" sheetId="5" r:id="rId3"/>
    <sheet name="Dashboard" sheetId="6" r:id="rId4"/>
  </sheets>
  <definedNames>
    <definedName name="_xlnm._FilterDatabase" localSheetId="0" hidden="1">data!$A$1:$P$1001</definedName>
    <definedName name="_xlchart.v1.2" hidden="1">calculation!$D$175:$D$178</definedName>
    <definedName name="_xlchart.v1.3" hidden="1">calculation!$E$174</definedName>
    <definedName name="_xlchart.v1.4" hidden="1">calculation!$E$175:$E$178</definedName>
    <definedName name="_xlchart.v1.7" hidden="1">calculation!$D$175:$D$178</definedName>
    <definedName name="_xlchart.v1.8" hidden="1">calculation!$E$174</definedName>
    <definedName name="_xlchart.v1.9" hidden="1">calculation!$E$175:$E$178</definedName>
    <definedName name="_xlchart.v2.0" hidden="1">calculation!$B$20:$E$20</definedName>
    <definedName name="_xlchart.v2.1" hidden="1">calculation!$B$21:$E$21</definedName>
    <definedName name="_xlchart.v2.5" hidden="1">calculation!$B$20:$E$20</definedName>
    <definedName name="_xlchart.v2.6" hidden="1">calculation!$B$21:$E$21</definedName>
    <definedName name="Slicer_Lead_Type">#N/A</definedName>
    <definedName name="Slicer_Store_Name1">#N/A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7" i="3" l="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2" i="1"/>
  <c r="D2" i="1"/>
  <c r="D3" i="1"/>
  <c r="D4" i="1"/>
  <c r="D5" i="1"/>
  <c r="D6" i="1"/>
  <c r="D7" i="1"/>
  <c r="D8" i="1"/>
  <c r="D9" i="1"/>
  <c r="D10" i="1"/>
  <c r="D11" i="1"/>
  <c r="D12" i="1"/>
  <c r="D13" i="1"/>
  <c r="D14" i="1"/>
  <c r="D15" i="1"/>
  <c r="D16" i="1"/>
  <c r="D17" i="1"/>
  <c r="D18" i="1"/>
  <c r="D19" i="1"/>
  <c r="D20" i="1"/>
  <c r="D21" i="1"/>
  <c r="D22" i="1"/>
  <c r="D23" i="1"/>
  <c r="D24" i="1"/>
  <c r="D25" i="1"/>
  <c r="D26" i="1"/>
  <c r="D27" i="1"/>
  <c r="D28" i="1"/>
  <c r="D29" i="1"/>
  <c r="D30" i="1"/>
  <c r="D31" i="1"/>
  <c r="D32" i="1"/>
  <c r="D33" i="1"/>
  <c r="D34" i="1"/>
  <c r="D35" i="1"/>
  <c r="D36" i="1"/>
  <c r="D37" i="1"/>
  <c r="D38" i="1"/>
  <c r="D39" i="1"/>
  <c r="D40" i="1"/>
  <c r="D41" i="1"/>
  <c r="D42" i="1"/>
  <c r="D43" i="1"/>
  <c r="D44" i="1"/>
  <c r="D45" i="1"/>
  <c r="D46" i="1"/>
  <c r="D47" i="1"/>
  <c r="D48" i="1"/>
  <c r="D49" i="1"/>
  <c r="D50" i="1"/>
  <c r="D51" i="1"/>
  <c r="D52" i="1"/>
  <c r="D53" i="1"/>
  <c r="D54" i="1"/>
  <c r="D55" i="1"/>
  <c r="D56" i="1"/>
  <c r="D57" i="1"/>
  <c r="D58" i="1"/>
  <c r="D59" i="1"/>
  <c r="D60" i="1"/>
  <c r="D61" i="1"/>
  <c r="D62" i="1"/>
  <c r="D63" i="1"/>
  <c r="D64" i="1"/>
  <c r="D65" i="1"/>
  <c r="D66" i="1"/>
  <c r="D67" i="1"/>
  <c r="D68" i="1"/>
  <c r="D69" i="1"/>
  <c r="D70" i="1"/>
  <c r="D71" i="1"/>
  <c r="D72" i="1"/>
  <c r="D73" i="1"/>
  <c r="D74" i="1"/>
  <c r="D75" i="1"/>
  <c r="D76" i="1"/>
  <c r="D77" i="1"/>
  <c r="D78" i="1"/>
  <c r="D79" i="1"/>
  <c r="D80" i="1"/>
  <c r="D81" i="1"/>
  <c r="D82" i="1"/>
  <c r="D83" i="1"/>
  <c r="D84" i="1"/>
  <c r="D85" i="1"/>
  <c r="D86" i="1"/>
  <c r="D87" i="1"/>
  <c r="D88" i="1"/>
  <c r="D89" i="1"/>
  <c r="D90" i="1"/>
  <c r="D91" i="1"/>
  <c r="D92" i="1"/>
  <c r="D93" i="1"/>
  <c r="D94" i="1"/>
  <c r="D95" i="1"/>
  <c r="D96" i="1"/>
  <c r="D97" i="1"/>
  <c r="D98" i="1"/>
  <c r="D99" i="1"/>
  <c r="D100" i="1"/>
  <c r="D101" i="1"/>
  <c r="D102" i="1"/>
  <c r="D103" i="1"/>
  <c r="D104" i="1"/>
  <c r="D105" i="1"/>
  <c r="D106" i="1"/>
  <c r="D107" i="1"/>
  <c r="D108" i="1"/>
  <c r="D109" i="1"/>
  <c r="D110" i="1"/>
  <c r="D111" i="1"/>
  <c r="D112" i="1"/>
  <c r="D113" i="1"/>
  <c r="D114" i="1"/>
  <c r="D115" i="1"/>
  <c r="D116" i="1"/>
  <c r="D117" i="1"/>
  <c r="D118" i="1"/>
  <c r="D119" i="1"/>
  <c r="D120" i="1"/>
  <c r="D121" i="1"/>
  <c r="D122" i="1"/>
  <c r="D123" i="1"/>
  <c r="D124" i="1"/>
  <c r="D125" i="1"/>
  <c r="D126" i="1"/>
  <c r="D127" i="1"/>
  <c r="D128" i="1"/>
  <c r="D129" i="1"/>
  <c r="D130" i="1"/>
  <c r="D131" i="1"/>
  <c r="D132" i="1"/>
  <c r="D133" i="1"/>
  <c r="D134" i="1"/>
  <c r="D135" i="1"/>
  <c r="D136" i="1"/>
  <c r="D137" i="1"/>
  <c r="D138" i="1"/>
  <c r="D139" i="1"/>
  <c r="D140" i="1"/>
  <c r="D141" i="1"/>
  <c r="D142" i="1"/>
  <c r="D143" i="1"/>
  <c r="D144" i="1"/>
  <c r="D145" i="1"/>
  <c r="D146" i="1"/>
  <c r="D147" i="1"/>
  <c r="D148" i="1"/>
  <c r="D149" i="1"/>
  <c r="D150" i="1"/>
  <c r="D151" i="1"/>
  <c r="D152" i="1"/>
  <c r="D153" i="1"/>
  <c r="D154" i="1"/>
  <c r="D155" i="1"/>
  <c r="D156" i="1"/>
  <c r="D157" i="1"/>
  <c r="D158" i="1"/>
  <c r="D159" i="1"/>
  <c r="D160" i="1"/>
  <c r="D161" i="1"/>
  <c r="D162" i="1"/>
  <c r="D163" i="1"/>
  <c r="D164" i="1"/>
  <c r="D165" i="1"/>
  <c r="D166" i="1"/>
  <c r="D167" i="1"/>
  <c r="D168" i="1"/>
  <c r="D169" i="1"/>
  <c r="D170" i="1"/>
  <c r="D171" i="1"/>
  <c r="D172" i="1"/>
  <c r="D173" i="1"/>
  <c r="D174" i="1"/>
  <c r="D175" i="1"/>
  <c r="D176" i="1"/>
  <c r="D177" i="1"/>
  <c r="D178" i="1"/>
  <c r="D179" i="1"/>
  <c r="D180" i="1"/>
  <c r="D181" i="1"/>
  <c r="D182" i="1"/>
  <c r="D183" i="1"/>
  <c r="D184" i="1"/>
  <c r="D185" i="1"/>
  <c r="D186" i="1"/>
  <c r="D187" i="1"/>
  <c r="D188" i="1"/>
  <c r="D189" i="1"/>
  <c r="D190" i="1"/>
  <c r="D191" i="1"/>
  <c r="D192" i="1"/>
  <c r="D193" i="1"/>
  <c r="D194" i="1"/>
  <c r="D195" i="1"/>
  <c r="D196" i="1"/>
  <c r="D197" i="1"/>
  <c r="D198" i="1"/>
  <c r="D199" i="1"/>
  <c r="D200" i="1"/>
  <c r="D201" i="1"/>
  <c r="D202" i="1"/>
  <c r="D203" i="1"/>
  <c r="D204" i="1"/>
  <c r="D205" i="1"/>
  <c r="D206" i="1"/>
  <c r="D207" i="1"/>
  <c r="D208" i="1"/>
  <c r="D209" i="1"/>
  <c r="D210" i="1"/>
  <c r="D211" i="1"/>
  <c r="D212" i="1"/>
  <c r="D213" i="1"/>
  <c r="D214" i="1"/>
  <c r="D215" i="1"/>
  <c r="D216" i="1"/>
  <c r="D217" i="1"/>
  <c r="D218" i="1"/>
  <c r="D219" i="1"/>
  <c r="D220" i="1"/>
  <c r="D221" i="1"/>
  <c r="D222" i="1"/>
  <c r="D223" i="1"/>
  <c r="D224" i="1"/>
  <c r="D225" i="1"/>
  <c r="D226" i="1"/>
  <c r="D227" i="1"/>
  <c r="D228" i="1"/>
  <c r="D229" i="1"/>
  <c r="D230" i="1"/>
  <c r="D231" i="1"/>
  <c r="D232" i="1"/>
  <c r="D233" i="1"/>
  <c r="D234" i="1"/>
  <c r="D235" i="1"/>
  <c r="D236" i="1"/>
  <c r="D237" i="1"/>
  <c r="D238" i="1"/>
  <c r="D239" i="1"/>
  <c r="D240" i="1"/>
  <c r="D241" i="1"/>
  <c r="D242" i="1"/>
  <c r="D243" i="1"/>
  <c r="D244" i="1"/>
  <c r="D245" i="1"/>
  <c r="D246" i="1"/>
  <c r="D247" i="1"/>
  <c r="D248" i="1"/>
  <c r="D249" i="1"/>
  <c r="D250" i="1"/>
  <c r="D251" i="1"/>
  <c r="D252" i="1"/>
  <c r="D253" i="1"/>
  <c r="D254" i="1"/>
  <c r="D255" i="1"/>
  <c r="D256" i="1"/>
  <c r="D257" i="1"/>
  <c r="D258" i="1"/>
  <c r="D259" i="1"/>
  <c r="D260" i="1"/>
  <c r="D261" i="1"/>
  <c r="D262" i="1"/>
  <c r="D263" i="1"/>
  <c r="D264" i="1"/>
  <c r="D265" i="1"/>
  <c r="D266" i="1"/>
  <c r="D267" i="1"/>
  <c r="D268" i="1"/>
  <c r="D269" i="1"/>
  <c r="D270" i="1"/>
  <c r="D271" i="1"/>
  <c r="D272" i="1"/>
  <c r="D273" i="1"/>
  <c r="D274" i="1"/>
  <c r="D275" i="1"/>
  <c r="D276" i="1"/>
  <c r="D277" i="1"/>
  <c r="D278" i="1"/>
  <c r="D279" i="1"/>
  <c r="D280" i="1"/>
  <c r="D281" i="1"/>
  <c r="D282" i="1"/>
  <c r="D283" i="1"/>
  <c r="D284" i="1"/>
  <c r="D285" i="1"/>
  <c r="D286" i="1"/>
  <c r="D287" i="1"/>
  <c r="D288" i="1"/>
  <c r="D289" i="1"/>
  <c r="D290" i="1"/>
  <c r="D291" i="1"/>
  <c r="D292" i="1"/>
  <c r="D293" i="1"/>
  <c r="D294" i="1"/>
  <c r="D295" i="1"/>
  <c r="D296" i="1"/>
  <c r="D297" i="1"/>
  <c r="D298" i="1"/>
  <c r="D299" i="1"/>
  <c r="D300" i="1"/>
  <c r="D301" i="1"/>
  <c r="D302" i="1"/>
  <c r="D303" i="1"/>
  <c r="D304" i="1"/>
  <c r="D305" i="1"/>
  <c r="D306" i="1"/>
  <c r="D307" i="1"/>
  <c r="D308" i="1"/>
  <c r="D309" i="1"/>
  <c r="D310" i="1"/>
  <c r="D311" i="1"/>
  <c r="D312" i="1"/>
  <c r="D313" i="1"/>
  <c r="D314" i="1"/>
  <c r="D315" i="1"/>
  <c r="D316" i="1"/>
  <c r="D317" i="1"/>
  <c r="D318" i="1"/>
  <c r="D319" i="1"/>
  <c r="D320" i="1"/>
  <c r="D321" i="1"/>
  <c r="D322" i="1"/>
  <c r="D323" i="1"/>
  <c r="D324" i="1"/>
  <c r="D325" i="1"/>
  <c r="D326" i="1"/>
  <c r="D327" i="1"/>
  <c r="D328" i="1"/>
  <c r="D329" i="1"/>
  <c r="D330" i="1"/>
  <c r="D331" i="1"/>
  <c r="D332" i="1"/>
  <c r="D333" i="1"/>
  <c r="D334" i="1"/>
  <c r="D335" i="1"/>
  <c r="D336" i="1"/>
  <c r="D337" i="1"/>
  <c r="D338" i="1"/>
  <c r="D339" i="1"/>
  <c r="D340" i="1"/>
  <c r="D341" i="1"/>
  <c r="D342" i="1"/>
  <c r="D343" i="1"/>
  <c r="D344" i="1"/>
  <c r="D345" i="1"/>
  <c r="D346" i="1"/>
  <c r="D347" i="1"/>
  <c r="D348" i="1"/>
  <c r="D349" i="1"/>
  <c r="D350" i="1"/>
  <c r="D351" i="1"/>
  <c r="D352" i="1"/>
  <c r="D353" i="1"/>
  <c r="D354" i="1"/>
  <c r="D355" i="1"/>
  <c r="D356" i="1"/>
  <c r="D357" i="1"/>
  <c r="D358" i="1"/>
  <c r="D359" i="1"/>
  <c r="D360" i="1"/>
  <c r="D361" i="1"/>
  <c r="D362" i="1"/>
  <c r="D363" i="1"/>
  <c r="D364" i="1"/>
  <c r="D365" i="1"/>
  <c r="D366" i="1"/>
  <c r="D367" i="1"/>
  <c r="D368" i="1"/>
  <c r="D369" i="1"/>
  <c r="D370" i="1"/>
  <c r="D371" i="1"/>
  <c r="D372" i="1"/>
  <c r="D373" i="1"/>
  <c r="D374" i="1"/>
  <c r="D375" i="1"/>
  <c r="D376" i="1"/>
  <c r="D377" i="1"/>
  <c r="D378" i="1"/>
  <c r="D379" i="1"/>
  <c r="D380" i="1"/>
  <c r="D381" i="1"/>
  <c r="D382" i="1"/>
  <c r="D383" i="1"/>
  <c r="D384" i="1"/>
  <c r="D385" i="1"/>
  <c r="D386" i="1"/>
  <c r="D387" i="1"/>
  <c r="D388" i="1"/>
  <c r="D389" i="1"/>
  <c r="D390" i="1"/>
  <c r="D391" i="1"/>
  <c r="D392" i="1"/>
  <c r="D393" i="1"/>
  <c r="D394" i="1"/>
  <c r="D395" i="1"/>
  <c r="D396" i="1"/>
  <c r="D397" i="1"/>
  <c r="D398" i="1"/>
  <c r="D399" i="1"/>
  <c r="D400" i="1"/>
  <c r="D401" i="1"/>
  <c r="D402" i="1"/>
  <c r="D403" i="1"/>
  <c r="D404" i="1"/>
  <c r="D405" i="1"/>
  <c r="D406" i="1"/>
  <c r="D407" i="1"/>
  <c r="D408" i="1"/>
  <c r="D409" i="1"/>
  <c r="D410" i="1"/>
  <c r="D411" i="1"/>
  <c r="D412" i="1"/>
  <c r="D413" i="1"/>
  <c r="D414" i="1"/>
  <c r="D415" i="1"/>
  <c r="D416" i="1"/>
  <c r="D417" i="1"/>
  <c r="D418" i="1"/>
  <c r="D419" i="1"/>
  <c r="D420" i="1"/>
  <c r="D421" i="1"/>
  <c r="D422" i="1"/>
  <c r="D423" i="1"/>
  <c r="D424" i="1"/>
  <c r="D425" i="1"/>
  <c r="D426" i="1"/>
  <c r="D427" i="1"/>
  <c r="D428" i="1"/>
  <c r="D429" i="1"/>
  <c r="D430" i="1"/>
  <c r="D431" i="1"/>
  <c r="D432" i="1"/>
  <c r="D433" i="1"/>
  <c r="D434" i="1"/>
  <c r="D435" i="1"/>
  <c r="D436" i="1"/>
  <c r="D437" i="1"/>
  <c r="D438" i="1"/>
  <c r="D439" i="1"/>
  <c r="D440" i="1"/>
  <c r="D441" i="1"/>
  <c r="D442" i="1"/>
  <c r="D443" i="1"/>
  <c r="D444" i="1"/>
  <c r="D445" i="1"/>
  <c r="D446" i="1"/>
  <c r="D447" i="1"/>
  <c r="D448" i="1"/>
  <c r="D449" i="1"/>
  <c r="D450" i="1"/>
  <c r="D451" i="1"/>
  <c r="D452" i="1"/>
  <c r="D453" i="1"/>
  <c r="D454" i="1"/>
  <c r="D455" i="1"/>
  <c r="D456" i="1"/>
  <c r="D457" i="1"/>
  <c r="D458" i="1"/>
  <c r="D459" i="1"/>
  <c r="D460" i="1"/>
  <c r="D461" i="1"/>
  <c r="D462" i="1"/>
  <c r="D463" i="1"/>
  <c r="D464" i="1"/>
  <c r="D465" i="1"/>
  <c r="D466" i="1"/>
  <c r="D467" i="1"/>
  <c r="D468" i="1"/>
  <c r="D469" i="1"/>
  <c r="D470" i="1"/>
  <c r="D471" i="1"/>
  <c r="D472" i="1"/>
  <c r="D473" i="1"/>
  <c r="D474" i="1"/>
  <c r="D475" i="1"/>
  <c r="D476" i="1"/>
  <c r="D477" i="1"/>
  <c r="D478" i="1"/>
  <c r="D479" i="1"/>
  <c r="D480" i="1"/>
  <c r="D481" i="1"/>
  <c r="D482" i="1"/>
  <c r="D483" i="1"/>
  <c r="D484" i="1"/>
  <c r="D485" i="1"/>
  <c r="D486" i="1"/>
  <c r="D487" i="1"/>
  <c r="D488" i="1"/>
  <c r="D489" i="1"/>
  <c r="D490" i="1"/>
  <c r="D491" i="1"/>
  <c r="D492" i="1"/>
  <c r="D493" i="1"/>
  <c r="D494" i="1"/>
  <c r="D495" i="1"/>
  <c r="D496" i="1"/>
  <c r="D497" i="1"/>
  <c r="D498" i="1"/>
  <c r="D499" i="1"/>
  <c r="D500" i="1"/>
  <c r="D501" i="1"/>
  <c r="D502" i="1"/>
  <c r="D503" i="1"/>
  <c r="D504" i="1"/>
  <c r="D505" i="1"/>
  <c r="D506" i="1"/>
  <c r="D507" i="1"/>
  <c r="D508" i="1"/>
  <c r="D509" i="1"/>
  <c r="D510" i="1"/>
  <c r="D511" i="1"/>
  <c r="D512" i="1"/>
  <c r="D513" i="1"/>
  <c r="D514" i="1"/>
  <c r="D515" i="1"/>
  <c r="D516" i="1"/>
  <c r="D517" i="1"/>
  <c r="D518" i="1"/>
  <c r="D519" i="1"/>
  <c r="D520" i="1"/>
  <c r="D521" i="1"/>
  <c r="D522" i="1"/>
  <c r="D523" i="1"/>
  <c r="D524" i="1"/>
  <c r="D525" i="1"/>
  <c r="D526" i="1"/>
  <c r="D527" i="1"/>
  <c r="D528" i="1"/>
  <c r="D529" i="1"/>
  <c r="D530" i="1"/>
  <c r="D531" i="1"/>
  <c r="D532" i="1"/>
  <c r="D533" i="1"/>
  <c r="D534" i="1"/>
  <c r="D535" i="1"/>
  <c r="D536" i="1"/>
  <c r="D537" i="1"/>
  <c r="D538" i="1"/>
  <c r="D539" i="1"/>
  <c r="D540" i="1"/>
  <c r="D541" i="1"/>
  <c r="D542" i="1"/>
  <c r="D543" i="1"/>
  <c r="D544" i="1"/>
  <c r="D545" i="1"/>
  <c r="D546" i="1"/>
  <c r="D547" i="1"/>
  <c r="D548" i="1"/>
  <c r="D549" i="1"/>
  <c r="D550" i="1"/>
  <c r="D551" i="1"/>
  <c r="D552" i="1"/>
  <c r="D553" i="1"/>
  <c r="D554" i="1"/>
  <c r="D555" i="1"/>
  <c r="D556" i="1"/>
  <c r="D557" i="1"/>
  <c r="D558" i="1"/>
  <c r="D559" i="1"/>
  <c r="D560" i="1"/>
  <c r="D561" i="1"/>
  <c r="D562" i="1"/>
  <c r="D563" i="1"/>
  <c r="D564" i="1"/>
  <c r="D565" i="1"/>
  <c r="D566" i="1"/>
  <c r="D567" i="1"/>
  <c r="D568" i="1"/>
  <c r="D569" i="1"/>
  <c r="D570" i="1"/>
  <c r="D571" i="1"/>
  <c r="D572" i="1"/>
  <c r="D573" i="1"/>
  <c r="D574" i="1"/>
  <c r="D575" i="1"/>
  <c r="D576" i="1"/>
  <c r="D577" i="1"/>
  <c r="D578" i="1"/>
  <c r="D579" i="1"/>
  <c r="D580" i="1"/>
  <c r="D581" i="1"/>
  <c r="D582" i="1"/>
  <c r="D583" i="1"/>
  <c r="D584" i="1"/>
  <c r="D585" i="1"/>
  <c r="D586" i="1"/>
  <c r="D587" i="1"/>
  <c r="D588" i="1"/>
  <c r="D589" i="1"/>
  <c r="D590" i="1"/>
  <c r="D591" i="1"/>
  <c r="D592" i="1"/>
  <c r="D593" i="1"/>
  <c r="D594" i="1"/>
  <c r="D595" i="1"/>
  <c r="D596" i="1"/>
  <c r="D597" i="1"/>
  <c r="D598" i="1"/>
  <c r="D599" i="1"/>
  <c r="D600" i="1"/>
  <c r="D601" i="1"/>
  <c r="D602" i="1"/>
  <c r="D603" i="1"/>
  <c r="D604" i="1"/>
  <c r="D605" i="1"/>
  <c r="D606" i="1"/>
  <c r="D607" i="1"/>
  <c r="D608" i="1"/>
  <c r="D609" i="1"/>
  <c r="D610" i="1"/>
  <c r="D611" i="1"/>
  <c r="D612" i="1"/>
  <c r="D613" i="1"/>
  <c r="D614" i="1"/>
  <c r="D615" i="1"/>
  <c r="D616" i="1"/>
  <c r="D617" i="1"/>
  <c r="D618" i="1"/>
  <c r="D619" i="1"/>
  <c r="D620" i="1"/>
  <c r="D621" i="1"/>
  <c r="D622" i="1"/>
  <c r="D623" i="1"/>
  <c r="D624" i="1"/>
  <c r="D625" i="1"/>
  <c r="D626" i="1"/>
  <c r="D627" i="1"/>
  <c r="D628" i="1"/>
  <c r="D629" i="1"/>
  <c r="D630" i="1"/>
  <c r="D631" i="1"/>
  <c r="D632" i="1"/>
  <c r="D633" i="1"/>
  <c r="D634" i="1"/>
  <c r="D635" i="1"/>
  <c r="D636" i="1"/>
  <c r="D637" i="1"/>
  <c r="D638" i="1"/>
  <c r="D639" i="1"/>
  <c r="D640" i="1"/>
  <c r="D641" i="1"/>
  <c r="D642" i="1"/>
  <c r="D643" i="1"/>
  <c r="D644" i="1"/>
  <c r="D645" i="1"/>
  <c r="D646" i="1"/>
  <c r="D647" i="1"/>
  <c r="D648" i="1"/>
  <c r="D649" i="1"/>
  <c r="D650" i="1"/>
  <c r="D651" i="1"/>
  <c r="D652" i="1"/>
  <c r="D653" i="1"/>
  <c r="D654" i="1"/>
  <c r="D655" i="1"/>
  <c r="D656" i="1"/>
  <c r="D657" i="1"/>
  <c r="D658" i="1"/>
  <c r="D659" i="1"/>
  <c r="D660" i="1"/>
  <c r="D661" i="1"/>
  <c r="D662" i="1"/>
  <c r="D663" i="1"/>
  <c r="D664" i="1"/>
  <c r="D665" i="1"/>
  <c r="D666" i="1"/>
  <c r="D667" i="1"/>
  <c r="D668" i="1"/>
  <c r="D669" i="1"/>
  <c r="D670" i="1"/>
  <c r="D671" i="1"/>
  <c r="D672" i="1"/>
  <c r="D673" i="1"/>
  <c r="D674" i="1"/>
  <c r="D675" i="1"/>
  <c r="D676" i="1"/>
  <c r="D677" i="1"/>
  <c r="D678" i="1"/>
  <c r="D679" i="1"/>
  <c r="D680" i="1"/>
  <c r="D681" i="1"/>
  <c r="D682" i="1"/>
  <c r="D683" i="1"/>
  <c r="D684" i="1"/>
  <c r="D685" i="1"/>
  <c r="D686" i="1"/>
  <c r="D687" i="1"/>
  <c r="D688" i="1"/>
  <c r="D689" i="1"/>
  <c r="D690" i="1"/>
  <c r="D691" i="1"/>
  <c r="D692" i="1"/>
  <c r="D693" i="1"/>
  <c r="D694" i="1"/>
  <c r="D695" i="1"/>
  <c r="D696" i="1"/>
  <c r="D697" i="1"/>
  <c r="D698" i="1"/>
  <c r="D699" i="1"/>
  <c r="D700" i="1"/>
  <c r="D701" i="1"/>
  <c r="D702" i="1"/>
  <c r="D703" i="1"/>
  <c r="D704" i="1"/>
  <c r="D705" i="1"/>
  <c r="D706" i="1"/>
  <c r="D707" i="1"/>
  <c r="D708" i="1"/>
  <c r="D709" i="1"/>
  <c r="D710" i="1"/>
  <c r="D711" i="1"/>
  <c r="D712" i="1"/>
  <c r="D713" i="1"/>
  <c r="D714" i="1"/>
  <c r="D715" i="1"/>
  <c r="D716" i="1"/>
  <c r="D717" i="1"/>
  <c r="D718" i="1"/>
  <c r="D719" i="1"/>
  <c r="D720" i="1"/>
  <c r="D721" i="1"/>
  <c r="D722" i="1"/>
  <c r="D723" i="1"/>
  <c r="D724" i="1"/>
  <c r="D725" i="1"/>
  <c r="D726" i="1"/>
  <c r="D727" i="1"/>
  <c r="D728" i="1"/>
  <c r="D729" i="1"/>
  <c r="D730" i="1"/>
  <c r="D731" i="1"/>
  <c r="D732" i="1"/>
  <c r="D733" i="1"/>
  <c r="D734" i="1"/>
  <c r="D735" i="1"/>
  <c r="D736" i="1"/>
  <c r="D737" i="1"/>
  <c r="D738" i="1"/>
  <c r="D739" i="1"/>
  <c r="D740" i="1"/>
  <c r="D741" i="1"/>
  <c r="D742" i="1"/>
  <c r="D743" i="1"/>
  <c r="D744" i="1"/>
  <c r="D745" i="1"/>
  <c r="D746" i="1"/>
  <c r="D747" i="1"/>
  <c r="D748" i="1"/>
  <c r="D749" i="1"/>
  <c r="D750" i="1"/>
  <c r="D751" i="1"/>
  <c r="D752" i="1"/>
  <c r="D753" i="1"/>
  <c r="D754" i="1"/>
  <c r="D755" i="1"/>
  <c r="D756" i="1"/>
  <c r="D757" i="1"/>
  <c r="D758" i="1"/>
  <c r="D759" i="1"/>
  <c r="D760" i="1"/>
  <c r="D761" i="1"/>
  <c r="D762" i="1"/>
  <c r="D763" i="1"/>
  <c r="D764" i="1"/>
  <c r="D765" i="1"/>
  <c r="D766" i="1"/>
  <c r="D767" i="1"/>
  <c r="D768" i="1"/>
  <c r="D769" i="1"/>
  <c r="D770" i="1"/>
  <c r="D771" i="1"/>
  <c r="D772" i="1"/>
  <c r="D773" i="1"/>
  <c r="D774" i="1"/>
  <c r="D775" i="1"/>
  <c r="D776" i="1"/>
  <c r="D777" i="1"/>
  <c r="D778" i="1"/>
  <c r="D779" i="1"/>
  <c r="D780" i="1"/>
  <c r="D781" i="1"/>
  <c r="D782" i="1"/>
  <c r="D783" i="1"/>
  <c r="D784" i="1"/>
  <c r="D785" i="1"/>
  <c r="D786" i="1"/>
  <c r="D787" i="1"/>
  <c r="D788" i="1"/>
  <c r="D789" i="1"/>
  <c r="D790" i="1"/>
  <c r="D791" i="1"/>
  <c r="D792" i="1"/>
  <c r="D793" i="1"/>
  <c r="D794" i="1"/>
  <c r="D795" i="1"/>
  <c r="D796" i="1"/>
  <c r="D797" i="1"/>
  <c r="D798" i="1"/>
  <c r="D799" i="1"/>
  <c r="D800" i="1"/>
  <c r="D801" i="1"/>
  <c r="D802" i="1"/>
  <c r="D803" i="1"/>
  <c r="D804" i="1"/>
  <c r="D805" i="1"/>
  <c r="D806" i="1"/>
  <c r="D807" i="1"/>
  <c r="D808" i="1"/>
  <c r="D809" i="1"/>
  <c r="D810" i="1"/>
  <c r="D811" i="1"/>
  <c r="D812" i="1"/>
  <c r="D813" i="1"/>
  <c r="D814" i="1"/>
  <c r="D815" i="1"/>
  <c r="D816" i="1"/>
  <c r="D817" i="1"/>
  <c r="D818" i="1"/>
  <c r="D819" i="1"/>
  <c r="D820" i="1"/>
  <c r="D821" i="1"/>
  <c r="D822" i="1"/>
  <c r="D823" i="1"/>
  <c r="D824" i="1"/>
  <c r="D825" i="1"/>
  <c r="D826" i="1"/>
  <c r="D827" i="1"/>
  <c r="D828" i="1"/>
  <c r="D829" i="1"/>
  <c r="D830" i="1"/>
  <c r="D831" i="1"/>
  <c r="D832" i="1"/>
  <c r="D833" i="1"/>
  <c r="D834" i="1"/>
  <c r="D835" i="1"/>
  <c r="D836" i="1"/>
  <c r="D837" i="1"/>
  <c r="D838" i="1"/>
  <c r="D839" i="1"/>
  <c r="D840" i="1"/>
  <c r="D841" i="1"/>
  <c r="D842" i="1"/>
  <c r="D843" i="1"/>
  <c r="D844" i="1"/>
  <c r="D845" i="1"/>
  <c r="D846" i="1"/>
  <c r="D847" i="1"/>
  <c r="D848" i="1"/>
  <c r="D849" i="1"/>
  <c r="D850" i="1"/>
  <c r="D851" i="1"/>
  <c r="D852" i="1"/>
  <c r="D853" i="1"/>
  <c r="D854" i="1"/>
  <c r="D855" i="1"/>
  <c r="D856" i="1"/>
  <c r="D857" i="1"/>
  <c r="D858" i="1"/>
  <c r="D859" i="1"/>
  <c r="D860" i="1"/>
  <c r="D861" i="1"/>
  <c r="D862" i="1"/>
  <c r="D863" i="1"/>
  <c r="D864" i="1"/>
  <c r="D865" i="1"/>
  <c r="D866" i="1"/>
  <c r="D867" i="1"/>
  <c r="D868" i="1"/>
  <c r="D869" i="1"/>
  <c r="D870" i="1"/>
  <c r="D871" i="1"/>
  <c r="D872" i="1"/>
  <c r="D873" i="1"/>
  <c r="D874" i="1"/>
  <c r="D875" i="1"/>
  <c r="D876" i="1"/>
  <c r="D877" i="1"/>
  <c r="D878" i="1"/>
  <c r="D879" i="1"/>
  <c r="D880" i="1"/>
  <c r="D881" i="1"/>
  <c r="D882" i="1"/>
  <c r="D883" i="1"/>
  <c r="D884" i="1"/>
  <c r="D885" i="1"/>
  <c r="D886" i="1"/>
  <c r="D887" i="1"/>
  <c r="D888" i="1"/>
  <c r="D889" i="1"/>
  <c r="D890" i="1"/>
  <c r="D891" i="1"/>
  <c r="D892" i="1"/>
  <c r="D893" i="1"/>
  <c r="D894" i="1"/>
  <c r="D895" i="1"/>
  <c r="D896" i="1"/>
  <c r="D897" i="1"/>
  <c r="D898" i="1"/>
  <c r="D899" i="1"/>
  <c r="D900" i="1"/>
  <c r="D901" i="1"/>
  <c r="D902" i="1"/>
  <c r="D903" i="1"/>
  <c r="D904" i="1"/>
  <c r="D905" i="1"/>
  <c r="D906" i="1"/>
  <c r="D907" i="1"/>
  <c r="D908" i="1"/>
  <c r="D909" i="1"/>
  <c r="D910" i="1"/>
  <c r="D911" i="1"/>
  <c r="D912" i="1"/>
  <c r="D913" i="1"/>
  <c r="D914" i="1"/>
  <c r="D915" i="1"/>
  <c r="D916" i="1"/>
  <c r="D917" i="1"/>
  <c r="D918" i="1"/>
  <c r="D919" i="1"/>
  <c r="D920" i="1"/>
  <c r="D921" i="1"/>
  <c r="D922" i="1"/>
  <c r="D923" i="1"/>
  <c r="D924" i="1"/>
  <c r="D925" i="1"/>
  <c r="D926" i="1"/>
  <c r="D927" i="1"/>
  <c r="D928" i="1"/>
  <c r="D929" i="1"/>
  <c r="D930" i="1"/>
  <c r="D931" i="1"/>
  <c r="D932" i="1"/>
  <c r="D933" i="1"/>
  <c r="D934" i="1"/>
  <c r="D935" i="1"/>
  <c r="D936" i="1"/>
  <c r="D937" i="1"/>
  <c r="D938" i="1"/>
  <c r="D939" i="1"/>
  <c r="D940" i="1"/>
  <c r="D941" i="1"/>
  <c r="D942" i="1"/>
  <c r="D943" i="1"/>
  <c r="D944" i="1"/>
  <c r="D945" i="1"/>
  <c r="D946" i="1"/>
  <c r="D947" i="1"/>
  <c r="D948" i="1"/>
  <c r="D949" i="1"/>
  <c r="D950" i="1"/>
  <c r="D951" i="1"/>
  <c r="D952" i="1"/>
  <c r="D953" i="1"/>
  <c r="D954" i="1"/>
  <c r="D955" i="1"/>
  <c r="D956" i="1"/>
  <c r="D957" i="1"/>
  <c r="D958" i="1"/>
  <c r="D959" i="1"/>
  <c r="D960" i="1"/>
  <c r="D961" i="1"/>
  <c r="D962" i="1"/>
  <c r="D963" i="1"/>
  <c r="D964" i="1"/>
  <c r="D965" i="1"/>
  <c r="D966" i="1"/>
  <c r="D967" i="1"/>
  <c r="D968" i="1"/>
  <c r="D969" i="1"/>
  <c r="D970" i="1"/>
  <c r="D971" i="1"/>
  <c r="D972" i="1"/>
  <c r="D973" i="1"/>
  <c r="D974" i="1"/>
  <c r="D975" i="1"/>
  <c r="D976" i="1"/>
  <c r="D977" i="1"/>
  <c r="D978" i="1"/>
  <c r="D979" i="1"/>
  <c r="D980" i="1"/>
  <c r="D981" i="1"/>
  <c r="D982" i="1"/>
  <c r="D983" i="1"/>
  <c r="D984" i="1"/>
  <c r="D985" i="1"/>
  <c r="D986" i="1"/>
  <c r="D987" i="1"/>
  <c r="D988" i="1"/>
  <c r="D989" i="1"/>
  <c r="D990" i="1"/>
  <c r="D991" i="1"/>
  <c r="D992" i="1"/>
  <c r="D993" i="1"/>
  <c r="D994" i="1"/>
  <c r="D995" i="1"/>
  <c r="D996" i="1"/>
  <c r="D997" i="1"/>
  <c r="D998" i="1"/>
  <c r="D999" i="1"/>
  <c r="D1000" i="1"/>
  <c r="D1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F178" i="3"/>
  <c r="F179" i="3"/>
  <c r="F180" i="3"/>
  <c r="F177" i="3"/>
  <c r="B17" i="3"/>
  <c r="C13" i="3"/>
  <c r="D13" i="3"/>
  <c r="B13" i="3"/>
  <c r="D9" i="3"/>
  <c r="C9" i="3"/>
  <c r="B9" i="3"/>
  <c r="C4" i="5"/>
  <c r="H16" i="5"/>
  <c r="B38" i="3"/>
  <c r="M109" i="5"/>
  <c r="E123" i="5"/>
  <c r="E122" i="5"/>
  <c r="K108" i="5"/>
  <c r="J15" i="5"/>
  <c r="F164" i="5"/>
  <c r="L110" i="5"/>
  <c r="N111" i="5"/>
  <c r="D38" i="3"/>
  <c r="J108" i="5"/>
  <c r="H13" i="5"/>
  <c r="J70" i="5"/>
  <c r="M110" i="5"/>
  <c r="E124" i="5"/>
  <c r="I15" i="5"/>
  <c r="M108" i="5"/>
  <c r="C21" i="5"/>
  <c r="I16" i="5"/>
  <c r="K111" i="5"/>
  <c r="E71" i="5"/>
  <c r="E90" i="5"/>
  <c r="H14" i="5"/>
  <c r="N110" i="5"/>
  <c r="N108" i="5"/>
  <c r="F4" i="5"/>
  <c r="E176" i="5"/>
  <c r="F161" i="5"/>
  <c r="J111" i="5"/>
  <c r="E88" i="5"/>
  <c r="I13" i="5"/>
  <c r="D5" i="5"/>
  <c r="D21" i="5"/>
  <c r="B4" i="5"/>
  <c r="I14" i="5"/>
  <c r="H15" i="5"/>
  <c r="J77" i="5"/>
  <c r="E70" i="5"/>
  <c r="C38" i="3"/>
  <c r="E87" i="5"/>
  <c r="K109" i="5"/>
  <c r="K110" i="5"/>
  <c r="J109" i="5"/>
  <c r="M111" i="5"/>
  <c r="J16" i="5"/>
  <c r="L108" i="5"/>
  <c r="E116" i="3"/>
  <c r="F163" i="5"/>
  <c r="F162" i="5"/>
  <c r="E178" i="5"/>
  <c r="F116" i="3"/>
  <c r="E21" i="5"/>
  <c r="N109" i="5"/>
  <c r="E89" i="5"/>
  <c r="J110" i="5"/>
  <c r="L109" i="5"/>
  <c r="J14" i="5"/>
  <c r="L111" i="5"/>
  <c r="B21" i="5"/>
  <c r="E86" i="5"/>
  <c r="E177" i="5"/>
  <c r="J13" i="5"/>
  <c r="E69" i="5"/>
  <c r="E175" i="5"/>
  <c r="D17" i="3" l="1"/>
</calcChain>
</file>

<file path=xl/sharedStrings.xml><?xml version="1.0" encoding="utf-8"?>
<sst xmlns="http://schemas.openxmlformats.org/spreadsheetml/2006/main" count="4563" uniqueCount="1107">
  <si>
    <t>Lead ID</t>
  </si>
  <si>
    <t>Store Name</t>
  </si>
  <si>
    <t>Lead Type</t>
  </si>
  <si>
    <t>Lead Date</t>
  </si>
  <si>
    <t>Pre-Booking Date</t>
  </si>
  <si>
    <t>Booking Date</t>
  </si>
  <si>
    <t>Delivery Date</t>
  </si>
  <si>
    <t>Cancellation Status</t>
  </si>
  <si>
    <t>Cancellation Reason</t>
  </si>
  <si>
    <t>Service Follow-up Date</t>
  </si>
  <si>
    <t>TAT Pre-Booking (Days)</t>
  </si>
  <si>
    <t>TAT Booking (Days)</t>
  </si>
  <si>
    <t>TAT Delivery (Days)</t>
  </si>
  <si>
    <t>Customer Rating</t>
  </si>
  <si>
    <t>L1000</t>
  </si>
  <si>
    <t>Bangalore MBC</t>
  </si>
  <si>
    <t>Warm</t>
  </si>
  <si>
    <t>No</t>
  </si>
  <si>
    <t>L1001</t>
  </si>
  <si>
    <t>Delhi MBC</t>
  </si>
  <si>
    <t>L1002</t>
  </si>
  <si>
    <t>Mumbai MBC</t>
  </si>
  <si>
    <t>Cold</t>
  </si>
  <si>
    <t>Yes</t>
  </si>
  <si>
    <t>Other</t>
  </si>
  <si>
    <t>L1003</t>
  </si>
  <si>
    <t>Model Unavailable</t>
  </si>
  <si>
    <t>L1004</t>
  </si>
  <si>
    <t>L1005</t>
  </si>
  <si>
    <t>L1006</t>
  </si>
  <si>
    <t>Hot</t>
  </si>
  <si>
    <t>L1007</t>
  </si>
  <si>
    <t>Chennai MBC</t>
  </si>
  <si>
    <t>Changed Mind</t>
  </si>
  <si>
    <t>L1008</t>
  </si>
  <si>
    <t>L1009</t>
  </si>
  <si>
    <t>L1010</t>
  </si>
  <si>
    <t>L1011</t>
  </si>
  <si>
    <t>L1012</t>
  </si>
  <si>
    <t>L1013</t>
  </si>
  <si>
    <t>L1014</t>
  </si>
  <si>
    <t>L1015</t>
  </si>
  <si>
    <t>L1016</t>
  </si>
  <si>
    <t>L1017</t>
  </si>
  <si>
    <t>L1018</t>
  </si>
  <si>
    <t>L1019</t>
  </si>
  <si>
    <t>L1020</t>
  </si>
  <si>
    <t>L1021</t>
  </si>
  <si>
    <t>L1022</t>
  </si>
  <si>
    <t>L1023</t>
  </si>
  <si>
    <t>L1024</t>
  </si>
  <si>
    <t>L1025</t>
  </si>
  <si>
    <t>L1026</t>
  </si>
  <si>
    <t>L1027</t>
  </si>
  <si>
    <t>L1028</t>
  </si>
  <si>
    <t>L1029</t>
  </si>
  <si>
    <t>L1030</t>
  </si>
  <si>
    <t>L1031</t>
  </si>
  <si>
    <t>L1032</t>
  </si>
  <si>
    <t>L1033</t>
  </si>
  <si>
    <t>L1034</t>
  </si>
  <si>
    <t>L1035</t>
  </si>
  <si>
    <t>L1036</t>
  </si>
  <si>
    <t>Financing Issue</t>
  </si>
  <si>
    <t>L1037</t>
  </si>
  <si>
    <t>L1038</t>
  </si>
  <si>
    <t>L1039</t>
  </si>
  <si>
    <t>L1040</t>
  </si>
  <si>
    <t>L1041</t>
  </si>
  <si>
    <t>L1042</t>
  </si>
  <si>
    <t>L1043</t>
  </si>
  <si>
    <t>L1044</t>
  </si>
  <si>
    <t>L1045</t>
  </si>
  <si>
    <t>L1046</t>
  </si>
  <si>
    <t>L1047</t>
  </si>
  <si>
    <t>L1048</t>
  </si>
  <si>
    <t>L1049</t>
  </si>
  <si>
    <t>L1050</t>
  </si>
  <si>
    <t>L1051</t>
  </si>
  <si>
    <t>L1052</t>
  </si>
  <si>
    <t>L1053</t>
  </si>
  <si>
    <t>L1054</t>
  </si>
  <si>
    <t>L1055</t>
  </si>
  <si>
    <t>L1056</t>
  </si>
  <si>
    <t>L1057</t>
  </si>
  <si>
    <t>L1058</t>
  </si>
  <si>
    <t>L1059</t>
  </si>
  <si>
    <t>L1060</t>
  </si>
  <si>
    <t>L1061</t>
  </si>
  <si>
    <t>L1062</t>
  </si>
  <si>
    <t>L1063</t>
  </si>
  <si>
    <t>L1064</t>
  </si>
  <si>
    <t>L1065</t>
  </si>
  <si>
    <t>L1066</t>
  </si>
  <si>
    <t>L1067</t>
  </si>
  <si>
    <t>L1068</t>
  </si>
  <si>
    <t>L1069</t>
  </si>
  <si>
    <t>L1070</t>
  </si>
  <si>
    <t>L1071</t>
  </si>
  <si>
    <t>L1072</t>
  </si>
  <si>
    <t>L1073</t>
  </si>
  <si>
    <t>Price</t>
  </si>
  <si>
    <t>L1074</t>
  </si>
  <si>
    <t>L1075</t>
  </si>
  <si>
    <t>L1076</t>
  </si>
  <si>
    <t>L1077</t>
  </si>
  <si>
    <t>L1078</t>
  </si>
  <si>
    <t>L1079</t>
  </si>
  <si>
    <t>L1080</t>
  </si>
  <si>
    <t>L1081</t>
  </si>
  <si>
    <t>L1082</t>
  </si>
  <si>
    <t>L1083</t>
  </si>
  <si>
    <t>L1084</t>
  </si>
  <si>
    <t>L1085</t>
  </si>
  <si>
    <t>L1086</t>
  </si>
  <si>
    <t>L1087</t>
  </si>
  <si>
    <t>L1088</t>
  </si>
  <si>
    <t>L1089</t>
  </si>
  <si>
    <t>L1090</t>
  </si>
  <si>
    <t>L1091</t>
  </si>
  <si>
    <t>L1092</t>
  </si>
  <si>
    <t>L1093</t>
  </si>
  <si>
    <t>L1094</t>
  </si>
  <si>
    <t>L1095</t>
  </si>
  <si>
    <t>L1096</t>
  </si>
  <si>
    <t>L1097</t>
  </si>
  <si>
    <t>L1098</t>
  </si>
  <si>
    <t>L1099</t>
  </si>
  <si>
    <t>L1100</t>
  </si>
  <si>
    <t>L1101</t>
  </si>
  <si>
    <t>L1102</t>
  </si>
  <si>
    <t>L1103</t>
  </si>
  <si>
    <t>L1104</t>
  </si>
  <si>
    <t>L1105</t>
  </si>
  <si>
    <t>L1106</t>
  </si>
  <si>
    <t>L1107</t>
  </si>
  <si>
    <t>L1108</t>
  </si>
  <si>
    <t>L1109</t>
  </si>
  <si>
    <t>L1110</t>
  </si>
  <si>
    <t>L1111</t>
  </si>
  <si>
    <t>L1112</t>
  </si>
  <si>
    <t>L1113</t>
  </si>
  <si>
    <t>L1114</t>
  </si>
  <si>
    <t>L1115</t>
  </si>
  <si>
    <t>L1116</t>
  </si>
  <si>
    <t>L1117</t>
  </si>
  <si>
    <t>L1118</t>
  </si>
  <si>
    <t>L1119</t>
  </si>
  <si>
    <t>L1120</t>
  </si>
  <si>
    <t>L1121</t>
  </si>
  <si>
    <t>L1122</t>
  </si>
  <si>
    <t>L1123</t>
  </si>
  <si>
    <t>L1124</t>
  </si>
  <si>
    <t>L1125</t>
  </si>
  <si>
    <t>L1126</t>
  </si>
  <si>
    <t>L1127</t>
  </si>
  <si>
    <t>L1128</t>
  </si>
  <si>
    <t>L1129</t>
  </si>
  <si>
    <t>L1130</t>
  </si>
  <si>
    <t>L1131</t>
  </si>
  <si>
    <t>L1132</t>
  </si>
  <si>
    <t>L1133</t>
  </si>
  <si>
    <t>L1134</t>
  </si>
  <si>
    <t>L1135</t>
  </si>
  <si>
    <t>L1136</t>
  </si>
  <si>
    <t>L1137</t>
  </si>
  <si>
    <t>L1138</t>
  </si>
  <si>
    <t>L1139</t>
  </si>
  <si>
    <t>L1140</t>
  </si>
  <si>
    <t>L1141</t>
  </si>
  <si>
    <t>L1142</t>
  </si>
  <si>
    <t>L1143</t>
  </si>
  <si>
    <t>L1144</t>
  </si>
  <si>
    <t>L1145</t>
  </si>
  <si>
    <t>L1146</t>
  </si>
  <si>
    <t>L1147</t>
  </si>
  <si>
    <t>L1148</t>
  </si>
  <si>
    <t>L1149</t>
  </si>
  <si>
    <t>L1150</t>
  </si>
  <si>
    <t>L1151</t>
  </si>
  <si>
    <t>L1152</t>
  </si>
  <si>
    <t>L1153</t>
  </si>
  <si>
    <t>L1154</t>
  </si>
  <si>
    <t>L1155</t>
  </si>
  <si>
    <t>L1156</t>
  </si>
  <si>
    <t>L1157</t>
  </si>
  <si>
    <t>L1158</t>
  </si>
  <si>
    <t>L1159</t>
  </si>
  <si>
    <t>L1160</t>
  </si>
  <si>
    <t>L1161</t>
  </si>
  <si>
    <t>L1162</t>
  </si>
  <si>
    <t>L1163</t>
  </si>
  <si>
    <t>L1164</t>
  </si>
  <si>
    <t>L1165</t>
  </si>
  <si>
    <t>L1166</t>
  </si>
  <si>
    <t>L1167</t>
  </si>
  <si>
    <t>L1168</t>
  </si>
  <si>
    <t>L1169</t>
  </si>
  <si>
    <t>L1170</t>
  </si>
  <si>
    <t>L1171</t>
  </si>
  <si>
    <t>L1172</t>
  </si>
  <si>
    <t>L1173</t>
  </si>
  <si>
    <t>L1174</t>
  </si>
  <si>
    <t>L1175</t>
  </si>
  <si>
    <t>L1176</t>
  </si>
  <si>
    <t>L1177</t>
  </si>
  <si>
    <t>L1178</t>
  </si>
  <si>
    <t>L1179</t>
  </si>
  <si>
    <t>L1180</t>
  </si>
  <si>
    <t>L1181</t>
  </si>
  <si>
    <t>L1182</t>
  </si>
  <si>
    <t>L1183</t>
  </si>
  <si>
    <t>L1184</t>
  </si>
  <si>
    <t>L1185</t>
  </si>
  <si>
    <t>L1186</t>
  </si>
  <si>
    <t>L1187</t>
  </si>
  <si>
    <t>L1188</t>
  </si>
  <si>
    <t>L1189</t>
  </si>
  <si>
    <t>L1190</t>
  </si>
  <si>
    <t>L1191</t>
  </si>
  <si>
    <t>L1192</t>
  </si>
  <si>
    <t>L1193</t>
  </si>
  <si>
    <t>L1194</t>
  </si>
  <si>
    <t>L1195</t>
  </si>
  <si>
    <t>L1196</t>
  </si>
  <si>
    <t>L1197</t>
  </si>
  <si>
    <t>L1198</t>
  </si>
  <si>
    <t>L1199</t>
  </si>
  <si>
    <t>L1200</t>
  </si>
  <si>
    <t>L1201</t>
  </si>
  <si>
    <t>L1202</t>
  </si>
  <si>
    <t>L1203</t>
  </si>
  <si>
    <t>L1204</t>
  </si>
  <si>
    <t>L1205</t>
  </si>
  <si>
    <t>L1206</t>
  </si>
  <si>
    <t>L1207</t>
  </si>
  <si>
    <t>L1208</t>
  </si>
  <si>
    <t>L1209</t>
  </si>
  <si>
    <t>L1210</t>
  </si>
  <si>
    <t>L1211</t>
  </si>
  <si>
    <t>L1212</t>
  </si>
  <si>
    <t>L1213</t>
  </si>
  <si>
    <t>L1214</t>
  </si>
  <si>
    <t>L1215</t>
  </si>
  <si>
    <t>L1216</t>
  </si>
  <si>
    <t>L1217</t>
  </si>
  <si>
    <t>L1218</t>
  </si>
  <si>
    <t>L1219</t>
  </si>
  <si>
    <t>L1220</t>
  </si>
  <si>
    <t>L1221</t>
  </si>
  <si>
    <t>L1222</t>
  </si>
  <si>
    <t>L1223</t>
  </si>
  <si>
    <t>L1224</t>
  </si>
  <si>
    <t>L1225</t>
  </si>
  <si>
    <t>L1226</t>
  </si>
  <si>
    <t>L1227</t>
  </si>
  <si>
    <t>L1228</t>
  </si>
  <si>
    <t>L1229</t>
  </si>
  <si>
    <t>L1230</t>
  </si>
  <si>
    <t>L1231</t>
  </si>
  <si>
    <t>L1232</t>
  </si>
  <si>
    <t>L1233</t>
  </si>
  <si>
    <t>L1234</t>
  </si>
  <si>
    <t>L1235</t>
  </si>
  <si>
    <t>L1236</t>
  </si>
  <si>
    <t>L1237</t>
  </si>
  <si>
    <t>L1238</t>
  </si>
  <si>
    <t>L1239</t>
  </si>
  <si>
    <t>L1240</t>
  </si>
  <si>
    <t>L1241</t>
  </si>
  <si>
    <t>L1242</t>
  </si>
  <si>
    <t>L1243</t>
  </si>
  <si>
    <t>L1244</t>
  </si>
  <si>
    <t>L1245</t>
  </si>
  <si>
    <t>L1246</t>
  </si>
  <si>
    <t>L1247</t>
  </si>
  <si>
    <t>L1248</t>
  </si>
  <si>
    <t>L1249</t>
  </si>
  <si>
    <t>L1250</t>
  </si>
  <si>
    <t>L1251</t>
  </si>
  <si>
    <t>L1252</t>
  </si>
  <si>
    <t>L1253</t>
  </si>
  <si>
    <t>L1254</t>
  </si>
  <si>
    <t>L1255</t>
  </si>
  <si>
    <t>L1256</t>
  </si>
  <si>
    <t>L1257</t>
  </si>
  <si>
    <t>L1258</t>
  </si>
  <si>
    <t>L1259</t>
  </si>
  <si>
    <t>L1260</t>
  </si>
  <si>
    <t>L1261</t>
  </si>
  <si>
    <t>L1262</t>
  </si>
  <si>
    <t>L1263</t>
  </si>
  <si>
    <t>L1264</t>
  </si>
  <si>
    <t>L1265</t>
  </si>
  <si>
    <t>L1266</t>
  </si>
  <si>
    <t>L1267</t>
  </si>
  <si>
    <t>L1268</t>
  </si>
  <si>
    <t>L1269</t>
  </si>
  <si>
    <t>L1270</t>
  </si>
  <si>
    <t>L1271</t>
  </si>
  <si>
    <t>L1272</t>
  </si>
  <si>
    <t>L1273</t>
  </si>
  <si>
    <t>L1274</t>
  </si>
  <si>
    <t>L1275</t>
  </si>
  <si>
    <t>L1276</t>
  </si>
  <si>
    <t>L1277</t>
  </si>
  <si>
    <t>L1278</t>
  </si>
  <si>
    <t>L1279</t>
  </si>
  <si>
    <t>L1280</t>
  </si>
  <si>
    <t>L1281</t>
  </si>
  <si>
    <t>L1282</t>
  </si>
  <si>
    <t>L1283</t>
  </si>
  <si>
    <t>L1284</t>
  </si>
  <si>
    <t>L1285</t>
  </si>
  <si>
    <t>L1286</t>
  </si>
  <si>
    <t>L1287</t>
  </si>
  <si>
    <t>L1288</t>
  </si>
  <si>
    <t>L1289</t>
  </si>
  <si>
    <t>L1290</t>
  </si>
  <si>
    <t>L1291</t>
  </si>
  <si>
    <t>L1292</t>
  </si>
  <si>
    <t>L1293</t>
  </si>
  <si>
    <t>L1294</t>
  </si>
  <si>
    <t>L1295</t>
  </si>
  <si>
    <t>L1296</t>
  </si>
  <si>
    <t>L1297</t>
  </si>
  <si>
    <t>L1298</t>
  </si>
  <si>
    <t>L1299</t>
  </si>
  <si>
    <t>L1300</t>
  </si>
  <si>
    <t>L1301</t>
  </si>
  <si>
    <t>L1302</t>
  </si>
  <si>
    <t>L1303</t>
  </si>
  <si>
    <t>L1304</t>
  </si>
  <si>
    <t>L1305</t>
  </si>
  <si>
    <t>L1306</t>
  </si>
  <si>
    <t>L1307</t>
  </si>
  <si>
    <t>L1308</t>
  </si>
  <si>
    <t>L1309</t>
  </si>
  <si>
    <t>L1310</t>
  </si>
  <si>
    <t>L1311</t>
  </si>
  <si>
    <t>L1312</t>
  </si>
  <si>
    <t>L1313</t>
  </si>
  <si>
    <t>L1314</t>
  </si>
  <si>
    <t>L1315</t>
  </si>
  <si>
    <t>L1316</t>
  </si>
  <si>
    <t>L1317</t>
  </si>
  <si>
    <t>L1318</t>
  </si>
  <si>
    <t>L1319</t>
  </si>
  <si>
    <t>L1320</t>
  </si>
  <si>
    <t>L1321</t>
  </si>
  <si>
    <t>L1322</t>
  </si>
  <si>
    <t>L1323</t>
  </si>
  <si>
    <t>L1324</t>
  </si>
  <si>
    <t>L1325</t>
  </si>
  <si>
    <t>L1326</t>
  </si>
  <si>
    <t>L1327</t>
  </si>
  <si>
    <t>L1328</t>
  </si>
  <si>
    <t>L1329</t>
  </si>
  <si>
    <t>L1330</t>
  </si>
  <si>
    <t>L1331</t>
  </si>
  <si>
    <t>L1332</t>
  </si>
  <si>
    <t>L1333</t>
  </si>
  <si>
    <t>L1334</t>
  </si>
  <si>
    <t>L1335</t>
  </si>
  <si>
    <t>L1336</t>
  </si>
  <si>
    <t>L1337</t>
  </si>
  <si>
    <t>L1338</t>
  </si>
  <si>
    <t>L1339</t>
  </si>
  <si>
    <t>L1340</t>
  </si>
  <si>
    <t>L1341</t>
  </si>
  <si>
    <t>L1342</t>
  </si>
  <si>
    <t>L1343</t>
  </si>
  <si>
    <t>L1344</t>
  </si>
  <si>
    <t>L1345</t>
  </si>
  <si>
    <t>L1346</t>
  </si>
  <si>
    <t>L1347</t>
  </si>
  <si>
    <t>L1348</t>
  </si>
  <si>
    <t>L1349</t>
  </si>
  <si>
    <t>L1350</t>
  </si>
  <si>
    <t>L1351</t>
  </si>
  <si>
    <t>L1352</t>
  </si>
  <si>
    <t>L1353</t>
  </si>
  <si>
    <t>L1354</t>
  </si>
  <si>
    <t>L1355</t>
  </si>
  <si>
    <t>L1356</t>
  </si>
  <si>
    <t>L1357</t>
  </si>
  <si>
    <t>L1358</t>
  </si>
  <si>
    <t>L1359</t>
  </si>
  <si>
    <t>L1360</t>
  </si>
  <si>
    <t>L1361</t>
  </si>
  <si>
    <t>L1362</t>
  </si>
  <si>
    <t>L1363</t>
  </si>
  <si>
    <t>L1364</t>
  </si>
  <si>
    <t>L1365</t>
  </si>
  <si>
    <t>L1366</t>
  </si>
  <si>
    <t>L1367</t>
  </si>
  <si>
    <t>L1368</t>
  </si>
  <si>
    <t>L1369</t>
  </si>
  <si>
    <t>L1370</t>
  </si>
  <si>
    <t>L1371</t>
  </si>
  <si>
    <t>L1372</t>
  </si>
  <si>
    <t>L1373</t>
  </si>
  <si>
    <t>L1374</t>
  </si>
  <si>
    <t>L1375</t>
  </si>
  <si>
    <t>L1376</t>
  </si>
  <si>
    <t>L1377</t>
  </si>
  <si>
    <t>L1378</t>
  </si>
  <si>
    <t>L1379</t>
  </si>
  <si>
    <t>L1380</t>
  </si>
  <si>
    <t>L1381</t>
  </si>
  <si>
    <t>L1382</t>
  </si>
  <si>
    <t>L1383</t>
  </si>
  <si>
    <t>L1384</t>
  </si>
  <si>
    <t>L1385</t>
  </si>
  <si>
    <t>L1386</t>
  </si>
  <si>
    <t>L1387</t>
  </si>
  <si>
    <t>L1388</t>
  </si>
  <si>
    <t>L1389</t>
  </si>
  <si>
    <t>L1390</t>
  </si>
  <si>
    <t>L1391</t>
  </si>
  <si>
    <t>L1392</t>
  </si>
  <si>
    <t>L1393</t>
  </si>
  <si>
    <t>L1394</t>
  </si>
  <si>
    <t>L1395</t>
  </si>
  <si>
    <t>L1396</t>
  </si>
  <si>
    <t>L1397</t>
  </si>
  <si>
    <t>L1398</t>
  </si>
  <si>
    <t>L1399</t>
  </si>
  <si>
    <t>L1400</t>
  </si>
  <si>
    <t>L1401</t>
  </si>
  <si>
    <t>L1402</t>
  </si>
  <si>
    <t>L1403</t>
  </si>
  <si>
    <t>L1404</t>
  </si>
  <si>
    <t>L1405</t>
  </si>
  <si>
    <t>L1406</t>
  </si>
  <si>
    <t>L1407</t>
  </si>
  <si>
    <t>L1408</t>
  </si>
  <si>
    <t>L1409</t>
  </si>
  <si>
    <t>L1410</t>
  </si>
  <si>
    <t>L1411</t>
  </si>
  <si>
    <t>L1412</t>
  </si>
  <si>
    <t>L1413</t>
  </si>
  <si>
    <t>L1414</t>
  </si>
  <si>
    <t>L1415</t>
  </si>
  <si>
    <t>L1416</t>
  </si>
  <si>
    <t>L1417</t>
  </si>
  <si>
    <t>L1418</t>
  </si>
  <si>
    <t>L1419</t>
  </si>
  <si>
    <t>L1420</t>
  </si>
  <si>
    <t>L1421</t>
  </si>
  <si>
    <t>L1422</t>
  </si>
  <si>
    <t>L1423</t>
  </si>
  <si>
    <t>L1424</t>
  </si>
  <si>
    <t>L1425</t>
  </si>
  <si>
    <t>L1426</t>
  </si>
  <si>
    <t>L1427</t>
  </si>
  <si>
    <t>L1428</t>
  </si>
  <si>
    <t>L1429</t>
  </si>
  <si>
    <t>L1430</t>
  </si>
  <si>
    <t>L1431</t>
  </si>
  <si>
    <t>L1432</t>
  </si>
  <si>
    <t>L1433</t>
  </si>
  <si>
    <t>L1434</t>
  </si>
  <si>
    <t>L1435</t>
  </si>
  <si>
    <t>L1436</t>
  </si>
  <si>
    <t>L1437</t>
  </si>
  <si>
    <t>L1438</t>
  </si>
  <si>
    <t>L1439</t>
  </si>
  <si>
    <t>L1440</t>
  </si>
  <si>
    <t>L1441</t>
  </si>
  <si>
    <t>L1442</t>
  </si>
  <si>
    <t>L1443</t>
  </si>
  <si>
    <t>L1444</t>
  </si>
  <si>
    <t>L1445</t>
  </si>
  <si>
    <t>L1446</t>
  </si>
  <si>
    <t>L1447</t>
  </si>
  <si>
    <t>L1448</t>
  </si>
  <si>
    <t>L1449</t>
  </si>
  <si>
    <t>L1450</t>
  </si>
  <si>
    <t>L1451</t>
  </si>
  <si>
    <t>L1452</t>
  </si>
  <si>
    <t>L1453</t>
  </si>
  <si>
    <t>L1454</t>
  </si>
  <si>
    <t>L1455</t>
  </si>
  <si>
    <t>L1456</t>
  </si>
  <si>
    <t>L1457</t>
  </si>
  <si>
    <t>L1458</t>
  </si>
  <si>
    <t>L1459</t>
  </si>
  <si>
    <t>L1460</t>
  </si>
  <si>
    <t>L1461</t>
  </si>
  <si>
    <t>L1462</t>
  </si>
  <si>
    <t>L1463</t>
  </si>
  <si>
    <t>L1464</t>
  </si>
  <si>
    <t>L1465</t>
  </si>
  <si>
    <t>L1466</t>
  </si>
  <si>
    <t>L1467</t>
  </si>
  <si>
    <t>L1468</t>
  </si>
  <si>
    <t>L1469</t>
  </si>
  <si>
    <t>L1470</t>
  </si>
  <si>
    <t>L1471</t>
  </si>
  <si>
    <t>L1472</t>
  </si>
  <si>
    <t>L1473</t>
  </si>
  <si>
    <t>L1474</t>
  </si>
  <si>
    <t>L1475</t>
  </si>
  <si>
    <t>L1476</t>
  </si>
  <si>
    <t>L1477</t>
  </si>
  <si>
    <t>L1478</t>
  </si>
  <si>
    <t>L1479</t>
  </si>
  <si>
    <t>L1480</t>
  </si>
  <si>
    <t>L1481</t>
  </si>
  <si>
    <t>L1482</t>
  </si>
  <si>
    <t>L1483</t>
  </si>
  <si>
    <t>L1484</t>
  </si>
  <si>
    <t>L1485</t>
  </si>
  <si>
    <t>L1486</t>
  </si>
  <si>
    <t>L1487</t>
  </si>
  <si>
    <t>L1488</t>
  </si>
  <si>
    <t>L1489</t>
  </si>
  <si>
    <t>L1490</t>
  </si>
  <si>
    <t>L1491</t>
  </si>
  <si>
    <t>L1492</t>
  </si>
  <si>
    <t>L1493</t>
  </si>
  <si>
    <t>L1494</t>
  </si>
  <si>
    <t>L1495</t>
  </si>
  <si>
    <t>L1496</t>
  </si>
  <si>
    <t>L1497</t>
  </si>
  <si>
    <t>L1498</t>
  </si>
  <si>
    <t>L1499</t>
  </si>
  <si>
    <t>L1500</t>
  </si>
  <si>
    <t>L1501</t>
  </si>
  <si>
    <t>L1502</t>
  </si>
  <si>
    <t>L1503</t>
  </si>
  <si>
    <t>L1504</t>
  </si>
  <si>
    <t>L1505</t>
  </si>
  <si>
    <t>L1506</t>
  </si>
  <si>
    <t>L1507</t>
  </si>
  <si>
    <t>L1508</t>
  </si>
  <si>
    <t>L1509</t>
  </si>
  <si>
    <t>L1510</t>
  </si>
  <si>
    <t>L1511</t>
  </si>
  <si>
    <t>L1512</t>
  </si>
  <si>
    <t>L1513</t>
  </si>
  <si>
    <t>L1514</t>
  </si>
  <si>
    <t>L1515</t>
  </si>
  <si>
    <t>L1516</t>
  </si>
  <si>
    <t>L1517</t>
  </si>
  <si>
    <t>L1518</t>
  </si>
  <si>
    <t>L1519</t>
  </si>
  <si>
    <t>L1520</t>
  </si>
  <si>
    <t>L1521</t>
  </si>
  <si>
    <t>L1522</t>
  </si>
  <si>
    <t>L1523</t>
  </si>
  <si>
    <t>L1524</t>
  </si>
  <si>
    <t>L1525</t>
  </si>
  <si>
    <t>L1526</t>
  </si>
  <si>
    <t>L1527</t>
  </si>
  <si>
    <t>L1528</t>
  </si>
  <si>
    <t>L1529</t>
  </si>
  <si>
    <t>L1530</t>
  </si>
  <si>
    <t>L1531</t>
  </si>
  <si>
    <t>L1532</t>
  </si>
  <si>
    <t>L1533</t>
  </si>
  <si>
    <t>L1534</t>
  </si>
  <si>
    <t>L1535</t>
  </si>
  <si>
    <t>L1536</t>
  </si>
  <si>
    <t>L1537</t>
  </si>
  <si>
    <t>L1538</t>
  </si>
  <si>
    <t>L1539</t>
  </si>
  <si>
    <t>L1540</t>
  </si>
  <si>
    <t>L1541</t>
  </si>
  <si>
    <t>L1542</t>
  </si>
  <si>
    <t>L1543</t>
  </si>
  <si>
    <t>L1544</t>
  </si>
  <si>
    <t>L1545</t>
  </si>
  <si>
    <t>L1546</t>
  </si>
  <si>
    <t>L1547</t>
  </si>
  <si>
    <t>L1548</t>
  </si>
  <si>
    <t>L1549</t>
  </si>
  <si>
    <t>L1550</t>
  </si>
  <si>
    <t>L1551</t>
  </si>
  <si>
    <t>L1552</t>
  </si>
  <si>
    <t>L1553</t>
  </si>
  <si>
    <t>L1554</t>
  </si>
  <si>
    <t>L1555</t>
  </si>
  <si>
    <t>L1556</t>
  </si>
  <si>
    <t>L1557</t>
  </si>
  <si>
    <t>L1558</t>
  </si>
  <si>
    <t>L1559</t>
  </si>
  <si>
    <t>L1560</t>
  </si>
  <si>
    <t>L1561</t>
  </si>
  <si>
    <t>L1562</t>
  </si>
  <si>
    <t>L1563</t>
  </si>
  <si>
    <t>L1564</t>
  </si>
  <si>
    <t>L1565</t>
  </si>
  <si>
    <t>L1566</t>
  </si>
  <si>
    <t>L1567</t>
  </si>
  <si>
    <t>L1568</t>
  </si>
  <si>
    <t>L1569</t>
  </si>
  <si>
    <t>L1570</t>
  </si>
  <si>
    <t>L1571</t>
  </si>
  <si>
    <t>L1572</t>
  </si>
  <si>
    <t>L1573</t>
  </si>
  <si>
    <t>L1574</t>
  </si>
  <si>
    <t>L1575</t>
  </si>
  <si>
    <t>L1576</t>
  </si>
  <si>
    <t>L1577</t>
  </si>
  <si>
    <t>L1578</t>
  </si>
  <si>
    <t>L1579</t>
  </si>
  <si>
    <t>L1580</t>
  </si>
  <si>
    <t>L1581</t>
  </si>
  <si>
    <t>L1582</t>
  </si>
  <si>
    <t>L1583</t>
  </si>
  <si>
    <t>L1584</t>
  </si>
  <si>
    <t>L1585</t>
  </si>
  <si>
    <t>L1586</t>
  </si>
  <si>
    <t>L1587</t>
  </si>
  <si>
    <t>L1588</t>
  </si>
  <si>
    <t>L1589</t>
  </si>
  <si>
    <t>L1590</t>
  </si>
  <si>
    <t>L1591</t>
  </si>
  <si>
    <t>L1592</t>
  </si>
  <si>
    <t>L1593</t>
  </si>
  <si>
    <t>L1594</t>
  </si>
  <si>
    <t>L1595</t>
  </si>
  <si>
    <t>L1596</t>
  </si>
  <si>
    <t>L1597</t>
  </si>
  <si>
    <t>L1598</t>
  </si>
  <si>
    <t>L1599</t>
  </si>
  <si>
    <t>L1600</t>
  </si>
  <si>
    <t>L1601</t>
  </si>
  <si>
    <t>L1602</t>
  </si>
  <si>
    <t>L1603</t>
  </si>
  <si>
    <t>L1604</t>
  </si>
  <si>
    <t>L1605</t>
  </si>
  <si>
    <t>L1606</t>
  </si>
  <si>
    <t>L1607</t>
  </si>
  <si>
    <t>L1608</t>
  </si>
  <si>
    <t>L1609</t>
  </si>
  <si>
    <t>L1610</t>
  </si>
  <si>
    <t>L1611</t>
  </si>
  <si>
    <t>L1612</t>
  </si>
  <si>
    <t>L1613</t>
  </si>
  <si>
    <t>L1614</t>
  </si>
  <si>
    <t>L1615</t>
  </si>
  <si>
    <t>L1616</t>
  </si>
  <si>
    <t>L1617</t>
  </si>
  <si>
    <t>L1618</t>
  </si>
  <si>
    <t>L1619</t>
  </si>
  <si>
    <t>L1620</t>
  </si>
  <si>
    <t>L1621</t>
  </si>
  <si>
    <t>L1622</t>
  </si>
  <si>
    <t>L1623</t>
  </si>
  <si>
    <t>L1624</t>
  </si>
  <si>
    <t>L1625</t>
  </si>
  <si>
    <t>L1626</t>
  </si>
  <si>
    <t>L1627</t>
  </si>
  <si>
    <t>L1628</t>
  </si>
  <si>
    <t>L1629</t>
  </si>
  <si>
    <t>L1630</t>
  </si>
  <si>
    <t>L1631</t>
  </si>
  <si>
    <t>L1632</t>
  </si>
  <si>
    <t>L1633</t>
  </si>
  <si>
    <t>L1634</t>
  </si>
  <si>
    <t>L1635</t>
  </si>
  <si>
    <t>L1636</t>
  </si>
  <si>
    <t>L1637</t>
  </si>
  <si>
    <t>L1638</t>
  </si>
  <si>
    <t>L1639</t>
  </si>
  <si>
    <t>L1640</t>
  </si>
  <si>
    <t>L1641</t>
  </si>
  <si>
    <t>L1642</t>
  </si>
  <si>
    <t>L1643</t>
  </si>
  <si>
    <t>L1644</t>
  </si>
  <si>
    <t>L1645</t>
  </si>
  <si>
    <t>L1646</t>
  </si>
  <si>
    <t>L1647</t>
  </si>
  <si>
    <t>L1648</t>
  </si>
  <si>
    <t>L1649</t>
  </si>
  <si>
    <t>L1650</t>
  </si>
  <si>
    <t>L1651</t>
  </si>
  <si>
    <t>L1652</t>
  </si>
  <si>
    <t>L1653</t>
  </si>
  <si>
    <t>L1654</t>
  </si>
  <si>
    <t>L1655</t>
  </si>
  <si>
    <t>L1656</t>
  </si>
  <si>
    <t>L1657</t>
  </si>
  <si>
    <t>L1658</t>
  </si>
  <si>
    <t>L1659</t>
  </si>
  <si>
    <t>L1660</t>
  </si>
  <si>
    <t>L1661</t>
  </si>
  <si>
    <t>L1662</t>
  </si>
  <si>
    <t>L1663</t>
  </si>
  <si>
    <t>L1664</t>
  </si>
  <si>
    <t>L1665</t>
  </si>
  <si>
    <t>L1666</t>
  </si>
  <si>
    <t>L1667</t>
  </si>
  <si>
    <t>L1668</t>
  </si>
  <si>
    <t>L1669</t>
  </si>
  <si>
    <t>L1670</t>
  </si>
  <si>
    <t>L1671</t>
  </si>
  <si>
    <t>L1672</t>
  </si>
  <si>
    <t>L1673</t>
  </si>
  <si>
    <t>L1674</t>
  </si>
  <si>
    <t>L1675</t>
  </si>
  <si>
    <t>L1676</t>
  </si>
  <si>
    <t>L1677</t>
  </si>
  <si>
    <t>L1678</t>
  </si>
  <si>
    <t>L1679</t>
  </si>
  <si>
    <t>L1680</t>
  </si>
  <si>
    <t>L1681</t>
  </si>
  <si>
    <t>L1682</t>
  </si>
  <si>
    <t>L1683</t>
  </si>
  <si>
    <t>L1684</t>
  </si>
  <si>
    <t>L1685</t>
  </si>
  <si>
    <t>L1686</t>
  </si>
  <si>
    <t>L1687</t>
  </si>
  <si>
    <t>L1688</t>
  </si>
  <si>
    <t>L1689</t>
  </si>
  <si>
    <t>L1690</t>
  </si>
  <si>
    <t>L1691</t>
  </si>
  <si>
    <t>L1692</t>
  </si>
  <si>
    <t>L1693</t>
  </si>
  <si>
    <t>L1694</t>
  </si>
  <si>
    <t>L1695</t>
  </si>
  <si>
    <t>L1696</t>
  </si>
  <si>
    <t>L1697</t>
  </si>
  <si>
    <t>L1698</t>
  </si>
  <si>
    <t>L1699</t>
  </si>
  <si>
    <t>L1700</t>
  </si>
  <si>
    <t>L1701</t>
  </si>
  <si>
    <t>L1702</t>
  </si>
  <si>
    <t>L1703</t>
  </si>
  <si>
    <t>L1704</t>
  </si>
  <si>
    <t>L1705</t>
  </si>
  <si>
    <t>L1706</t>
  </si>
  <si>
    <t>L1707</t>
  </si>
  <si>
    <t>L1708</t>
  </si>
  <si>
    <t>L1709</t>
  </si>
  <si>
    <t>L1710</t>
  </si>
  <si>
    <t>L1711</t>
  </si>
  <si>
    <t>L1712</t>
  </si>
  <si>
    <t>L1713</t>
  </si>
  <si>
    <t>L1714</t>
  </si>
  <si>
    <t>L1715</t>
  </si>
  <si>
    <t>L1716</t>
  </si>
  <si>
    <t>L1717</t>
  </si>
  <si>
    <t>L1718</t>
  </si>
  <si>
    <t>L1719</t>
  </si>
  <si>
    <t>L1720</t>
  </si>
  <si>
    <t>L1721</t>
  </si>
  <si>
    <t>L1722</t>
  </si>
  <si>
    <t>L1723</t>
  </si>
  <si>
    <t>L1724</t>
  </si>
  <si>
    <t>L1725</t>
  </si>
  <si>
    <t>L1726</t>
  </si>
  <si>
    <t>L1727</t>
  </si>
  <si>
    <t>L1728</t>
  </si>
  <si>
    <t>L1729</t>
  </si>
  <si>
    <t>L1730</t>
  </si>
  <si>
    <t>L1731</t>
  </si>
  <si>
    <t>L1732</t>
  </si>
  <si>
    <t>L1733</t>
  </si>
  <si>
    <t>L1734</t>
  </si>
  <si>
    <t>L1735</t>
  </si>
  <si>
    <t>L1736</t>
  </si>
  <si>
    <t>L1737</t>
  </si>
  <si>
    <t>L1738</t>
  </si>
  <si>
    <t>L1739</t>
  </si>
  <si>
    <t>L1740</t>
  </si>
  <si>
    <t>L1741</t>
  </si>
  <si>
    <t>L1742</t>
  </si>
  <si>
    <t>L1743</t>
  </si>
  <si>
    <t>L1744</t>
  </si>
  <si>
    <t>L1745</t>
  </si>
  <si>
    <t>L1746</t>
  </si>
  <si>
    <t>L1747</t>
  </si>
  <si>
    <t>L1748</t>
  </si>
  <si>
    <t>L1749</t>
  </si>
  <si>
    <t>L1750</t>
  </si>
  <si>
    <t>L1751</t>
  </si>
  <si>
    <t>L1752</t>
  </si>
  <si>
    <t>L1753</t>
  </si>
  <si>
    <t>L1754</t>
  </si>
  <si>
    <t>L1755</t>
  </si>
  <si>
    <t>L1756</t>
  </si>
  <si>
    <t>L1757</t>
  </si>
  <si>
    <t>L1758</t>
  </si>
  <si>
    <t>L1759</t>
  </si>
  <si>
    <t>L1760</t>
  </si>
  <si>
    <t>L1761</t>
  </si>
  <si>
    <t>L1762</t>
  </si>
  <si>
    <t>L1763</t>
  </si>
  <si>
    <t>L1764</t>
  </si>
  <si>
    <t>L1765</t>
  </si>
  <si>
    <t>L1766</t>
  </si>
  <si>
    <t>L1767</t>
  </si>
  <si>
    <t>L1768</t>
  </si>
  <si>
    <t>L1769</t>
  </si>
  <si>
    <t>L1770</t>
  </si>
  <si>
    <t>L1771</t>
  </si>
  <si>
    <t>L1772</t>
  </si>
  <si>
    <t>L1773</t>
  </si>
  <si>
    <t>L1774</t>
  </si>
  <si>
    <t>L1775</t>
  </si>
  <si>
    <t>L1776</t>
  </si>
  <si>
    <t>L1777</t>
  </si>
  <si>
    <t>L1778</t>
  </si>
  <si>
    <t>L1779</t>
  </si>
  <si>
    <t>L1780</t>
  </si>
  <si>
    <t>L1781</t>
  </si>
  <si>
    <t>L1782</t>
  </si>
  <si>
    <t>L1783</t>
  </si>
  <si>
    <t>L1784</t>
  </si>
  <si>
    <t>L1785</t>
  </si>
  <si>
    <t>L1786</t>
  </si>
  <si>
    <t>L1787</t>
  </si>
  <si>
    <t>L1788</t>
  </si>
  <si>
    <t>L1789</t>
  </si>
  <si>
    <t>L1790</t>
  </si>
  <si>
    <t>L1791</t>
  </si>
  <si>
    <t>L1792</t>
  </si>
  <si>
    <t>L1793</t>
  </si>
  <si>
    <t>L1794</t>
  </si>
  <si>
    <t>L1795</t>
  </si>
  <si>
    <t>L1796</t>
  </si>
  <si>
    <t>L1797</t>
  </si>
  <si>
    <t>L1798</t>
  </si>
  <si>
    <t>L1799</t>
  </si>
  <si>
    <t>L1800</t>
  </si>
  <si>
    <t>L1801</t>
  </si>
  <si>
    <t>L1802</t>
  </si>
  <si>
    <t>L1803</t>
  </si>
  <si>
    <t>L1804</t>
  </si>
  <si>
    <t>L1805</t>
  </si>
  <si>
    <t>L1806</t>
  </si>
  <si>
    <t>L1807</t>
  </si>
  <si>
    <t>L1808</t>
  </si>
  <si>
    <t>L1809</t>
  </si>
  <si>
    <t>L1810</t>
  </si>
  <si>
    <t>L1811</t>
  </si>
  <si>
    <t>L1812</t>
  </si>
  <si>
    <t>L1813</t>
  </si>
  <si>
    <t>L1814</t>
  </si>
  <si>
    <t>L1815</t>
  </si>
  <si>
    <t>L1816</t>
  </si>
  <si>
    <t>L1817</t>
  </si>
  <si>
    <t>L1818</t>
  </si>
  <si>
    <t>L1819</t>
  </si>
  <si>
    <t>L1820</t>
  </si>
  <si>
    <t>L1821</t>
  </si>
  <si>
    <t>L1822</t>
  </si>
  <si>
    <t>L1823</t>
  </si>
  <si>
    <t>L1824</t>
  </si>
  <si>
    <t>L1825</t>
  </si>
  <si>
    <t>L1826</t>
  </si>
  <si>
    <t>L1827</t>
  </si>
  <si>
    <t>L1828</t>
  </si>
  <si>
    <t>L1829</t>
  </si>
  <si>
    <t>L1830</t>
  </si>
  <si>
    <t>L1831</t>
  </si>
  <si>
    <t>L1832</t>
  </si>
  <si>
    <t>L1833</t>
  </si>
  <si>
    <t>L1834</t>
  </si>
  <si>
    <t>L1835</t>
  </si>
  <si>
    <t>L1836</t>
  </si>
  <si>
    <t>L1837</t>
  </si>
  <si>
    <t>L1838</t>
  </si>
  <si>
    <t>L1839</t>
  </si>
  <si>
    <t>L1840</t>
  </si>
  <si>
    <t>L1841</t>
  </si>
  <si>
    <t>L1842</t>
  </si>
  <si>
    <t>L1843</t>
  </si>
  <si>
    <t>L1844</t>
  </si>
  <si>
    <t>L1845</t>
  </si>
  <si>
    <t>L1846</t>
  </si>
  <si>
    <t>L1847</t>
  </si>
  <si>
    <t>L1848</t>
  </si>
  <si>
    <t>L1849</t>
  </si>
  <si>
    <t>L1850</t>
  </si>
  <si>
    <t>L1851</t>
  </si>
  <si>
    <t>L1852</t>
  </si>
  <si>
    <t>L1853</t>
  </si>
  <si>
    <t>L1854</t>
  </si>
  <si>
    <t>L1855</t>
  </si>
  <si>
    <t>L1856</t>
  </si>
  <si>
    <t>L1857</t>
  </si>
  <si>
    <t>L1858</t>
  </si>
  <si>
    <t>L1859</t>
  </si>
  <si>
    <t>L1860</t>
  </si>
  <si>
    <t>L1861</t>
  </si>
  <si>
    <t>L1862</t>
  </si>
  <si>
    <t>L1863</t>
  </si>
  <si>
    <t>L1864</t>
  </si>
  <si>
    <t>L1865</t>
  </si>
  <si>
    <t>L1866</t>
  </si>
  <si>
    <t>L1867</t>
  </si>
  <si>
    <t>L1868</t>
  </si>
  <si>
    <t>L1869</t>
  </si>
  <si>
    <t>L1870</t>
  </si>
  <si>
    <t>L1871</t>
  </si>
  <si>
    <t>L1872</t>
  </si>
  <si>
    <t>L1873</t>
  </si>
  <si>
    <t>L1874</t>
  </si>
  <si>
    <t>L1875</t>
  </si>
  <si>
    <t>L1876</t>
  </si>
  <si>
    <t>L1877</t>
  </si>
  <si>
    <t>L1878</t>
  </si>
  <si>
    <t>L1879</t>
  </si>
  <si>
    <t>L1880</t>
  </si>
  <si>
    <t>L1881</t>
  </si>
  <si>
    <t>L1882</t>
  </si>
  <si>
    <t>L1883</t>
  </si>
  <si>
    <t>L1884</t>
  </si>
  <si>
    <t>L1885</t>
  </si>
  <si>
    <t>L1886</t>
  </si>
  <si>
    <t>L1887</t>
  </si>
  <si>
    <t>L1888</t>
  </si>
  <si>
    <t>L1889</t>
  </si>
  <si>
    <t>L1890</t>
  </si>
  <si>
    <t>L1891</t>
  </si>
  <si>
    <t>L1892</t>
  </si>
  <si>
    <t>L1893</t>
  </si>
  <si>
    <t>L1894</t>
  </si>
  <si>
    <t>L1895</t>
  </si>
  <si>
    <t>L1896</t>
  </si>
  <si>
    <t>L1897</t>
  </si>
  <si>
    <t>L1898</t>
  </si>
  <si>
    <t>L1899</t>
  </si>
  <si>
    <t>L1900</t>
  </si>
  <si>
    <t>L1901</t>
  </si>
  <si>
    <t>L1902</t>
  </si>
  <si>
    <t>L1903</t>
  </si>
  <si>
    <t>L1904</t>
  </si>
  <si>
    <t>L1905</t>
  </si>
  <si>
    <t>L1906</t>
  </si>
  <si>
    <t>L1907</t>
  </si>
  <si>
    <t>L1908</t>
  </si>
  <si>
    <t>L1909</t>
  </si>
  <si>
    <t>L1910</t>
  </si>
  <si>
    <t>L1911</t>
  </si>
  <si>
    <t>L1912</t>
  </si>
  <si>
    <t>L1913</t>
  </si>
  <si>
    <t>L1914</t>
  </si>
  <si>
    <t>L1915</t>
  </si>
  <si>
    <t>L1916</t>
  </si>
  <si>
    <t>L1917</t>
  </si>
  <si>
    <t>L1918</t>
  </si>
  <si>
    <t>L1919</t>
  </si>
  <si>
    <t>L1920</t>
  </si>
  <si>
    <t>L1921</t>
  </si>
  <si>
    <t>L1922</t>
  </si>
  <si>
    <t>L1923</t>
  </si>
  <si>
    <t>L1924</t>
  </si>
  <si>
    <t>L1925</t>
  </si>
  <si>
    <t>L1926</t>
  </si>
  <si>
    <t>L1927</t>
  </si>
  <si>
    <t>L1928</t>
  </si>
  <si>
    <t>L1929</t>
  </si>
  <si>
    <t>L1930</t>
  </si>
  <si>
    <t>L1931</t>
  </si>
  <si>
    <t>L1932</t>
  </si>
  <si>
    <t>L1933</t>
  </si>
  <si>
    <t>L1934</t>
  </si>
  <si>
    <t>L1935</t>
  </si>
  <si>
    <t>L1936</t>
  </si>
  <si>
    <t>L1937</t>
  </si>
  <si>
    <t>L1938</t>
  </si>
  <si>
    <t>L1939</t>
  </si>
  <si>
    <t>L1940</t>
  </si>
  <si>
    <t>L1941</t>
  </si>
  <si>
    <t>L1942</t>
  </si>
  <si>
    <t>L1943</t>
  </si>
  <si>
    <t>L1944</t>
  </si>
  <si>
    <t>L1945</t>
  </si>
  <si>
    <t>L1946</t>
  </si>
  <si>
    <t>L1947</t>
  </si>
  <si>
    <t>L1948</t>
  </si>
  <si>
    <t>L1949</t>
  </si>
  <si>
    <t>L1950</t>
  </si>
  <si>
    <t>L1951</t>
  </si>
  <si>
    <t>L1952</t>
  </si>
  <si>
    <t>L1953</t>
  </si>
  <si>
    <t>L1954</t>
  </si>
  <si>
    <t>L1955</t>
  </si>
  <si>
    <t>L1956</t>
  </si>
  <si>
    <t>L1957</t>
  </si>
  <si>
    <t>L1958</t>
  </si>
  <si>
    <t>L1959</t>
  </si>
  <si>
    <t>L1960</t>
  </si>
  <si>
    <t>L1961</t>
  </si>
  <si>
    <t>L1962</t>
  </si>
  <si>
    <t>L1963</t>
  </si>
  <si>
    <t>L1964</t>
  </si>
  <si>
    <t>L1965</t>
  </si>
  <si>
    <t>L1966</t>
  </si>
  <si>
    <t>L1967</t>
  </si>
  <si>
    <t>L1968</t>
  </si>
  <si>
    <t>L1969</t>
  </si>
  <si>
    <t>L1970</t>
  </si>
  <si>
    <t>L1971</t>
  </si>
  <si>
    <t>L1972</t>
  </si>
  <si>
    <t>L1973</t>
  </si>
  <si>
    <t>L1974</t>
  </si>
  <si>
    <t>L1975</t>
  </si>
  <si>
    <t>L1976</t>
  </si>
  <si>
    <t>L1977</t>
  </si>
  <si>
    <t>L1978</t>
  </si>
  <si>
    <t>L1979</t>
  </si>
  <si>
    <t>L1980</t>
  </si>
  <si>
    <t>L1981</t>
  </si>
  <si>
    <t>L1982</t>
  </si>
  <si>
    <t>L1983</t>
  </si>
  <si>
    <t>L1984</t>
  </si>
  <si>
    <t>L1985</t>
  </si>
  <si>
    <t>L1986</t>
  </si>
  <si>
    <t>L1987</t>
  </si>
  <si>
    <t>L1988</t>
  </si>
  <si>
    <t>L1989</t>
  </si>
  <si>
    <t>L1990</t>
  </si>
  <si>
    <t>L1991</t>
  </si>
  <si>
    <t>L1992</t>
  </si>
  <si>
    <t>L1993</t>
  </si>
  <si>
    <t>L1994</t>
  </si>
  <si>
    <t>L1995</t>
  </si>
  <si>
    <t>L1996</t>
  </si>
  <si>
    <t>L1997</t>
  </si>
  <si>
    <t>L1998</t>
  </si>
  <si>
    <t>L1999</t>
  </si>
  <si>
    <t>Total leads</t>
  </si>
  <si>
    <t>totleads_prebooked</t>
  </si>
  <si>
    <t>Grand Total</t>
  </si>
  <si>
    <t>Average of TAT Pre-Booking (Days)</t>
  </si>
  <si>
    <t>Average of TAT Delivery (Days)</t>
  </si>
  <si>
    <t>Average of TAT Booking (Days)</t>
  </si>
  <si>
    <t>store</t>
  </si>
  <si>
    <t>Column Labels</t>
  </si>
  <si>
    <t>Count of Lead ID</t>
  </si>
  <si>
    <t>Lead_type</t>
  </si>
  <si>
    <t>Conversion_rate_prebooking</t>
  </si>
  <si>
    <t>totleads_booked</t>
  </si>
  <si>
    <t>Conversion_rate_booking</t>
  </si>
  <si>
    <t>totleads_delivered</t>
  </si>
  <si>
    <t>Conversion_rate_delivery</t>
  </si>
  <si>
    <t>Cancelled_leads_count</t>
  </si>
  <si>
    <t>Store</t>
  </si>
  <si>
    <t xml:space="preserve">Count </t>
  </si>
  <si>
    <t>NPS Category</t>
  </si>
  <si>
    <t>Detractor</t>
  </si>
  <si>
    <t>Passive</t>
  </si>
  <si>
    <t>Promoter</t>
  </si>
  <si>
    <t>NPS</t>
  </si>
  <si>
    <t>Lead Potential</t>
  </si>
  <si>
    <t>Row Labels</t>
  </si>
  <si>
    <t>Count of Pre-Booking Date</t>
  </si>
  <si>
    <t>Count of Booking Date</t>
  </si>
  <si>
    <t>conv_rate_pre_booking</t>
  </si>
  <si>
    <t>conv_rate_booking</t>
  </si>
  <si>
    <t xml:space="preserve">Avg_TAT_Pre-Booking </t>
  </si>
  <si>
    <t xml:space="preserve">Avg_TAT_Booking </t>
  </si>
  <si>
    <t>Avg_TAT_Delivery</t>
  </si>
  <si>
    <t>conv_rate_delivery</t>
  </si>
  <si>
    <t>High Potential</t>
  </si>
  <si>
    <t>Average of Customer Rating</t>
  </si>
  <si>
    <t>Total Leads</t>
  </si>
  <si>
    <t>Avg Customer Rating</t>
  </si>
  <si>
    <t>Pre-Booking Leads</t>
  </si>
  <si>
    <t>Booking-Leads</t>
  </si>
  <si>
    <t>Delivery Leads</t>
  </si>
  <si>
    <t>Avg TAT Pre-Booking</t>
  </si>
  <si>
    <t>Avg TAT Booking</t>
  </si>
  <si>
    <t>Avg TAT Delivery</t>
  </si>
  <si>
    <t>Cancelled_leads</t>
  </si>
  <si>
    <t>Lead_Count</t>
  </si>
  <si>
    <t>Avg Rating</t>
  </si>
  <si>
    <t>High Potential Lead</t>
  </si>
  <si>
    <t>Count</t>
  </si>
  <si>
    <t>Conversion rates (Lead → Pre-Booking → Booking → Delivery)</t>
  </si>
  <si>
    <t>Average TAT for each stage per store</t>
  </si>
  <si>
    <t>Breakdown of Hot/Warm/Cold leads</t>
  </si>
  <si>
    <t>Cancellation patterns by store and reason</t>
  </si>
  <si>
    <t>NPS of each store</t>
  </si>
  <si>
    <t>Overall Lead Distribution</t>
  </si>
  <si>
    <t>Lead distribution by Store</t>
  </si>
  <si>
    <t>Cancelled Lead by lead type</t>
  </si>
  <si>
    <t>Cancelled Leads Count by Cancellation Reason</t>
  </si>
  <si>
    <t>Cancellation Reasons Distribution by Store</t>
  </si>
  <si>
    <t>Header KPIs</t>
  </si>
  <si>
    <t>Conversion Rates</t>
  </si>
  <si>
    <t>Avg TATs</t>
  </si>
  <si>
    <t>Cancellation Patterns</t>
  </si>
  <si>
    <t>Lead Distributioon</t>
  </si>
  <si>
    <t>Customer Ratings Distribution</t>
  </si>
  <si>
    <t>High Potential Leads Distribution</t>
  </si>
  <si>
    <t>(blank)</t>
  </si>
  <si>
    <t>Leads Cancelled at Pre-booking stage</t>
  </si>
  <si>
    <t>(Multiple Items)</t>
  </si>
  <si>
    <t>Cancelled Leads by Stages</t>
  </si>
  <si>
    <t>Cancelled Leads by Stage(Pre-Booking and Post Booking)</t>
  </si>
  <si>
    <t>Total Delivered Lead</t>
  </si>
  <si>
    <t>Total Lead</t>
  </si>
  <si>
    <t>Delivered Leads Count</t>
  </si>
  <si>
    <t>Leads Cancelled after Booking</t>
  </si>
  <si>
    <t>Total Cancelled Leads</t>
  </si>
  <si>
    <t>Service Follow-up Time(Days)</t>
  </si>
  <si>
    <t>Average of Service Follow-up Time(Days)</t>
  </si>
  <si>
    <t>Consumer_type</t>
  </si>
  <si>
    <t>Service Follow-up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</si>
</sst>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yyyy\-mm\-dd"/>
    <numFmt numFmtId="165" formatCode="0.0%"/>
    <numFmt numFmtId="166" formatCode="0.0"/>
  </numFmts>
  <fonts count="12" x14ac:knownFonts="1">
    <font>
      <sz val="11"/>
      <color theme="1"/>
      <name val="Calibri"/>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font>
    <font>
      <b/>
      <sz val="11"/>
      <color theme="1"/>
      <name val="Calibri"/>
      <family val="2"/>
      <scheme val="minor"/>
    </font>
    <font>
      <b/>
      <sz val="16"/>
      <color theme="1"/>
      <name val="Calibri"/>
      <family val="2"/>
      <scheme val="minor"/>
    </font>
    <font>
      <b/>
      <sz val="14"/>
      <color theme="1"/>
      <name val="Calibri"/>
      <family val="2"/>
      <scheme val="minor"/>
    </font>
    <font>
      <b/>
      <sz val="12"/>
      <color theme="1"/>
      <name val="Calibri"/>
      <family val="2"/>
      <scheme val="minor"/>
    </font>
  </fonts>
  <fills count="5">
    <fill>
      <patternFill patternType="none"/>
    </fill>
    <fill>
      <patternFill patternType="gray125"/>
    </fill>
    <fill>
      <patternFill patternType="solid">
        <fgColor theme="6" tint="0.39997558519241921"/>
        <bgColor indexed="65"/>
      </patternFill>
    </fill>
    <fill>
      <patternFill patternType="solid">
        <fgColor rgb="FFFFFF00"/>
        <bgColor indexed="64"/>
      </patternFill>
    </fill>
    <fill>
      <patternFill patternType="solid">
        <fgColor theme="9" tint="-0.249977111117893"/>
        <bgColor indexed="64"/>
      </patternFill>
    </fill>
  </fills>
  <borders count="50">
    <border>
      <left/>
      <right/>
      <top/>
      <bottom/>
      <diagonal/>
    </border>
    <border>
      <left style="thin">
        <color rgb="FF000000"/>
      </left>
      <right style="thin">
        <color rgb="FF000000"/>
      </right>
      <top style="thin">
        <color rgb="FF000000"/>
      </top>
      <bottom style="thin">
        <color rgb="FF000000"/>
      </bottom>
      <diagonal/>
    </border>
    <border>
      <left style="thin">
        <color rgb="FF999999"/>
      </left>
      <right/>
      <top style="thin">
        <color rgb="FF999999"/>
      </top>
      <bottom/>
      <diagonal/>
    </border>
    <border>
      <left/>
      <right/>
      <top style="thin">
        <color rgb="FF999999"/>
      </top>
      <bottom/>
      <diagonal/>
    </border>
    <border>
      <left style="thin">
        <color rgb="FF999999"/>
      </left>
      <right/>
      <top style="thin">
        <color indexed="65"/>
      </top>
      <bottom/>
      <diagonal/>
    </border>
    <border>
      <left/>
      <right/>
      <top style="thin">
        <color indexed="65"/>
      </top>
      <bottom/>
      <diagonal/>
    </border>
    <border>
      <left style="thin">
        <color rgb="FF999999"/>
      </left>
      <right/>
      <top style="thin">
        <color indexed="65"/>
      </top>
      <bottom style="thin">
        <color rgb="FF999999"/>
      </bottom>
      <diagonal/>
    </border>
    <border>
      <left/>
      <right/>
      <top style="thin">
        <color indexed="65"/>
      </top>
      <bottom style="thin">
        <color rgb="FF999999"/>
      </bottom>
      <diagonal/>
    </border>
    <border>
      <left style="thin">
        <color rgb="FF000000"/>
      </left>
      <right style="thin">
        <color rgb="FF000000"/>
      </right>
      <top/>
      <bottom/>
      <diagonal/>
    </border>
    <border>
      <left/>
      <right/>
      <top style="thin">
        <color theme="6" tint="0.79998168889431442"/>
      </top>
      <bottom style="thin">
        <color theme="6" tint="0.79998168889431442"/>
      </bottom>
      <diagonal/>
    </border>
    <border>
      <left/>
      <right/>
      <top style="thin">
        <color theme="6" tint="0.79998168889431442"/>
      </top>
      <bottom/>
      <diagonal/>
    </border>
    <border>
      <left style="thin">
        <color rgb="FF999999"/>
      </left>
      <right/>
      <top style="thin">
        <color rgb="FF999999"/>
      </top>
      <bottom style="thin">
        <color rgb="FF999999"/>
      </bottom>
      <diagonal/>
    </border>
    <border>
      <left style="thin">
        <color rgb="FF999999"/>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5"/>
      </top>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999999"/>
      </left>
      <right style="medium">
        <color indexed="64"/>
      </right>
      <top style="medium">
        <color indexed="64"/>
      </top>
      <bottom/>
      <diagonal/>
    </border>
    <border>
      <left style="thin">
        <color rgb="FF999999"/>
      </left>
      <right style="medium">
        <color indexed="64"/>
      </right>
      <top style="thin">
        <color indexed="65"/>
      </top>
      <bottom/>
      <diagonal/>
    </border>
    <border>
      <left style="medium">
        <color indexed="64"/>
      </left>
      <right/>
      <top style="thin">
        <color indexed="65"/>
      </top>
      <bottom style="medium">
        <color indexed="64"/>
      </bottom>
      <diagonal/>
    </border>
    <border>
      <left style="thin">
        <color rgb="FF999999"/>
      </left>
      <right style="medium">
        <color indexed="64"/>
      </right>
      <top style="thin">
        <color indexed="65"/>
      </top>
      <bottom style="medium">
        <color indexed="64"/>
      </bottom>
      <diagonal/>
    </border>
    <border>
      <left style="medium">
        <color indexed="64"/>
      </left>
      <right style="medium">
        <color indexed="64"/>
      </right>
      <top style="thin">
        <color indexed="65"/>
      </top>
      <bottom/>
      <diagonal/>
    </border>
    <border>
      <left style="medium">
        <color indexed="64"/>
      </left>
      <right style="medium">
        <color indexed="64"/>
      </right>
      <top style="thin">
        <color indexed="65"/>
      </top>
      <bottom style="medium">
        <color indexed="64"/>
      </bottom>
      <diagonal/>
    </border>
    <border>
      <left style="medium">
        <color indexed="64"/>
      </left>
      <right style="thin">
        <color rgb="FF999999"/>
      </right>
      <top style="medium">
        <color indexed="64"/>
      </top>
      <bottom style="medium">
        <color indexed="64"/>
      </bottom>
      <diagonal/>
    </border>
    <border>
      <left style="thin">
        <color rgb="FF999999"/>
      </left>
      <right style="medium">
        <color indexed="64"/>
      </right>
      <top style="medium">
        <color indexed="64"/>
      </top>
      <bottom style="medium">
        <color indexed="64"/>
      </bottom>
      <diagonal/>
    </border>
    <border>
      <left/>
      <right/>
      <top style="thin">
        <color indexed="65"/>
      </top>
      <bottom style="medium">
        <color indexed="64"/>
      </bottom>
      <diagonal/>
    </border>
    <border>
      <left style="thin">
        <color indexed="65"/>
      </left>
      <right/>
      <top style="medium">
        <color indexed="64"/>
      </top>
      <bottom style="medium">
        <color indexed="64"/>
      </bottom>
      <diagonal/>
    </border>
    <border>
      <left style="thin">
        <color indexed="65"/>
      </left>
      <right style="medium">
        <color indexed="64"/>
      </right>
      <top style="medium">
        <color indexed="64"/>
      </top>
      <bottom style="medium">
        <color indexed="64"/>
      </bottom>
      <diagonal/>
    </border>
    <border>
      <left style="medium">
        <color indexed="64"/>
      </left>
      <right style="medium">
        <color indexed="64"/>
      </right>
      <top style="thin">
        <color rgb="FF999999"/>
      </top>
      <bottom style="medium">
        <color indexed="64"/>
      </bottom>
      <diagonal/>
    </border>
    <border>
      <left style="medium">
        <color indexed="64"/>
      </left>
      <right style="medium">
        <color indexed="64"/>
      </right>
      <top style="thin">
        <color rgb="FF999999"/>
      </top>
      <bottom/>
      <diagonal/>
    </border>
    <border>
      <left style="medium">
        <color indexed="64"/>
      </left>
      <right/>
      <top/>
      <bottom style="thin">
        <color indexed="64"/>
      </bottom>
      <diagonal/>
    </border>
    <border>
      <left/>
      <right/>
      <top/>
      <bottom style="thin">
        <color indexed="64"/>
      </bottom>
      <diagonal/>
    </border>
    <border>
      <left/>
      <right style="medium">
        <color indexed="64"/>
      </right>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top style="thin">
        <color rgb="FF999999"/>
      </top>
      <bottom/>
      <diagonal/>
    </border>
    <border>
      <left style="medium">
        <color indexed="64"/>
      </left>
      <right/>
      <top style="thin">
        <color rgb="FF999999"/>
      </top>
      <bottom style="medium">
        <color indexed="64"/>
      </bottom>
      <diagonal/>
    </border>
  </borders>
  <cellStyleXfs count="3">
    <xf numFmtId="0" fontId="0" fillId="0" borderId="0"/>
    <xf numFmtId="9" fontId="6" fillId="0" borderId="0" applyFont="0" applyFill="0" applyBorder="0" applyAlignment="0" applyProtection="0"/>
    <xf numFmtId="0" fontId="5" fillId="2" borderId="0" applyNumberFormat="0" applyBorder="0" applyAlignment="0" applyProtection="0"/>
  </cellStyleXfs>
  <cellXfs count="129">
    <xf numFmtId="0" fontId="0" fillId="0" borderId="0" xfId="0"/>
    <xf numFmtId="0" fontId="6" fillId="0" borderId="0" xfId="0" applyFont="1"/>
    <xf numFmtId="164" fontId="7" fillId="0" borderId="0" xfId="0" applyNumberFormat="1" applyFont="1"/>
    <xf numFmtId="0" fontId="0" fillId="0" borderId="0" xfId="1" applyNumberFormat="1" applyFont="1"/>
    <xf numFmtId="0" fontId="0" fillId="0" borderId="0" xfId="0" applyAlignment="1">
      <alignment horizontal="left"/>
    </xf>
    <xf numFmtId="0" fontId="0" fillId="0" borderId="2" xfId="0" applyBorder="1"/>
    <xf numFmtId="0" fontId="0" fillId="0" borderId="3" xfId="0" applyBorder="1"/>
    <xf numFmtId="0" fontId="0" fillId="0" borderId="2" xfId="0" applyBorder="1" applyAlignment="1">
      <alignment horizontal="left"/>
    </xf>
    <xf numFmtId="0" fontId="0" fillId="0" borderId="4" xfId="0" applyBorder="1" applyAlignment="1">
      <alignment horizontal="left"/>
    </xf>
    <xf numFmtId="0" fontId="0" fillId="0" borderId="6" xfId="0" applyBorder="1" applyAlignment="1">
      <alignment horizontal="left"/>
    </xf>
    <xf numFmtId="0" fontId="5" fillId="2" borderId="1" xfId="2" applyBorder="1" applyAlignment="1">
      <alignment horizontal="center" vertical="top"/>
    </xf>
    <xf numFmtId="0" fontId="5" fillId="2" borderId="0" xfId="2"/>
    <xf numFmtId="0" fontId="5" fillId="2" borderId="8" xfId="2" applyBorder="1" applyAlignment="1">
      <alignment horizontal="center" vertical="top"/>
    </xf>
    <xf numFmtId="0" fontId="4" fillId="0" borderId="9" xfId="0" applyFont="1" applyBorder="1" applyAlignment="1">
      <alignment horizontal="left"/>
    </xf>
    <xf numFmtId="0" fontId="4" fillId="0" borderId="10" xfId="0" applyFont="1" applyBorder="1" applyAlignment="1">
      <alignment horizontal="left"/>
    </xf>
    <xf numFmtId="10" fontId="4" fillId="0" borderId="9" xfId="0" applyNumberFormat="1" applyFont="1" applyBorder="1"/>
    <xf numFmtId="0" fontId="0" fillId="0" borderId="11" xfId="0" applyBorder="1" applyAlignment="1">
      <alignment horizontal="left"/>
    </xf>
    <xf numFmtId="0" fontId="0" fillId="0" borderId="12" xfId="0" applyBorder="1"/>
    <xf numFmtId="0" fontId="0" fillId="0" borderId="3" xfId="0" applyBorder="1" applyAlignment="1">
      <alignment horizontal="left"/>
    </xf>
    <xf numFmtId="0" fontId="0" fillId="0" borderId="5" xfId="0" applyBorder="1" applyAlignment="1">
      <alignment horizontal="left"/>
    </xf>
    <xf numFmtId="0" fontId="0" fillId="0" borderId="7" xfId="0" applyBorder="1" applyAlignment="1">
      <alignment horizontal="left"/>
    </xf>
    <xf numFmtId="0" fontId="0" fillId="0" borderId="16" xfId="0" applyBorder="1"/>
    <xf numFmtId="0" fontId="0" fillId="0" borderId="17" xfId="0" applyBorder="1"/>
    <xf numFmtId="0" fontId="0" fillId="0" borderId="18" xfId="0" applyBorder="1"/>
    <xf numFmtId="10" fontId="0" fillId="3" borderId="18" xfId="1" applyNumberFormat="1" applyFont="1" applyFill="1" applyBorder="1"/>
    <xf numFmtId="9" fontId="0" fillId="3" borderId="18" xfId="1" applyFont="1" applyFill="1" applyBorder="1"/>
    <xf numFmtId="0" fontId="0" fillId="0" borderId="19" xfId="0" applyBorder="1"/>
    <xf numFmtId="0" fontId="0" fillId="0" borderId="20" xfId="0" applyBorder="1"/>
    <xf numFmtId="0" fontId="0" fillId="0" borderId="21" xfId="0" applyBorder="1"/>
    <xf numFmtId="0" fontId="0" fillId="0" borderId="14" xfId="0" applyBorder="1"/>
    <xf numFmtId="2" fontId="0" fillId="0" borderId="18" xfId="0" applyNumberFormat="1" applyBorder="1"/>
    <xf numFmtId="0" fontId="0" fillId="0" borderId="17" xfId="0" applyBorder="1" applyAlignment="1">
      <alignment horizontal="left"/>
    </xf>
    <xf numFmtId="0" fontId="0" fillId="0" borderId="15" xfId="0" applyBorder="1"/>
    <xf numFmtId="10" fontId="0" fillId="0" borderId="0" xfId="0" applyNumberFormat="1"/>
    <xf numFmtId="0" fontId="0" fillId="3" borderId="0" xfId="0" applyFill="1"/>
    <xf numFmtId="10" fontId="0" fillId="3" borderId="0" xfId="0" applyNumberFormat="1" applyFill="1"/>
    <xf numFmtId="0" fontId="0" fillId="0" borderId="13" xfId="0" pivotButton="1" applyBorder="1"/>
    <xf numFmtId="0" fontId="0" fillId="0" borderId="23" xfId="0" applyBorder="1" applyAlignment="1">
      <alignment horizontal="left"/>
    </xf>
    <xf numFmtId="0" fontId="0" fillId="0" borderId="24" xfId="0" applyBorder="1" applyAlignment="1">
      <alignment horizontal="left"/>
    </xf>
    <xf numFmtId="0" fontId="0" fillId="0" borderId="25" xfId="0" applyBorder="1" applyAlignment="1">
      <alignment horizontal="left"/>
    </xf>
    <xf numFmtId="0" fontId="0" fillId="0" borderId="13" xfId="0" applyBorder="1"/>
    <xf numFmtId="0" fontId="0" fillId="0" borderId="26" xfId="0" applyBorder="1"/>
    <xf numFmtId="0" fontId="0" fillId="0" borderId="27" xfId="0" applyBorder="1"/>
    <xf numFmtId="0" fontId="0" fillId="0" borderId="28" xfId="0" applyBorder="1"/>
    <xf numFmtId="0" fontId="0" fillId="0" borderId="26" xfId="0" pivotButton="1" applyBorder="1"/>
    <xf numFmtId="0" fontId="0" fillId="0" borderId="13" xfId="0" applyBorder="1" applyAlignment="1">
      <alignment horizontal="left"/>
    </xf>
    <xf numFmtId="2" fontId="0" fillId="0" borderId="16" xfId="0" applyNumberFormat="1" applyBorder="1"/>
    <xf numFmtId="2" fontId="0" fillId="0" borderId="20" xfId="0" applyNumberFormat="1" applyBorder="1"/>
    <xf numFmtId="2" fontId="0" fillId="0" borderId="21" xfId="0" applyNumberFormat="1" applyBorder="1"/>
    <xf numFmtId="2" fontId="0" fillId="0" borderId="14" xfId="0" applyNumberFormat="1" applyBorder="1"/>
    <xf numFmtId="2" fontId="0" fillId="0" borderId="15" xfId="0" applyNumberFormat="1" applyBorder="1"/>
    <xf numFmtId="2" fontId="0" fillId="0" borderId="19" xfId="0" applyNumberFormat="1" applyBorder="1"/>
    <xf numFmtId="2" fontId="0" fillId="0" borderId="28" xfId="0" applyNumberFormat="1" applyBorder="1"/>
    <xf numFmtId="10" fontId="0" fillId="0" borderId="20" xfId="0" applyNumberFormat="1" applyBorder="1"/>
    <xf numFmtId="10" fontId="0" fillId="0" borderId="21" xfId="0" applyNumberFormat="1" applyBorder="1"/>
    <xf numFmtId="2" fontId="0" fillId="0" borderId="17" xfId="0" applyNumberFormat="1" applyBorder="1"/>
    <xf numFmtId="10" fontId="0" fillId="0" borderId="18" xfId="0" applyNumberFormat="1" applyBorder="1"/>
    <xf numFmtId="10" fontId="0" fillId="0" borderId="14" xfId="0" applyNumberFormat="1" applyBorder="1"/>
    <xf numFmtId="10" fontId="0" fillId="0" borderId="15" xfId="0" applyNumberFormat="1" applyBorder="1"/>
    <xf numFmtId="10" fontId="0" fillId="0" borderId="16" xfId="0" applyNumberFormat="1" applyBorder="1"/>
    <xf numFmtId="10" fontId="0" fillId="0" borderId="17" xfId="0" applyNumberFormat="1" applyBorder="1"/>
    <xf numFmtId="10" fontId="0" fillId="0" borderId="19" xfId="0" applyNumberFormat="1" applyBorder="1"/>
    <xf numFmtId="0" fontId="8" fillId="4" borderId="17" xfId="0" applyFont="1" applyFill="1" applyBorder="1"/>
    <xf numFmtId="166" fontId="0" fillId="0" borderId="0" xfId="0" applyNumberFormat="1"/>
    <xf numFmtId="0" fontId="0" fillId="0" borderId="16" xfId="0" applyBorder="1" applyAlignment="1">
      <alignment horizontal="left"/>
    </xf>
    <xf numFmtId="0" fontId="0" fillId="0" borderId="18" xfId="0" applyBorder="1" applyAlignment="1">
      <alignment horizontal="left"/>
    </xf>
    <xf numFmtId="0" fontId="4" fillId="0" borderId="0" xfId="0" applyFont="1"/>
    <xf numFmtId="0" fontId="3" fillId="0" borderId="18" xfId="0" applyFont="1" applyBorder="1"/>
    <xf numFmtId="165" fontId="0" fillId="0" borderId="0" xfId="1" applyNumberFormat="1" applyFont="1" applyBorder="1"/>
    <xf numFmtId="165" fontId="0" fillId="0" borderId="18" xfId="1" applyNumberFormat="1" applyFont="1" applyBorder="1"/>
    <xf numFmtId="0" fontId="8" fillId="4" borderId="14" xfId="0" applyFont="1" applyFill="1" applyBorder="1"/>
    <xf numFmtId="166" fontId="0" fillId="0" borderId="23" xfId="0" applyNumberFormat="1" applyBorder="1"/>
    <xf numFmtId="166" fontId="0" fillId="0" borderId="33" xfId="0" applyNumberFormat="1" applyBorder="1"/>
    <xf numFmtId="166" fontId="0" fillId="0" borderId="34" xfId="0" applyNumberFormat="1" applyBorder="1"/>
    <xf numFmtId="0" fontId="0" fillId="0" borderId="33" xfId="0" applyBorder="1" applyAlignment="1">
      <alignment horizontal="left"/>
    </xf>
    <xf numFmtId="0" fontId="0" fillId="0" borderId="34" xfId="0" applyBorder="1" applyAlignment="1">
      <alignment horizontal="left"/>
    </xf>
    <xf numFmtId="0" fontId="0" fillId="0" borderId="35" xfId="0" pivotButton="1" applyBorder="1"/>
    <xf numFmtId="0" fontId="0" fillId="0" borderId="36" xfId="0" applyBorder="1"/>
    <xf numFmtId="0" fontId="0" fillId="0" borderId="38" xfId="0" applyBorder="1"/>
    <xf numFmtId="0" fontId="0" fillId="0" borderId="39" xfId="0" applyBorder="1"/>
    <xf numFmtId="0" fontId="0" fillId="0" borderId="40" xfId="0" applyBorder="1"/>
    <xf numFmtId="0" fontId="0" fillId="0" borderId="40" xfId="0" pivotButton="1" applyBorder="1"/>
    <xf numFmtId="0" fontId="0" fillId="0" borderId="41" xfId="0" applyBorder="1" applyAlignment="1">
      <alignment horizontal="left"/>
    </xf>
    <xf numFmtId="0" fontId="8" fillId="3" borderId="0" xfId="0" applyFont="1" applyFill="1"/>
    <xf numFmtId="0" fontId="8" fillId="4" borderId="0" xfId="0" applyFont="1" applyFill="1"/>
    <xf numFmtId="0" fontId="0" fillId="3" borderId="18" xfId="0" applyFill="1" applyBorder="1"/>
    <xf numFmtId="2" fontId="0" fillId="3" borderId="0" xfId="0" applyNumberFormat="1" applyFill="1"/>
    <xf numFmtId="2" fontId="0" fillId="3" borderId="18" xfId="0" applyNumberFormat="1" applyFill="1" applyBorder="1"/>
    <xf numFmtId="0" fontId="7" fillId="0" borderId="0" xfId="0" applyFont="1"/>
    <xf numFmtId="0" fontId="0" fillId="0" borderId="42" xfId="0" applyBorder="1"/>
    <xf numFmtId="0" fontId="0" fillId="0" borderId="43" xfId="0" applyBorder="1"/>
    <xf numFmtId="0" fontId="0" fillId="0" borderId="44" xfId="0" applyBorder="1"/>
    <xf numFmtId="0" fontId="0" fillId="0" borderId="46" xfId="0" applyBorder="1"/>
    <xf numFmtId="0" fontId="0" fillId="0" borderId="47" xfId="0" pivotButton="1" applyBorder="1"/>
    <xf numFmtId="2" fontId="0" fillId="0" borderId="0" xfId="0" applyNumberFormat="1"/>
    <xf numFmtId="0" fontId="1" fillId="2" borderId="1" xfId="2" applyFont="1" applyBorder="1" applyAlignment="1">
      <alignment horizontal="center" vertical="top"/>
    </xf>
    <xf numFmtId="166" fontId="0" fillId="0" borderId="48" xfId="0" pivotButton="1" applyNumberFormat="1" applyBorder="1"/>
    <xf numFmtId="166" fontId="0" fillId="0" borderId="40" xfId="0" applyNumberFormat="1" applyBorder="1"/>
    <xf numFmtId="166" fontId="0" fillId="0" borderId="48" xfId="0" applyNumberFormat="1" applyBorder="1" applyAlignment="1">
      <alignment horizontal="left"/>
    </xf>
    <xf numFmtId="166" fontId="0" fillId="0" borderId="41" xfId="0" applyNumberFormat="1" applyBorder="1"/>
    <xf numFmtId="166" fontId="0" fillId="0" borderId="22" xfId="0" applyNumberFormat="1" applyBorder="1" applyAlignment="1">
      <alignment horizontal="left"/>
    </xf>
    <xf numFmtId="0" fontId="0" fillId="0" borderId="23" xfId="0" applyBorder="1"/>
    <xf numFmtId="0" fontId="0" fillId="0" borderId="24" xfId="0" applyBorder="1"/>
    <xf numFmtId="0" fontId="0" fillId="0" borderId="25" xfId="0" applyBorder="1"/>
    <xf numFmtId="0" fontId="0" fillId="0" borderId="5" xfId="0" applyBorder="1"/>
    <xf numFmtId="0" fontId="0" fillId="0" borderId="30" xfId="0" applyBorder="1"/>
    <xf numFmtId="0" fontId="0" fillId="0" borderId="37" xfId="0" applyBorder="1"/>
    <xf numFmtId="0" fontId="0" fillId="0" borderId="32" xfId="0" applyBorder="1"/>
    <xf numFmtId="0" fontId="0" fillId="0" borderId="29" xfId="0" applyBorder="1"/>
    <xf numFmtId="0" fontId="0" fillId="0" borderId="22" xfId="0" applyBorder="1"/>
    <xf numFmtId="0" fontId="0" fillId="0" borderId="31" xfId="0" applyBorder="1"/>
    <xf numFmtId="0" fontId="0" fillId="0" borderId="33" xfId="0" applyBorder="1"/>
    <xf numFmtId="0" fontId="0" fillId="0" borderId="34" xfId="0" applyBorder="1"/>
    <xf numFmtId="0" fontId="0" fillId="0" borderId="41" xfId="0" applyBorder="1"/>
    <xf numFmtId="0" fontId="2" fillId="3" borderId="0" xfId="0" applyFont="1" applyFill="1"/>
    <xf numFmtId="0" fontId="0" fillId="3" borderId="45" xfId="0" applyFill="1" applyBorder="1"/>
    <xf numFmtId="0" fontId="0" fillId="3" borderId="46" xfId="0" applyFill="1" applyBorder="1"/>
    <xf numFmtId="2" fontId="0" fillId="3" borderId="46" xfId="0" applyNumberFormat="1" applyFill="1" applyBorder="1"/>
    <xf numFmtId="0" fontId="0" fillId="3" borderId="47" xfId="0" applyFill="1" applyBorder="1"/>
    <xf numFmtId="166" fontId="0" fillId="0" borderId="49" xfId="0" applyNumberFormat="1" applyBorder="1" applyAlignment="1">
      <alignment horizontal="left"/>
    </xf>
    <xf numFmtId="0" fontId="8" fillId="3" borderId="14" xfId="0" applyFont="1" applyFill="1" applyBorder="1"/>
    <xf numFmtId="0" fontId="9" fillId="3" borderId="14" xfId="0" applyFont="1" applyFill="1" applyBorder="1" applyAlignment="1">
      <alignment horizontal="center"/>
    </xf>
    <xf numFmtId="0" fontId="9" fillId="3" borderId="15" xfId="0" applyFont="1" applyFill="1" applyBorder="1" applyAlignment="1">
      <alignment horizontal="center"/>
    </xf>
    <xf numFmtId="0" fontId="9" fillId="3" borderId="16" xfId="0" applyFont="1" applyFill="1" applyBorder="1" applyAlignment="1">
      <alignment horizontal="center"/>
    </xf>
    <xf numFmtId="0" fontId="9" fillId="4" borderId="14" xfId="0" applyFont="1" applyFill="1" applyBorder="1" applyAlignment="1">
      <alignment horizontal="center"/>
    </xf>
    <xf numFmtId="0" fontId="0" fillId="4" borderId="15" xfId="0" applyFill="1" applyBorder="1" applyAlignment="1">
      <alignment horizontal="center"/>
    </xf>
    <xf numFmtId="0" fontId="10" fillId="4" borderId="14" xfId="0" applyFont="1" applyFill="1" applyBorder="1" applyAlignment="1">
      <alignment horizontal="center"/>
    </xf>
    <xf numFmtId="0" fontId="11" fillId="4" borderId="14" xfId="0" applyFont="1" applyFill="1" applyBorder="1" applyAlignment="1">
      <alignment horizontal="center"/>
    </xf>
    <xf numFmtId="0" fontId="0" fillId="3" borderId="15" xfId="0" applyFill="1" applyBorder="1" applyAlignment="1">
      <alignment horizontal="center"/>
    </xf>
  </cellXfs>
  <cellStyles count="3">
    <cellStyle name="60% - Accent3" xfId="2" builtinId="40"/>
    <cellStyle name="Normal" xfId="0" builtinId="0"/>
    <cellStyle name="Percent" xfId="1" builtinId="5"/>
  </cellStyles>
  <dxfs count="235">
    <dxf>
      <font>
        <color rgb="FF006100"/>
      </font>
      <fill>
        <patternFill>
          <bgColor rgb="FFC6EFCE"/>
        </patternFill>
      </fill>
    </dxf>
    <dxf>
      <alignment horizontal="left" vertical="bottom" textRotation="0" wrapText="0" indent="0" justifyLastLine="0" shrinkToFit="0" readingOrder="0"/>
      <border diagonalUp="0" diagonalDown="0">
        <left/>
        <right/>
        <top style="thin">
          <color indexed="65"/>
        </top>
        <bottom/>
        <vertical/>
        <horizontal/>
      </border>
    </dxf>
    <dxf>
      <border outline="0">
        <left style="thin">
          <color rgb="FF999999"/>
        </left>
      </border>
    </dxf>
    <dxf>
      <alignment horizontal="left" vertical="bottom" textRotation="0" wrapText="0" indent="0" justifyLastLine="0" shrinkToFit="0" readingOrder="0"/>
      <border diagonalUp="0" diagonalDown="0">
        <left/>
        <right/>
        <top style="thin">
          <color indexed="65"/>
        </top>
        <bottom/>
        <vertical/>
        <horizontal/>
      </border>
    </dxf>
    <dxf>
      <border outline="0">
        <left style="thin">
          <color rgb="FF999999"/>
        </left>
      </border>
    </dxf>
    <dxf>
      <alignment horizontal="left" vertical="bottom" textRotation="0" wrapText="0" indent="0" justifyLastLine="0" shrinkToFit="0" readingOrder="0"/>
      <border diagonalUp="0" diagonalDown="0">
        <left/>
        <right/>
        <top style="thin">
          <color indexed="65"/>
        </top>
        <bottom/>
        <vertical/>
        <horizontal/>
      </border>
    </dxf>
    <dxf>
      <border outline="0">
        <left style="thin">
          <color rgb="FF999999"/>
        </left>
      </border>
    </dxf>
    <dxf>
      <numFmt numFmtId="166" formatCode="0.0"/>
    </dxf>
    <dxf>
      <alignment horizontal="left" vertical="bottom" textRotation="0" wrapText="0" indent="0" justifyLastLine="0" shrinkToFit="0" readingOrder="0"/>
      <border diagonalUp="0" diagonalDown="0">
        <left/>
        <right/>
        <top style="thin">
          <color indexed="65"/>
        </top>
        <bottom/>
        <vertical/>
        <horizontal/>
      </border>
    </dxf>
    <dxf>
      <border outline="0">
        <left style="thin">
          <color rgb="FF999999"/>
        </left>
      </border>
    </dxf>
    <dxf>
      <font>
        <b val="0"/>
        <i val="0"/>
        <strike val="0"/>
        <condense val="0"/>
        <extend val="0"/>
        <outline val="0"/>
        <shadow val="0"/>
        <u val="none"/>
        <vertAlign val="baseline"/>
        <sz val="11"/>
        <color theme="1"/>
        <name val="Calibri"/>
        <scheme val="minor"/>
      </font>
      <numFmt numFmtId="165" formatCode="0.0%"/>
    </dxf>
    <dxf>
      <font>
        <b val="0"/>
        <i val="0"/>
        <strike val="0"/>
        <condense val="0"/>
        <extend val="0"/>
        <outline val="0"/>
        <shadow val="0"/>
        <u val="none"/>
        <vertAlign val="baseline"/>
        <sz val="11"/>
        <color theme="1"/>
        <name val="Calibri"/>
        <scheme val="minor"/>
      </font>
      <numFmt numFmtId="165" formatCode="0.0%"/>
    </dxf>
    <dxf>
      <font>
        <b val="0"/>
        <i val="0"/>
        <strike val="0"/>
        <condense val="0"/>
        <extend val="0"/>
        <outline val="0"/>
        <shadow val="0"/>
        <u val="none"/>
        <vertAlign val="baseline"/>
        <sz val="11"/>
        <color theme="1"/>
        <name val="Calibri"/>
        <scheme val="minor"/>
      </font>
      <numFmt numFmtId="165" formatCode="0.0%"/>
    </dxf>
    <dxf>
      <alignment horizontal="left" vertical="bottom" textRotation="0" wrapText="0" indent="0" justifyLastLine="0" shrinkToFit="0" readingOrder="0"/>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family val="2"/>
        <scheme val="minor"/>
      </font>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
    </dxf>
    <dxf>
      <numFmt numFmtId="166" formatCode="0.0"/>
    </dxf>
    <dxf>
      <numFmt numFmtId="166" formatCode="0.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border>
        <bottom style="thin">
          <color indexed="64"/>
        </bottom>
      </border>
    </dxf>
    <dxf>
      <border>
        <bottom style="thin">
          <color indexed="64"/>
        </bottom>
      </border>
    </dxf>
    <dxf>
      <border>
        <bottom style="thin">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ill>
        <patternFill patternType="solid">
          <bgColor rgb="FFFFFF00"/>
        </patternFill>
      </fill>
    </dxf>
    <dxf>
      <fill>
        <patternFill patternType="solid">
          <bgColor rgb="FFFFFF00"/>
        </patternFill>
      </fill>
    </dxf>
    <dxf>
      <fill>
        <patternFill patternType="solid">
          <bgColor rgb="FFFFFF00"/>
        </patternFill>
      </fill>
    </dxf>
    <dxf>
      <fill>
        <patternFill patternType="solid">
          <bgColor rgb="FFFFFF00"/>
        </patternFill>
      </fill>
    </dxf>
    <dxf>
      <border>
        <bottom style="thin">
          <color indexed="64"/>
        </bottom>
      </border>
    </dxf>
    <dxf>
      <border>
        <bottom style="thin">
          <color indexed="64"/>
        </bottom>
      </border>
    </dxf>
    <dxf>
      <border>
        <bottom style="thin">
          <color indexed="64"/>
        </bottom>
      </border>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166" formatCode="0.0"/>
    </dxf>
    <dxf>
      <numFmt numFmtId="166" formatCode="0.0"/>
    </dxf>
    <dxf>
      <numFmt numFmtId="166" formatCode="0.0"/>
    </dxf>
    <dxf>
      <numFmt numFmtId="166" formatCode="0.0"/>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border>
        <left style="medium">
          <color indexed="64"/>
        </left>
        <right style="medium">
          <color indexed="64"/>
        </right>
        <bottom style="medium">
          <color indexed="64"/>
        </bottom>
      </border>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none"/>
      </font>
      <numFmt numFmtId="164" formatCode="yyyy\-mm\-dd"/>
    </dxf>
    <dxf>
      <font>
        <b val="0"/>
        <i val="0"/>
        <strike val="0"/>
        <condense val="0"/>
        <extend val="0"/>
        <outline val="0"/>
        <shadow val="0"/>
        <u val="none"/>
        <vertAlign val="baseline"/>
        <sz val="11"/>
        <color theme="1"/>
        <name val="Calibri"/>
        <scheme val="minor"/>
      </font>
      <numFmt numFmtId="0" formatCode="General"/>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alignment horizontal="center" vertical="top" textRotation="0" wrapText="0" indent="0" justifyLastLine="0" shrinkToFit="0" readingOrder="0"/>
      <border diagonalUp="0" diagonalDown="0">
        <left style="thin">
          <color rgb="FF000000"/>
        </left>
        <right style="thin">
          <color rgb="FF000000"/>
        </right>
        <top/>
        <bottom/>
      </border>
    </dxf>
    <dxf>
      <font>
        <b val="0"/>
        <i val="0"/>
        <strike val="0"/>
        <condense val="0"/>
        <extend val="0"/>
        <outline val="0"/>
        <shadow val="0"/>
        <u val="none"/>
        <vertAlign val="baseline"/>
        <sz val="11"/>
        <color theme="1"/>
        <name val="Calibri"/>
        <scheme val="minor"/>
      </font>
      <fill>
        <patternFill patternType="solid">
          <fgColor indexed="64"/>
          <bgColor rgb="FFFFFF00"/>
        </patternFill>
      </fill>
    </dxf>
    <dxf>
      <font>
        <b val="0"/>
        <i val="0"/>
        <strike val="0"/>
        <condense val="0"/>
        <extend val="0"/>
        <outline val="0"/>
        <shadow val="0"/>
        <u val="none"/>
        <vertAlign val="baseline"/>
        <sz val="11"/>
        <color theme="1"/>
        <name val="Calibri"/>
        <scheme val="minor"/>
      </font>
      <fill>
        <patternFill patternType="solid">
          <fgColor indexed="64"/>
          <bgColor rgb="FFFFFF00"/>
        </patternFill>
      </fill>
    </dxf>
    <dxf>
      <font>
        <b val="0"/>
        <i val="0"/>
        <strike val="0"/>
        <condense val="0"/>
        <extend val="0"/>
        <outline val="0"/>
        <shadow val="0"/>
        <u val="none"/>
        <vertAlign val="baseline"/>
        <sz val="11"/>
        <color theme="1"/>
        <name val="Calibri"/>
        <scheme val="minor"/>
      </font>
      <numFmt numFmtId="14" formatCode="0.00%"/>
      <fill>
        <patternFill patternType="solid">
          <fgColor indexed="64"/>
          <bgColor rgb="FFFFFF00"/>
        </patternFill>
      </fill>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numFmt numFmtId="2" formatCode="0.00"/>
    </dxf>
    <dxf>
      <numFmt numFmtId="2" formatCode="0.00"/>
    </dxf>
    <dxf>
      <numFmt numFmtId="2" formatCode="0.00"/>
    </dxf>
    <dxf>
      <numFmt numFmtId="2" formatCode="0.00"/>
    </dxf>
    <dxf>
      <numFmt numFmtId="0" formatCode="General"/>
    </dxf>
    <dxf>
      <numFmt numFmtId="2" formatCode="0.00"/>
    </dxf>
    <dxf>
      <numFmt numFmtId="2" formatCode="0.00"/>
    </dxf>
    <dxf>
      <numFmt numFmtId="2" formatCode="0.00"/>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border>
        <left style="medium">
          <color indexed="64"/>
        </left>
        <right style="medium">
          <color indexed="64"/>
        </right>
        <top style="medium">
          <color indexed="64"/>
        </top>
        <bottom style="medium">
          <color indexed="64"/>
        </bottom>
      </border>
    </dxf>
    <dxf>
      <font>
        <b/>
        <i val="0"/>
        <color theme="1"/>
      </font>
      <fill>
        <patternFill>
          <bgColor rgb="FF1DFF83"/>
        </patternFill>
      </fill>
    </dxf>
    <dxf>
      <font>
        <b/>
        <i val="0"/>
        <color theme="9" tint="-0.24994659260841701"/>
      </font>
      <fill>
        <patternFill>
          <bgColor theme="1"/>
        </patternFill>
      </fill>
      <border>
        <left style="thin">
          <color theme="9" tint="-0.24994659260841701"/>
        </left>
        <right style="thin">
          <color theme="9" tint="-0.24994659260841701"/>
        </right>
        <top style="thin">
          <color theme="9" tint="-0.24994659260841701"/>
        </top>
        <bottom style="thin">
          <color theme="9" tint="-0.24994659260841701"/>
        </bottom>
        <horizontal style="thick">
          <color theme="9" tint="-0.24994659260841701"/>
        </horizontal>
      </border>
    </dxf>
    <dxf>
      <font>
        <color rgb="FF75F268"/>
      </font>
    </dxf>
  </dxfs>
  <tableStyles count="3" defaultTableStyle="TableStyleMedium2" defaultPivotStyle="PivotStyleLight16">
    <tableStyle name="Slicer Style 1" pivot="0" table="0" count="1" xr9:uid="{746E5E7C-EA2A-4250-ABD3-110225AD578D}">
      <tableStyleElement type="wholeTable" dxfId="234"/>
    </tableStyle>
    <tableStyle name="Slicer Style 2" pivot="0" table="0" count="3" xr9:uid="{7261FDD0-EAC3-4C2F-938C-33E15AAEAA69}">
      <tableStyleElement type="wholeTable" dxfId="233"/>
      <tableStyleElement type="headerRow" dxfId="232"/>
    </tableStyle>
    <tableStyle name="Table Style 1" pivot="0" count="0" xr9:uid="{25C0BA1C-2EEC-4360-B07C-A91EA7EB5B75}"/>
  </tableStyles>
  <colors>
    <mruColors>
      <color rgb="FF06D00B"/>
      <color rgb="FF1DFF83"/>
      <color rgb="FFA8F6B9"/>
      <color rgb="FFBBFB9F"/>
      <color rgb="FF8FFFD2"/>
      <color rgb="FFA2F4B0"/>
      <color rgb="FFAFFBBC"/>
      <color rgb="FF7EF689"/>
      <color rgb="FF7BF478"/>
      <color rgb="FF87FDA3"/>
    </mruColors>
  </colors>
  <extLst>
    <ext xmlns:x14="http://schemas.microsoft.com/office/spreadsheetml/2009/9/main" uri="{46F421CA-312F-682f-3DD2-61675219B42D}">
      <x14:dxfs count="1">
        <dxf>
          <font>
            <b/>
            <i val="0"/>
            <color theme="3"/>
          </font>
          <fill>
            <patternFill>
              <bgColor rgb="FF00B050"/>
            </patternFill>
          </fill>
        </dxf>
      </x14:dxfs>
    </ext>
    <ext xmlns:x14="http://schemas.microsoft.com/office/spreadsheetml/2009/9/main" uri="{EB79DEF2-80B8-43e5-95BD-54CBDDF9020C}">
      <x14:slicerStyles defaultSlicerStyle="SlicerStyleLight1">
        <x14:slicerStyle name="Slicer Style 1"/>
        <x14:slicerStyle name="Slicer Style 2">
          <x14:slicerStyleElements>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3.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4.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5.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6.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7.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18.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19.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0.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1.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4.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5.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Ex1.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3.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Ex4.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[electricpe_dashboard.xlsx]Analysis!PivotTable5</c:name>
    <c:fmtId val="1"/>
  </c:pivotSource>
  <c:chart>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Analysis!$B$80:$B$81</c:f>
              <c:strCache>
                <c:ptCount val="1"/>
                <c:pt idx="0">
                  <c:v>Cold</c:v>
                </c:pt>
              </c:strCache>
            </c:strRef>
          </c:tx>
          <c:spPr>
            <a:solidFill>
              <a:schemeClr val="accent1"/>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Analysis!$A$82:$A$85</c:f>
              <c:strCache>
                <c:ptCount val="4"/>
                <c:pt idx="0">
                  <c:v>Bangalore MBC</c:v>
                </c:pt>
                <c:pt idx="1">
                  <c:v>Chennai MBC</c:v>
                </c:pt>
                <c:pt idx="2">
                  <c:v>Delhi MBC</c:v>
                </c:pt>
                <c:pt idx="3">
                  <c:v>Mumbai MBC</c:v>
                </c:pt>
              </c:strCache>
            </c:strRef>
          </c:cat>
          <c:val>
            <c:numRef>
              <c:f>Analysis!$B$82:$B$85</c:f>
              <c:numCache>
                <c:formatCode>General</c:formatCode>
                <c:ptCount val="4"/>
                <c:pt idx="0">
                  <c:v>51</c:v>
                </c:pt>
                <c:pt idx="1">
                  <c:v>39</c:v>
                </c:pt>
                <c:pt idx="2">
                  <c:v>51</c:v>
                </c:pt>
                <c:pt idx="3">
                  <c:v>47</c:v>
                </c:pt>
              </c:numCache>
            </c:numRef>
          </c:val>
          <c:extLst>
            <c:ext xmlns:c16="http://schemas.microsoft.com/office/drawing/2014/chart" uri="{C3380CC4-5D6E-409C-BE32-E72D297353CC}">
              <c16:uniqueId val="{00000000-CF99-4754-A915-5318849D6164}"/>
            </c:ext>
          </c:extLst>
        </c:ser>
        <c:ser>
          <c:idx val="1"/>
          <c:order val="1"/>
          <c:tx>
            <c:strRef>
              <c:f>Analysis!$C$80:$C$81</c:f>
              <c:strCache>
                <c:ptCount val="1"/>
                <c:pt idx="0">
                  <c:v>Hot</c:v>
                </c:pt>
              </c:strCache>
            </c:strRef>
          </c:tx>
          <c:spPr>
            <a:solidFill>
              <a:schemeClr val="accent2"/>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Analysis!$A$82:$A$85</c:f>
              <c:strCache>
                <c:ptCount val="4"/>
                <c:pt idx="0">
                  <c:v>Bangalore MBC</c:v>
                </c:pt>
                <c:pt idx="1">
                  <c:v>Chennai MBC</c:v>
                </c:pt>
                <c:pt idx="2">
                  <c:v>Delhi MBC</c:v>
                </c:pt>
                <c:pt idx="3">
                  <c:v>Mumbai MBC</c:v>
                </c:pt>
              </c:strCache>
            </c:strRef>
          </c:cat>
          <c:val>
            <c:numRef>
              <c:f>Analysis!$C$82:$C$85</c:f>
              <c:numCache>
                <c:formatCode>General</c:formatCode>
                <c:ptCount val="4"/>
                <c:pt idx="0">
                  <c:v>80</c:v>
                </c:pt>
                <c:pt idx="1">
                  <c:v>70</c:v>
                </c:pt>
                <c:pt idx="2">
                  <c:v>70</c:v>
                </c:pt>
                <c:pt idx="3">
                  <c:v>83</c:v>
                </c:pt>
              </c:numCache>
            </c:numRef>
          </c:val>
          <c:extLst>
            <c:ext xmlns:c16="http://schemas.microsoft.com/office/drawing/2014/chart" uri="{C3380CC4-5D6E-409C-BE32-E72D297353CC}">
              <c16:uniqueId val="{00000000-DE35-44C7-84C8-D45B398E1D5C}"/>
            </c:ext>
          </c:extLst>
        </c:ser>
        <c:ser>
          <c:idx val="2"/>
          <c:order val="2"/>
          <c:tx>
            <c:strRef>
              <c:f>Analysis!$D$80:$D$81</c:f>
              <c:strCache>
                <c:ptCount val="1"/>
                <c:pt idx="0">
                  <c:v>Warm</c:v>
                </c:pt>
              </c:strCache>
            </c:strRef>
          </c:tx>
          <c:spPr>
            <a:solidFill>
              <a:schemeClr val="accent3"/>
            </a:solidFill>
            <a:ln>
              <a:noFill/>
            </a:ln>
            <a:effectLst/>
          </c:spPr>
          <c:invertIfNegative val="0"/>
          <c:dLbls>
            <c:spPr>
              <a:noFill/>
              <a:ln>
                <a:noFill/>
              </a:ln>
              <a:effectLst/>
            </c:spPr>
            <c:txPr>
              <a:bodyPr rot="-5400000" spcFirstLastPara="1" vertOverflow="clip" horzOverflow="clip" vert="horz" wrap="square" lIns="38100" tIns="19050" rIns="38100" bIns="19050" anchor="ctr" anchorCtr="1">
                <a:spAutoFit/>
              </a:bodyPr>
              <a:lstStyle/>
              <a:p>
                <a:pPr>
                  <a:defRPr sz="800" b="0" i="0" u="none" strike="noStrike" kern="1200" baseline="0">
                    <a:solidFill>
                      <a:schemeClr val="tx1">
                        <a:lumMod val="50000"/>
                        <a:lumOff val="50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Analysis!$A$82:$A$85</c:f>
              <c:strCache>
                <c:ptCount val="4"/>
                <c:pt idx="0">
                  <c:v>Bangalore MBC</c:v>
                </c:pt>
                <c:pt idx="1">
                  <c:v>Chennai MBC</c:v>
                </c:pt>
                <c:pt idx="2">
                  <c:v>Delhi MBC</c:v>
                </c:pt>
                <c:pt idx="3">
                  <c:v>Mumbai MBC</c:v>
                </c:pt>
              </c:strCache>
            </c:strRef>
          </c:cat>
          <c:val>
            <c:numRef>
              <c:f>Analysis!$D$82:$D$85</c:f>
              <c:numCache>
                <c:formatCode>General</c:formatCode>
                <c:ptCount val="4"/>
                <c:pt idx="0">
                  <c:v>132</c:v>
                </c:pt>
                <c:pt idx="1">
                  <c:v>103</c:v>
                </c:pt>
                <c:pt idx="2">
                  <c:v>142</c:v>
                </c:pt>
                <c:pt idx="3">
                  <c:v>132</c:v>
                </c:pt>
              </c:numCache>
            </c:numRef>
          </c:val>
          <c:extLst>
            <c:ext xmlns:c16="http://schemas.microsoft.com/office/drawing/2014/chart" uri="{C3380CC4-5D6E-409C-BE32-E72D297353CC}">
              <c16:uniqueId val="{00000001-DE35-44C7-84C8-D45B398E1D5C}"/>
            </c:ext>
          </c:extLst>
        </c:ser>
        <c:dLbls>
          <c:dLblPos val="outEnd"/>
          <c:showLegendKey val="0"/>
          <c:showVal val="1"/>
          <c:showCatName val="0"/>
          <c:showSerName val="0"/>
          <c:showPercent val="0"/>
          <c:showBubbleSize val="0"/>
        </c:dLbls>
        <c:gapWidth val="444"/>
        <c:overlap val="-90"/>
        <c:axId val="700607232"/>
        <c:axId val="700593312"/>
      </c:barChart>
      <c:catAx>
        <c:axId val="700607232"/>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700593312"/>
        <c:crosses val="autoZero"/>
        <c:auto val="1"/>
        <c:lblAlgn val="ctr"/>
        <c:lblOffset val="100"/>
        <c:noMultiLvlLbl val="0"/>
      </c:catAx>
      <c:valAx>
        <c:axId val="700593312"/>
        <c:scaling>
          <c:orientation val="minMax"/>
        </c:scaling>
        <c:delete val="1"/>
        <c:axPos val="l"/>
        <c:numFmt formatCode="General" sourceLinked="1"/>
        <c:majorTickMark val="none"/>
        <c:minorTickMark val="none"/>
        <c:tickLblPos val="nextTo"/>
        <c:crossAx val="7006072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[electricpe_dashboard.xlsx]Analysis!PivotTable1</c:name>
    <c:fmtId val="3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Analysis!$B$30</c:f>
              <c:strCache>
                <c:ptCount val="1"/>
                <c:pt idx="0">
                  <c:v>Average of TAT Pre-Booking (Days)</c:v>
                </c:pt>
              </c:strCache>
            </c:strRef>
          </c:tx>
          <c:spPr>
            <a:solidFill>
              <a:schemeClr val="accent1"/>
            </a:solidFill>
            <a:ln>
              <a:noFill/>
            </a:ln>
            <a:effectLst/>
          </c:spPr>
          <c:invertIfNegative val="0"/>
          <c:cat>
            <c:strRef>
              <c:f>Analysis!$A$31:$A$35</c:f>
              <c:strCache>
                <c:ptCount val="4"/>
                <c:pt idx="0">
                  <c:v>Bangalore MBC</c:v>
                </c:pt>
                <c:pt idx="1">
                  <c:v>Chennai MBC</c:v>
                </c:pt>
                <c:pt idx="2">
                  <c:v>Delhi MBC</c:v>
                </c:pt>
                <c:pt idx="3">
                  <c:v>Mumbai MBC</c:v>
                </c:pt>
              </c:strCache>
            </c:strRef>
          </c:cat>
          <c:val>
            <c:numRef>
              <c:f>Analysis!$B$31:$B$35</c:f>
              <c:numCache>
                <c:formatCode>0.00</c:formatCode>
                <c:ptCount val="4"/>
                <c:pt idx="0">
                  <c:v>3.1179245283018866</c:v>
                </c:pt>
                <c:pt idx="1">
                  <c:v>3.1213872832369942</c:v>
                </c:pt>
                <c:pt idx="2">
                  <c:v>3.0283018867924527</c:v>
                </c:pt>
                <c:pt idx="3">
                  <c:v>2.9767441860465116</c:v>
                </c:pt>
              </c:numCache>
            </c:numRef>
          </c:val>
          <c:extLst>
            <c:ext xmlns:c16="http://schemas.microsoft.com/office/drawing/2014/chart" uri="{C3380CC4-5D6E-409C-BE32-E72D297353CC}">
              <c16:uniqueId val="{00000000-BFF1-447B-B563-13CEF1863EC3}"/>
            </c:ext>
          </c:extLst>
        </c:ser>
        <c:ser>
          <c:idx val="1"/>
          <c:order val="1"/>
          <c:tx>
            <c:strRef>
              <c:f>Analysis!$C$30</c:f>
              <c:strCache>
                <c:ptCount val="1"/>
                <c:pt idx="0">
                  <c:v>Average of TAT Booking (Days)</c:v>
                </c:pt>
              </c:strCache>
            </c:strRef>
          </c:tx>
          <c:spPr>
            <a:solidFill>
              <a:schemeClr val="accent2"/>
            </a:solidFill>
            <a:ln>
              <a:noFill/>
            </a:ln>
            <a:effectLst/>
          </c:spPr>
          <c:invertIfNegative val="0"/>
          <c:cat>
            <c:strRef>
              <c:f>Analysis!$A$31:$A$35</c:f>
              <c:strCache>
                <c:ptCount val="4"/>
                <c:pt idx="0">
                  <c:v>Bangalore MBC</c:v>
                </c:pt>
                <c:pt idx="1">
                  <c:v>Chennai MBC</c:v>
                </c:pt>
                <c:pt idx="2">
                  <c:v>Delhi MBC</c:v>
                </c:pt>
                <c:pt idx="3">
                  <c:v>Mumbai MBC</c:v>
                </c:pt>
              </c:strCache>
            </c:strRef>
          </c:cat>
          <c:val>
            <c:numRef>
              <c:f>Analysis!$C$31:$C$35</c:f>
              <c:numCache>
                <c:formatCode>0.00</c:formatCode>
                <c:ptCount val="4"/>
                <c:pt idx="0">
                  <c:v>3.0330188679245285</c:v>
                </c:pt>
                <c:pt idx="1">
                  <c:v>3.2023121387283235</c:v>
                </c:pt>
                <c:pt idx="2">
                  <c:v>3.0188679245283021</c:v>
                </c:pt>
                <c:pt idx="3">
                  <c:v>3.0465116279069768</c:v>
                </c:pt>
              </c:numCache>
            </c:numRef>
          </c:val>
          <c:extLst>
            <c:ext xmlns:c16="http://schemas.microsoft.com/office/drawing/2014/chart" uri="{C3380CC4-5D6E-409C-BE32-E72D297353CC}">
              <c16:uniqueId val="{00000001-BFF1-447B-B563-13CEF1863EC3}"/>
            </c:ext>
          </c:extLst>
        </c:ser>
        <c:ser>
          <c:idx val="2"/>
          <c:order val="2"/>
          <c:tx>
            <c:strRef>
              <c:f>Analysis!$D$30</c:f>
              <c:strCache>
                <c:ptCount val="1"/>
                <c:pt idx="0">
                  <c:v>Average of TAT Delivery (Days)</c:v>
                </c:pt>
              </c:strCache>
            </c:strRef>
          </c:tx>
          <c:spPr>
            <a:solidFill>
              <a:schemeClr val="accent3"/>
            </a:solidFill>
            <a:ln>
              <a:noFill/>
            </a:ln>
            <a:effectLst/>
          </c:spPr>
          <c:invertIfNegative val="0"/>
          <c:cat>
            <c:strRef>
              <c:f>Analysis!$A$31:$A$35</c:f>
              <c:strCache>
                <c:ptCount val="4"/>
                <c:pt idx="0">
                  <c:v>Bangalore MBC</c:v>
                </c:pt>
                <c:pt idx="1">
                  <c:v>Chennai MBC</c:v>
                </c:pt>
                <c:pt idx="2">
                  <c:v>Delhi MBC</c:v>
                </c:pt>
                <c:pt idx="3">
                  <c:v>Mumbai MBC</c:v>
                </c:pt>
              </c:strCache>
            </c:strRef>
          </c:cat>
          <c:val>
            <c:numRef>
              <c:f>Analysis!$D$31:$D$35</c:f>
              <c:numCache>
                <c:formatCode>0.00</c:formatCode>
                <c:ptCount val="4"/>
                <c:pt idx="0">
                  <c:v>4.5141509433962268</c:v>
                </c:pt>
                <c:pt idx="1">
                  <c:v>4.3872832369942198</c:v>
                </c:pt>
                <c:pt idx="2">
                  <c:v>4.283018867924528</c:v>
                </c:pt>
                <c:pt idx="3">
                  <c:v>4.6279069767441863</c:v>
                </c:pt>
              </c:numCache>
            </c:numRef>
          </c:val>
          <c:extLst>
            <c:ext xmlns:c16="http://schemas.microsoft.com/office/drawing/2014/chart" uri="{C3380CC4-5D6E-409C-BE32-E72D297353CC}">
              <c16:uniqueId val="{00000002-BFF1-447B-B563-13CEF1863EC3}"/>
            </c:ext>
          </c:extLst>
        </c:ser>
        <c:dLbls>
          <c:showLegendKey val="0"/>
          <c:showVal val="0"/>
          <c:showCatName val="0"/>
          <c:showSerName val="0"/>
          <c:showPercent val="0"/>
          <c:showBubbleSize val="0"/>
        </c:dLbls>
        <c:gapWidth val="150"/>
        <c:overlap val="100"/>
        <c:axId val="700517472"/>
        <c:axId val="700501152"/>
      </c:barChart>
      <c:catAx>
        <c:axId val="7005174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501152"/>
        <c:crosses val="autoZero"/>
        <c:auto val="1"/>
        <c:lblAlgn val="ctr"/>
        <c:lblOffset val="100"/>
        <c:noMultiLvlLbl val="0"/>
      </c:catAx>
      <c:valAx>
        <c:axId val="700501152"/>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05174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[electricpe_dashboard.xlsx]Analysis!PivotTable7</c:name>
    <c:fmtId val="8"/>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1.9735246232937754E-2"/>
          <c:y val="0.36095099988128859"/>
          <c:w val="0.82780997661761813"/>
          <c:h val="0.61241234548118595"/>
        </c:manualLayout>
      </c:layout>
      <c:pie3DChart>
        <c:varyColors val="1"/>
        <c:ser>
          <c:idx val="0"/>
          <c:order val="0"/>
          <c:tx>
            <c:strRef>
              <c:f>Analysis!$B$59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7E7D-40AC-9ACF-E47CC5A009B9}"/>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7E7D-40AC-9ACF-E47CC5A009B9}"/>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7E7D-40AC-9ACF-E47CC5A009B9}"/>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Analysis!$A$60:$A$62</c:f>
              <c:strCache>
                <c:ptCount val="3"/>
                <c:pt idx="0">
                  <c:v>Cold</c:v>
                </c:pt>
                <c:pt idx="1">
                  <c:v>Hot</c:v>
                </c:pt>
                <c:pt idx="2">
                  <c:v>Warm</c:v>
                </c:pt>
              </c:strCache>
            </c:strRef>
          </c:cat>
          <c:val>
            <c:numRef>
              <c:f>Analysis!$B$60:$B$62</c:f>
              <c:numCache>
                <c:formatCode>General</c:formatCode>
                <c:ptCount val="3"/>
                <c:pt idx="0">
                  <c:v>188</c:v>
                </c:pt>
                <c:pt idx="1">
                  <c:v>303</c:v>
                </c:pt>
                <c:pt idx="2">
                  <c:v>509</c:v>
                </c:pt>
              </c:numCache>
            </c:numRef>
          </c:val>
          <c:extLst>
            <c:ext xmlns:c16="http://schemas.microsoft.com/office/drawing/2014/chart" uri="{C3380CC4-5D6E-409C-BE32-E72D297353CC}">
              <c16:uniqueId val="{00000000-D563-47D1-AACC-D46D4E640EEA}"/>
            </c:ext>
          </c:extLst>
        </c:ser>
        <c:dLbls>
          <c:dLblPos val="ctr"/>
          <c:showLegendKey val="0"/>
          <c:showVal val="0"/>
          <c:showCatName val="1"/>
          <c:showSerName val="0"/>
          <c:showPercent val="0"/>
          <c:showBubbleSize val="0"/>
          <c:showLeaderLines val="1"/>
        </c:dLbls>
      </c:pie3D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[electricpe_dashboard.xlsx]Analysis!PivotTable8</c:name>
    <c:fmtId val="13"/>
  </c:pivotSource>
  <c:chart>
    <c:autoTitleDeleted val="1"/>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34027102846041718"/>
          <c:y val="0.14285632348449689"/>
          <c:w val="0.30426852896918433"/>
          <c:h val="0.79037163397449473"/>
        </c:manualLayout>
      </c:layout>
      <c:pieChart>
        <c:varyColors val="1"/>
        <c:ser>
          <c:idx val="0"/>
          <c:order val="0"/>
          <c:tx>
            <c:strRef>
              <c:f>Analysis!$C$105</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2ED-41FA-973C-D9210A9BCF04}"/>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2ED-41FA-973C-D9210A9BCF04}"/>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2ED-41FA-973C-D9210A9BCF04}"/>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Analysis!$B$106:$B$109</c:f>
              <c:strCache>
                <c:ptCount val="3"/>
                <c:pt idx="0">
                  <c:v>Cold</c:v>
                </c:pt>
                <c:pt idx="1">
                  <c:v>Hot</c:v>
                </c:pt>
                <c:pt idx="2">
                  <c:v>Warm</c:v>
                </c:pt>
              </c:strCache>
            </c:strRef>
          </c:cat>
          <c:val>
            <c:numRef>
              <c:f>Analysis!$C$106:$C$109</c:f>
              <c:numCache>
                <c:formatCode>General</c:formatCode>
                <c:ptCount val="3"/>
                <c:pt idx="0">
                  <c:v>188</c:v>
                </c:pt>
                <c:pt idx="1">
                  <c:v>26</c:v>
                </c:pt>
                <c:pt idx="2">
                  <c:v>57</c:v>
                </c:pt>
              </c:numCache>
            </c:numRef>
          </c:val>
          <c:extLst>
            <c:ext xmlns:c16="http://schemas.microsoft.com/office/drawing/2014/chart" uri="{C3380CC4-5D6E-409C-BE32-E72D297353CC}">
              <c16:uniqueId val="{00000000-9CFB-43CA-B5C1-CBECB0F36F58}"/>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[electricpe_dashboard.xlsx]Analysis!PivotTable4</c:name>
    <c:fmtId val="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Analysis!$C$137</c:f>
              <c:strCache>
                <c:ptCount val="1"/>
                <c:pt idx="0">
                  <c:v>Total</c:v>
                </c:pt>
              </c:strCache>
            </c:strRef>
          </c:tx>
          <c:spPr>
            <a:solidFill>
              <a:schemeClr val="accent1">
                <a:alpha val="85000"/>
              </a:scheme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Analysis!$B$138:$B$142</c:f>
              <c:strCache>
                <c:ptCount val="5"/>
                <c:pt idx="0">
                  <c:v>Changed Mind</c:v>
                </c:pt>
                <c:pt idx="1">
                  <c:v>Financing Issue</c:v>
                </c:pt>
                <c:pt idx="2">
                  <c:v>Model Unavailable</c:v>
                </c:pt>
                <c:pt idx="3">
                  <c:v>Other</c:v>
                </c:pt>
                <c:pt idx="4">
                  <c:v>Price</c:v>
                </c:pt>
              </c:strCache>
            </c:strRef>
          </c:cat>
          <c:val>
            <c:numRef>
              <c:f>Analysis!$C$138:$C$142</c:f>
              <c:numCache>
                <c:formatCode>General</c:formatCode>
                <c:ptCount val="5"/>
                <c:pt idx="0">
                  <c:v>51</c:v>
                </c:pt>
                <c:pt idx="1">
                  <c:v>59</c:v>
                </c:pt>
                <c:pt idx="2">
                  <c:v>43</c:v>
                </c:pt>
                <c:pt idx="3">
                  <c:v>57</c:v>
                </c:pt>
                <c:pt idx="4">
                  <c:v>61</c:v>
                </c:pt>
              </c:numCache>
            </c:numRef>
          </c:val>
          <c:extLst>
            <c:ext xmlns:c16="http://schemas.microsoft.com/office/drawing/2014/chart" uri="{C3380CC4-5D6E-409C-BE32-E72D297353CC}">
              <c16:uniqueId val="{00000000-185E-450F-945C-819A73F0CCD1}"/>
            </c:ext>
          </c:extLst>
        </c:ser>
        <c:dLbls>
          <c:dLblPos val="inEnd"/>
          <c:showLegendKey val="0"/>
          <c:showVal val="1"/>
          <c:showCatName val="0"/>
          <c:showSerName val="0"/>
          <c:showPercent val="0"/>
          <c:showBubbleSize val="0"/>
        </c:dLbls>
        <c:gapWidth val="65"/>
        <c:axId val="1542603936"/>
        <c:axId val="1542608256"/>
      </c:barChart>
      <c:valAx>
        <c:axId val="1542608256"/>
        <c:scaling>
          <c:orientation val="minMax"/>
        </c:scaling>
        <c:delete val="0"/>
        <c:axPos val="b"/>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1542603936"/>
        <c:crosses val="autoZero"/>
        <c:crossBetween val="between"/>
      </c:valAx>
      <c:catAx>
        <c:axId val="1542603936"/>
        <c:scaling>
          <c:orientation val="minMax"/>
        </c:scaling>
        <c:delete val="0"/>
        <c:axPos val="l"/>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1542608256"/>
        <c:crosses val="autoZero"/>
        <c:auto val="1"/>
        <c:lblAlgn val="ctr"/>
        <c:lblOffset val="100"/>
        <c:noMultiLvlLbl val="0"/>
      </c:cat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[electricpe_dashboard.xlsx]Analysis!PivotTable6</c:name>
    <c:fmtId val="32"/>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Analysis!$C$155:$C$156</c:f>
              <c:strCache>
                <c:ptCount val="1"/>
                <c:pt idx="0">
                  <c:v>Changed Mind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Analysis!$B$157:$B$160</c:f>
              <c:strCache>
                <c:ptCount val="4"/>
                <c:pt idx="0">
                  <c:v>Bangalore MBC</c:v>
                </c:pt>
                <c:pt idx="1">
                  <c:v>Chennai MBC</c:v>
                </c:pt>
                <c:pt idx="2">
                  <c:v>Delhi MBC</c:v>
                </c:pt>
                <c:pt idx="3">
                  <c:v>Mumbai MBC</c:v>
                </c:pt>
              </c:strCache>
            </c:strRef>
          </c:cat>
          <c:val>
            <c:numRef>
              <c:f>Analysis!$C$157:$C$160</c:f>
              <c:numCache>
                <c:formatCode>General</c:formatCode>
                <c:ptCount val="4"/>
                <c:pt idx="0">
                  <c:v>13</c:v>
                </c:pt>
                <c:pt idx="1">
                  <c:v>15</c:v>
                </c:pt>
                <c:pt idx="2">
                  <c:v>14</c:v>
                </c:pt>
                <c:pt idx="3">
                  <c:v>9</c:v>
                </c:pt>
              </c:numCache>
            </c:numRef>
          </c:val>
          <c:extLst>
            <c:ext xmlns:c16="http://schemas.microsoft.com/office/drawing/2014/chart" uri="{C3380CC4-5D6E-409C-BE32-E72D297353CC}">
              <c16:uniqueId val="{00000000-0885-4805-9D0D-ABF5ECBF454F}"/>
            </c:ext>
          </c:extLst>
        </c:ser>
        <c:ser>
          <c:idx val="1"/>
          <c:order val="1"/>
          <c:tx>
            <c:strRef>
              <c:f>Analysis!$D$155:$D$156</c:f>
              <c:strCache>
                <c:ptCount val="1"/>
                <c:pt idx="0">
                  <c:v>Financing Issue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Analysis!$B$157:$B$160</c:f>
              <c:strCache>
                <c:ptCount val="4"/>
                <c:pt idx="0">
                  <c:v>Bangalore MBC</c:v>
                </c:pt>
                <c:pt idx="1">
                  <c:v>Chennai MBC</c:v>
                </c:pt>
                <c:pt idx="2">
                  <c:v>Delhi MBC</c:v>
                </c:pt>
                <c:pt idx="3">
                  <c:v>Mumbai MBC</c:v>
                </c:pt>
              </c:strCache>
            </c:strRef>
          </c:cat>
          <c:val>
            <c:numRef>
              <c:f>Analysis!$D$157:$D$160</c:f>
              <c:numCache>
                <c:formatCode>General</c:formatCode>
                <c:ptCount val="4"/>
                <c:pt idx="0">
                  <c:v>14</c:v>
                </c:pt>
                <c:pt idx="1">
                  <c:v>10</c:v>
                </c:pt>
                <c:pt idx="2">
                  <c:v>21</c:v>
                </c:pt>
                <c:pt idx="3">
                  <c:v>14</c:v>
                </c:pt>
              </c:numCache>
            </c:numRef>
          </c:val>
          <c:extLst>
            <c:ext xmlns:c16="http://schemas.microsoft.com/office/drawing/2014/chart" uri="{C3380CC4-5D6E-409C-BE32-E72D297353CC}">
              <c16:uniqueId val="{00000001-0885-4805-9D0D-ABF5ECBF454F}"/>
            </c:ext>
          </c:extLst>
        </c:ser>
        <c:ser>
          <c:idx val="2"/>
          <c:order val="2"/>
          <c:tx>
            <c:strRef>
              <c:f>Analysis!$E$155:$E$156</c:f>
              <c:strCache>
                <c:ptCount val="1"/>
                <c:pt idx="0">
                  <c:v>Model Unavailable</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Analysis!$B$157:$B$160</c:f>
              <c:strCache>
                <c:ptCount val="4"/>
                <c:pt idx="0">
                  <c:v>Bangalore MBC</c:v>
                </c:pt>
                <c:pt idx="1">
                  <c:v>Chennai MBC</c:v>
                </c:pt>
                <c:pt idx="2">
                  <c:v>Delhi MBC</c:v>
                </c:pt>
                <c:pt idx="3">
                  <c:v>Mumbai MBC</c:v>
                </c:pt>
              </c:strCache>
            </c:strRef>
          </c:cat>
          <c:val>
            <c:numRef>
              <c:f>Analysis!$E$157:$E$160</c:f>
              <c:numCache>
                <c:formatCode>General</c:formatCode>
                <c:ptCount val="4"/>
                <c:pt idx="0">
                  <c:v>13</c:v>
                </c:pt>
                <c:pt idx="1">
                  <c:v>8</c:v>
                </c:pt>
                <c:pt idx="2">
                  <c:v>13</c:v>
                </c:pt>
                <c:pt idx="3">
                  <c:v>9</c:v>
                </c:pt>
              </c:numCache>
            </c:numRef>
          </c:val>
          <c:extLst>
            <c:ext xmlns:c16="http://schemas.microsoft.com/office/drawing/2014/chart" uri="{C3380CC4-5D6E-409C-BE32-E72D297353CC}">
              <c16:uniqueId val="{00000002-0885-4805-9D0D-ABF5ECBF454F}"/>
            </c:ext>
          </c:extLst>
        </c:ser>
        <c:ser>
          <c:idx val="3"/>
          <c:order val="3"/>
          <c:tx>
            <c:strRef>
              <c:f>Analysis!$F$155:$F$156</c:f>
              <c:strCache>
                <c:ptCount val="1"/>
                <c:pt idx="0">
                  <c:v>Other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Analysis!$B$157:$B$160</c:f>
              <c:strCache>
                <c:ptCount val="4"/>
                <c:pt idx="0">
                  <c:v>Bangalore MBC</c:v>
                </c:pt>
                <c:pt idx="1">
                  <c:v>Chennai MBC</c:v>
                </c:pt>
                <c:pt idx="2">
                  <c:v>Delhi MBC</c:v>
                </c:pt>
                <c:pt idx="3">
                  <c:v>Mumbai MBC</c:v>
                </c:pt>
              </c:strCache>
            </c:strRef>
          </c:cat>
          <c:val>
            <c:numRef>
              <c:f>Analysis!$F$157:$F$160</c:f>
              <c:numCache>
                <c:formatCode>General</c:formatCode>
                <c:ptCount val="4"/>
                <c:pt idx="0">
                  <c:v>22</c:v>
                </c:pt>
                <c:pt idx="1">
                  <c:v>8</c:v>
                </c:pt>
                <c:pt idx="2">
                  <c:v>13</c:v>
                </c:pt>
                <c:pt idx="3">
                  <c:v>14</c:v>
                </c:pt>
              </c:numCache>
            </c:numRef>
          </c:val>
          <c:extLst>
            <c:ext xmlns:c16="http://schemas.microsoft.com/office/drawing/2014/chart" uri="{C3380CC4-5D6E-409C-BE32-E72D297353CC}">
              <c16:uniqueId val="{00000000-A946-4375-BFF5-E03F6AD106CF}"/>
            </c:ext>
          </c:extLst>
        </c:ser>
        <c:ser>
          <c:idx val="4"/>
          <c:order val="4"/>
          <c:tx>
            <c:strRef>
              <c:f>Analysis!$G$155:$G$156</c:f>
              <c:strCache>
                <c:ptCount val="1"/>
                <c:pt idx="0">
                  <c:v>Price</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Analysis!$B$157:$B$160</c:f>
              <c:strCache>
                <c:ptCount val="4"/>
                <c:pt idx="0">
                  <c:v>Bangalore MBC</c:v>
                </c:pt>
                <c:pt idx="1">
                  <c:v>Chennai MBC</c:v>
                </c:pt>
                <c:pt idx="2">
                  <c:v>Delhi MBC</c:v>
                </c:pt>
                <c:pt idx="3">
                  <c:v>Mumbai MBC</c:v>
                </c:pt>
              </c:strCache>
            </c:strRef>
          </c:cat>
          <c:val>
            <c:numRef>
              <c:f>Analysis!$G$157:$G$160</c:f>
              <c:numCache>
                <c:formatCode>General</c:formatCode>
                <c:ptCount val="4"/>
                <c:pt idx="0">
                  <c:v>10</c:v>
                </c:pt>
                <c:pt idx="1">
                  <c:v>18</c:v>
                </c:pt>
                <c:pt idx="2">
                  <c:v>16</c:v>
                </c:pt>
                <c:pt idx="3">
                  <c:v>17</c:v>
                </c:pt>
              </c:numCache>
            </c:numRef>
          </c:val>
          <c:extLst>
            <c:ext xmlns:c16="http://schemas.microsoft.com/office/drawing/2014/chart" uri="{C3380CC4-5D6E-409C-BE32-E72D297353CC}">
              <c16:uniqueId val="{00000001-A946-4375-BFF5-E03F6AD106CF}"/>
            </c:ext>
          </c:extLst>
        </c:ser>
        <c:dLbls>
          <c:dLblPos val="ctr"/>
          <c:showLegendKey val="0"/>
          <c:showVal val="1"/>
          <c:showCatName val="0"/>
          <c:showSerName val="0"/>
          <c:showPercent val="0"/>
          <c:showBubbleSize val="0"/>
        </c:dLbls>
        <c:gapWidth val="79"/>
        <c:overlap val="100"/>
        <c:axId val="1556404160"/>
        <c:axId val="1556394560"/>
      </c:barChart>
      <c:catAx>
        <c:axId val="15564041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1556394560"/>
        <c:crosses val="autoZero"/>
        <c:auto val="1"/>
        <c:lblAlgn val="ctr"/>
        <c:lblOffset val="100"/>
        <c:noMultiLvlLbl val="0"/>
      </c:catAx>
      <c:valAx>
        <c:axId val="1556394560"/>
        <c:scaling>
          <c:orientation val="minMax"/>
        </c:scaling>
        <c:delete val="1"/>
        <c:axPos val="l"/>
        <c:numFmt formatCode="General" sourceLinked="1"/>
        <c:majorTickMark val="none"/>
        <c:minorTickMark val="none"/>
        <c:tickLblPos val="nextTo"/>
        <c:crossAx val="155640416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[electricpe_dashboard.xlsx]Analysis!PivotTable2</c:name>
    <c:fmtId val="35"/>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Analysis!$C$175:$C$176</c:f>
              <c:strCache>
                <c:ptCount val="1"/>
                <c:pt idx="0">
                  <c:v>Detractor</c:v>
                </c:pt>
              </c:strCache>
            </c:strRef>
          </c:tx>
          <c:spPr>
            <a:solidFill>
              <a:schemeClr val="accent1"/>
            </a:solidFill>
            <a:ln>
              <a:noFill/>
            </a:ln>
            <a:effectLst/>
          </c:spPr>
          <c:invertIfNegative val="0"/>
          <c:cat>
            <c:strRef>
              <c:f>Analysis!$B$177:$B$180</c:f>
              <c:strCache>
                <c:ptCount val="4"/>
                <c:pt idx="0">
                  <c:v>Bangalore MBC</c:v>
                </c:pt>
                <c:pt idx="1">
                  <c:v>Chennai MBC</c:v>
                </c:pt>
                <c:pt idx="2">
                  <c:v>Delhi MBC</c:v>
                </c:pt>
                <c:pt idx="3">
                  <c:v>Mumbai MBC</c:v>
                </c:pt>
              </c:strCache>
            </c:strRef>
          </c:cat>
          <c:val>
            <c:numRef>
              <c:f>Analysis!$C$177:$C$180</c:f>
              <c:numCache>
                <c:formatCode>0.00%</c:formatCode>
                <c:ptCount val="4"/>
                <c:pt idx="0">
                  <c:v>0.70157068062827221</c:v>
                </c:pt>
                <c:pt idx="1">
                  <c:v>0.6470588235294118</c:v>
                </c:pt>
                <c:pt idx="2">
                  <c:v>0.66129032258064513</c:v>
                </c:pt>
                <c:pt idx="3">
                  <c:v>0.69346733668341709</c:v>
                </c:pt>
              </c:numCache>
            </c:numRef>
          </c:val>
          <c:extLst>
            <c:ext xmlns:c16="http://schemas.microsoft.com/office/drawing/2014/chart" uri="{C3380CC4-5D6E-409C-BE32-E72D297353CC}">
              <c16:uniqueId val="{00000003-3D78-4DE9-A7E6-F31FBEAFD2FE}"/>
            </c:ext>
          </c:extLst>
        </c:ser>
        <c:ser>
          <c:idx val="1"/>
          <c:order val="1"/>
          <c:tx>
            <c:strRef>
              <c:f>Analysis!$D$175:$D$176</c:f>
              <c:strCache>
                <c:ptCount val="1"/>
                <c:pt idx="0">
                  <c:v>Passive</c:v>
                </c:pt>
              </c:strCache>
            </c:strRef>
          </c:tx>
          <c:spPr>
            <a:solidFill>
              <a:schemeClr val="accent2"/>
            </a:solidFill>
            <a:ln>
              <a:noFill/>
            </a:ln>
            <a:effectLst/>
          </c:spPr>
          <c:invertIfNegative val="0"/>
          <c:cat>
            <c:strRef>
              <c:f>Analysis!$B$177:$B$180</c:f>
              <c:strCache>
                <c:ptCount val="4"/>
                <c:pt idx="0">
                  <c:v>Bangalore MBC</c:v>
                </c:pt>
                <c:pt idx="1">
                  <c:v>Chennai MBC</c:v>
                </c:pt>
                <c:pt idx="2">
                  <c:v>Delhi MBC</c:v>
                </c:pt>
                <c:pt idx="3">
                  <c:v>Mumbai MBC</c:v>
                </c:pt>
              </c:strCache>
            </c:strRef>
          </c:cat>
          <c:val>
            <c:numRef>
              <c:f>Analysis!$D$177:$D$180</c:f>
              <c:numCache>
                <c:formatCode>0.00%</c:formatCode>
                <c:ptCount val="4"/>
                <c:pt idx="0">
                  <c:v>0.17801047120418848</c:v>
                </c:pt>
                <c:pt idx="1">
                  <c:v>0.16993464052287582</c:v>
                </c:pt>
                <c:pt idx="2">
                  <c:v>0.17741935483870969</c:v>
                </c:pt>
                <c:pt idx="3">
                  <c:v>0.19095477386934673</c:v>
                </c:pt>
              </c:numCache>
            </c:numRef>
          </c:val>
          <c:extLst>
            <c:ext xmlns:c16="http://schemas.microsoft.com/office/drawing/2014/chart" uri="{C3380CC4-5D6E-409C-BE32-E72D297353CC}">
              <c16:uniqueId val="{00000004-3D78-4DE9-A7E6-F31FBEAFD2FE}"/>
            </c:ext>
          </c:extLst>
        </c:ser>
        <c:ser>
          <c:idx val="2"/>
          <c:order val="2"/>
          <c:tx>
            <c:strRef>
              <c:f>Analysis!$E$175:$E$176</c:f>
              <c:strCache>
                <c:ptCount val="1"/>
                <c:pt idx="0">
                  <c:v>Promoter</c:v>
                </c:pt>
              </c:strCache>
            </c:strRef>
          </c:tx>
          <c:spPr>
            <a:solidFill>
              <a:schemeClr val="accent3"/>
            </a:solidFill>
            <a:ln>
              <a:noFill/>
            </a:ln>
            <a:effectLst/>
          </c:spPr>
          <c:invertIfNegative val="0"/>
          <c:cat>
            <c:strRef>
              <c:f>Analysis!$B$177:$B$180</c:f>
              <c:strCache>
                <c:ptCount val="4"/>
                <c:pt idx="0">
                  <c:v>Bangalore MBC</c:v>
                </c:pt>
                <c:pt idx="1">
                  <c:v>Chennai MBC</c:v>
                </c:pt>
                <c:pt idx="2">
                  <c:v>Delhi MBC</c:v>
                </c:pt>
                <c:pt idx="3">
                  <c:v>Mumbai MBC</c:v>
                </c:pt>
              </c:strCache>
            </c:strRef>
          </c:cat>
          <c:val>
            <c:numRef>
              <c:f>Analysis!$E$177:$E$180</c:f>
              <c:numCache>
                <c:formatCode>0.00%</c:formatCode>
                <c:ptCount val="4"/>
                <c:pt idx="0">
                  <c:v>0.12041884816753927</c:v>
                </c:pt>
                <c:pt idx="1">
                  <c:v>0.18300653594771241</c:v>
                </c:pt>
                <c:pt idx="2">
                  <c:v>0.16129032258064516</c:v>
                </c:pt>
                <c:pt idx="3">
                  <c:v>0.11557788944723618</c:v>
                </c:pt>
              </c:numCache>
            </c:numRef>
          </c:val>
          <c:extLst>
            <c:ext xmlns:c16="http://schemas.microsoft.com/office/drawing/2014/chart" uri="{C3380CC4-5D6E-409C-BE32-E72D297353CC}">
              <c16:uniqueId val="{00000005-3D78-4DE9-A7E6-F31FBEAFD2FE}"/>
            </c:ext>
          </c:extLst>
        </c:ser>
        <c:dLbls>
          <c:showLegendKey val="0"/>
          <c:showVal val="0"/>
          <c:showCatName val="0"/>
          <c:showSerName val="0"/>
          <c:showPercent val="0"/>
          <c:showBubbleSize val="0"/>
        </c:dLbls>
        <c:gapWidth val="150"/>
        <c:axId val="107351584"/>
        <c:axId val="107341504"/>
      </c:barChart>
      <c:catAx>
        <c:axId val="10735158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41504"/>
        <c:crosses val="autoZero"/>
        <c:auto val="1"/>
        <c:lblAlgn val="ctr"/>
        <c:lblOffset val="100"/>
        <c:noMultiLvlLbl val="0"/>
      </c:catAx>
      <c:valAx>
        <c:axId val="10734150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351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spPr>
            <a:solidFill>
              <a:schemeClr val="accent1"/>
            </a:solidFill>
            <a:ln>
              <a:noFill/>
            </a:ln>
            <a:effectLst/>
          </c:spPr>
          <c:invertIfNegative val="0"/>
          <c:cat>
            <c:strRef>
              <c:f>Analysis!$B$37:$D$37</c:f>
              <c:strCache>
                <c:ptCount val="3"/>
                <c:pt idx="0">
                  <c:v>Avg TAT Pre-Booking</c:v>
                </c:pt>
                <c:pt idx="1">
                  <c:v>Avg TAT Booking</c:v>
                </c:pt>
                <c:pt idx="2">
                  <c:v>Avg TAT Delivery</c:v>
                </c:pt>
              </c:strCache>
            </c:strRef>
          </c:cat>
          <c:val>
            <c:numRef>
              <c:f>Analysis!$B$38:$D$38</c:f>
              <c:numCache>
                <c:formatCode>0.00</c:formatCode>
                <c:ptCount val="3"/>
                <c:pt idx="0">
                  <c:v>3.0578817733990147</c:v>
                </c:pt>
                <c:pt idx="1">
                  <c:v>3.0689655172413794</c:v>
                </c:pt>
                <c:pt idx="2">
                  <c:v>4.4568965517241379</c:v>
                </c:pt>
              </c:numCache>
            </c:numRef>
          </c:val>
          <c:extLst>
            <c:ext xmlns:c16="http://schemas.microsoft.com/office/drawing/2014/chart" uri="{C3380CC4-5D6E-409C-BE32-E72D297353CC}">
              <c16:uniqueId val="{00000000-D5AA-4566-93F5-D50A71E23D92}"/>
            </c:ext>
          </c:extLst>
        </c:ser>
        <c:dLbls>
          <c:showLegendKey val="0"/>
          <c:showVal val="0"/>
          <c:showCatName val="0"/>
          <c:showSerName val="0"/>
          <c:showPercent val="0"/>
          <c:showBubbleSize val="0"/>
        </c:dLbls>
        <c:gapWidth val="182"/>
        <c:axId val="2063803023"/>
        <c:axId val="2063808303"/>
      </c:barChart>
      <c:catAx>
        <c:axId val="206380302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08303"/>
        <c:crosses val="autoZero"/>
        <c:auto val="1"/>
        <c:lblAlgn val="ctr"/>
        <c:lblOffset val="100"/>
        <c:noMultiLvlLbl val="0"/>
      </c:catAx>
      <c:valAx>
        <c:axId val="2063808303"/>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638030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7342397103325231"/>
          <c:y val="4.837350746780304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1883319631268695"/>
          <c:y val="6.698592182339147E-2"/>
          <c:w val="0.8533982577970578"/>
          <c:h val="0.6540401202899021"/>
        </c:manualLayout>
      </c:layout>
      <c:barChart>
        <c:barDir val="col"/>
        <c:grouping val="clustered"/>
        <c:varyColors val="0"/>
        <c:ser>
          <c:idx val="0"/>
          <c:order val="0"/>
          <c:tx>
            <c:strRef>
              <c:f>calculation!$H$12</c:f>
              <c:strCache>
                <c:ptCount val="1"/>
                <c:pt idx="0">
                  <c:v>conv_rate_pre_booking</c:v>
                </c:pt>
              </c:strCache>
            </c:strRef>
          </c:tx>
          <c:spPr>
            <a:solidFill>
              <a:schemeClr val="accent1"/>
            </a:solidFill>
            <a:ln>
              <a:noFill/>
            </a:ln>
            <a:effectLst/>
          </c:spPr>
          <c:invertIfNegative val="0"/>
          <c:cat>
            <c:strRef>
              <c:f>calculation!$G$13:$G$16</c:f>
              <c:strCache>
                <c:ptCount val="4"/>
                <c:pt idx="0">
                  <c:v>Bangalore MBC</c:v>
                </c:pt>
                <c:pt idx="1">
                  <c:v>Chennai MBC</c:v>
                </c:pt>
                <c:pt idx="2">
                  <c:v>Delhi MBC</c:v>
                </c:pt>
                <c:pt idx="3">
                  <c:v>Mumbai MBC</c:v>
                </c:pt>
              </c:strCache>
            </c:strRef>
          </c:cat>
          <c:val>
            <c:numRef>
              <c:f>calculation!$H$13:$H$16</c:f>
              <c:numCache>
                <c:formatCode>0.0%</c:formatCode>
                <c:ptCount val="4"/>
                <c:pt idx="0">
                  <c:v>0.80608365019011408</c:v>
                </c:pt>
                <c:pt idx="1">
                  <c:v>0.81603773584905659</c:v>
                </c:pt>
                <c:pt idx="2">
                  <c:v>0.80608365019011408</c:v>
                </c:pt>
                <c:pt idx="3">
                  <c:v>0.82061068702290074</c:v>
                </c:pt>
              </c:numCache>
            </c:numRef>
          </c:val>
          <c:extLst>
            <c:ext xmlns:c16="http://schemas.microsoft.com/office/drawing/2014/chart" uri="{C3380CC4-5D6E-409C-BE32-E72D297353CC}">
              <c16:uniqueId val="{00000000-0FA1-4A09-A39B-815EA4A10EFA}"/>
            </c:ext>
          </c:extLst>
        </c:ser>
        <c:ser>
          <c:idx val="1"/>
          <c:order val="1"/>
          <c:tx>
            <c:strRef>
              <c:f>calculation!$I$12</c:f>
              <c:strCache>
                <c:ptCount val="1"/>
                <c:pt idx="0">
                  <c:v>conv_rate_booking</c:v>
                </c:pt>
              </c:strCache>
            </c:strRef>
          </c:tx>
          <c:spPr>
            <a:solidFill>
              <a:schemeClr val="accent2"/>
            </a:solidFill>
            <a:ln>
              <a:noFill/>
            </a:ln>
            <a:effectLst/>
          </c:spPr>
          <c:invertIfNegative val="0"/>
          <c:cat>
            <c:strRef>
              <c:f>calculation!$G$13:$G$16</c:f>
              <c:strCache>
                <c:ptCount val="4"/>
                <c:pt idx="0">
                  <c:v>Bangalore MBC</c:v>
                </c:pt>
                <c:pt idx="1">
                  <c:v>Chennai MBC</c:v>
                </c:pt>
                <c:pt idx="2">
                  <c:v>Delhi MBC</c:v>
                </c:pt>
                <c:pt idx="3">
                  <c:v>Mumbai MBC</c:v>
                </c:pt>
              </c:strCache>
            </c:strRef>
          </c:cat>
          <c:val>
            <c:numRef>
              <c:f>calculation!$I$13:$I$16</c:f>
              <c:numCache>
                <c:formatCode>0.0%</c:formatCode>
                <c:ptCount val="4"/>
                <c:pt idx="0">
                  <c:v>1</c:v>
                </c:pt>
                <c:pt idx="1">
                  <c:v>1</c:v>
                </c:pt>
                <c:pt idx="2">
                  <c:v>1</c:v>
                </c:pt>
                <c:pt idx="3">
                  <c:v>1</c:v>
                </c:pt>
              </c:numCache>
            </c:numRef>
          </c:val>
          <c:extLst>
            <c:ext xmlns:c16="http://schemas.microsoft.com/office/drawing/2014/chart" uri="{C3380CC4-5D6E-409C-BE32-E72D297353CC}">
              <c16:uniqueId val="{00000001-0FA1-4A09-A39B-815EA4A10EFA}"/>
            </c:ext>
          </c:extLst>
        </c:ser>
        <c:ser>
          <c:idx val="2"/>
          <c:order val="2"/>
          <c:tx>
            <c:strRef>
              <c:f>calculation!$J$12</c:f>
              <c:strCache>
                <c:ptCount val="1"/>
                <c:pt idx="0">
                  <c:v>conv_rate_delivery</c:v>
                </c:pt>
              </c:strCache>
            </c:strRef>
          </c:tx>
          <c:spPr>
            <a:solidFill>
              <a:schemeClr val="accent3"/>
            </a:solidFill>
            <a:ln>
              <a:noFill/>
            </a:ln>
            <a:effectLst/>
          </c:spPr>
          <c:invertIfNegative val="0"/>
          <c:cat>
            <c:strRef>
              <c:f>calculation!$G$13:$G$16</c:f>
              <c:strCache>
                <c:ptCount val="4"/>
                <c:pt idx="0">
                  <c:v>Bangalore MBC</c:v>
                </c:pt>
                <c:pt idx="1">
                  <c:v>Chennai MBC</c:v>
                </c:pt>
                <c:pt idx="2">
                  <c:v>Delhi MBC</c:v>
                </c:pt>
                <c:pt idx="3">
                  <c:v>Mumbai MBC</c:v>
                </c:pt>
              </c:strCache>
            </c:strRef>
          </c:cat>
          <c:val>
            <c:numRef>
              <c:f>calculation!$J$13:$J$16</c:f>
              <c:numCache>
                <c:formatCode>0.0%</c:formatCode>
                <c:ptCount val="4"/>
                <c:pt idx="0">
                  <c:v>0.90094339622641506</c:v>
                </c:pt>
                <c:pt idx="1">
                  <c:v>0.88439306358381498</c:v>
                </c:pt>
                <c:pt idx="2">
                  <c:v>0.87735849056603776</c:v>
                </c:pt>
                <c:pt idx="3">
                  <c:v>0.92558139534883721</c:v>
                </c:pt>
              </c:numCache>
            </c:numRef>
          </c:val>
          <c:extLst>
            <c:ext xmlns:c16="http://schemas.microsoft.com/office/drawing/2014/chart" uri="{C3380CC4-5D6E-409C-BE32-E72D297353CC}">
              <c16:uniqueId val="{00000002-0FA1-4A09-A39B-815EA4A10EFA}"/>
            </c:ext>
          </c:extLst>
        </c:ser>
        <c:dLbls>
          <c:showLegendKey val="0"/>
          <c:showVal val="0"/>
          <c:showCatName val="0"/>
          <c:showSerName val="0"/>
          <c:showPercent val="0"/>
          <c:showBubbleSize val="0"/>
        </c:dLbls>
        <c:gapWidth val="150"/>
        <c:axId val="824236784"/>
        <c:axId val="824231504"/>
      </c:barChart>
      <c:catAx>
        <c:axId val="82423678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231504"/>
        <c:crosses val="autoZero"/>
        <c:auto val="1"/>
        <c:lblAlgn val="ctr"/>
        <c:lblOffset val="100"/>
        <c:noMultiLvlLbl val="0"/>
      </c:catAx>
      <c:valAx>
        <c:axId val="824231504"/>
        <c:scaling>
          <c:orientation val="minMax"/>
        </c:scaling>
        <c:delete val="0"/>
        <c:axPos val="l"/>
        <c:majorGridlines>
          <c:spPr>
            <a:ln w="9525" cap="flat" cmpd="sng" algn="ctr">
              <a:solidFill>
                <a:schemeClr val="tx1">
                  <a:lumMod val="15000"/>
                  <a:lumOff val="85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236784"/>
        <c:crosses val="autoZero"/>
        <c:crossBetween val="between"/>
      </c:valAx>
      <c:spPr>
        <a:noFill/>
        <a:ln>
          <a:noFill/>
        </a:ln>
        <a:effectLst/>
      </c:spPr>
    </c:plotArea>
    <c:legend>
      <c:legendPos val="b"/>
      <c:layout>
        <c:manualLayout>
          <c:xMode val="edge"/>
          <c:yMode val="edge"/>
          <c:x val="6.2111240357536429E-2"/>
          <c:y val="0.89901973182032191"/>
          <c:w val="0.87577730063495962"/>
          <c:h val="8.163086519255703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[electricpe_dashboard.xlsx]calculation!PivotTable4</c:name>
    <c:fmtId val="7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calculation!$B$54</c:f>
              <c:strCache>
                <c:ptCount val="1"/>
                <c:pt idx="0">
                  <c:v>Avg_TAT_Pre-Booking </c:v>
                </c:pt>
              </c:strCache>
            </c:strRef>
          </c:tx>
          <c:spPr>
            <a:solidFill>
              <a:schemeClr val="accent1"/>
            </a:solidFill>
            <a:ln>
              <a:noFill/>
            </a:ln>
            <a:effectLst/>
          </c:spPr>
          <c:invertIfNegative val="0"/>
          <c:cat>
            <c:strRef>
              <c:f>calculation!$A$55:$A$59</c:f>
              <c:strCache>
                <c:ptCount val="4"/>
                <c:pt idx="0">
                  <c:v>Bangalore MBC</c:v>
                </c:pt>
                <c:pt idx="1">
                  <c:v>Chennai MBC</c:v>
                </c:pt>
                <c:pt idx="2">
                  <c:v>Delhi MBC</c:v>
                </c:pt>
                <c:pt idx="3">
                  <c:v>Mumbai MBC</c:v>
                </c:pt>
              </c:strCache>
            </c:strRef>
          </c:cat>
          <c:val>
            <c:numRef>
              <c:f>calculation!$B$55:$B$59</c:f>
              <c:numCache>
                <c:formatCode>0.00</c:formatCode>
                <c:ptCount val="4"/>
                <c:pt idx="0">
                  <c:v>3.1179245283018866</c:v>
                </c:pt>
                <c:pt idx="1">
                  <c:v>3.1213872832369942</c:v>
                </c:pt>
                <c:pt idx="2">
                  <c:v>3.0283018867924527</c:v>
                </c:pt>
                <c:pt idx="3">
                  <c:v>2.9767441860465116</c:v>
                </c:pt>
              </c:numCache>
            </c:numRef>
          </c:val>
          <c:extLst>
            <c:ext xmlns:c16="http://schemas.microsoft.com/office/drawing/2014/chart" uri="{C3380CC4-5D6E-409C-BE32-E72D297353CC}">
              <c16:uniqueId val="{0000000A-65DC-4233-B24D-B5C535DA0BE3}"/>
            </c:ext>
          </c:extLst>
        </c:ser>
        <c:ser>
          <c:idx val="1"/>
          <c:order val="1"/>
          <c:tx>
            <c:strRef>
              <c:f>calculation!$C$54</c:f>
              <c:strCache>
                <c:ptCount val="1"/>
                <c:pt idx="0">
                  <c:v>Avg_TAT_Booking </c:v>
                </c:pt>
              </c:strCache>
            </c:strRef>
          </c:tx>
          <c:spPr>
            <a:solidFill>
              <a:schemeClr val="accent2"/>
            </a:solidFill>
            <a:ln>
              <a:noFill/>
            </a:ln>
            <a:effectLst/>
          </c:spPr>
          <c:invertIfNegative val="0"/>
          <c:cat>
            <c:strRef>
              <c:f>calculation!$A$55:$A$59</c:f>
              <c:strCache>
                <c:ptCount val="4"/>
                <c:pt idx="0">
                  <c:v>Bangalore MBC</c:v>
                </c:pt>
                <c:pt idx="1">
                  <c:v>Chennai MBC</c:v>
                </c:pt>
                <c:pt idx="2">
                  <c:v>Delhi MBC</c:v>
                </c:pt>
                <c:pt idx="3">
                  <c:v>Mumbai MBC</c:v>
                </c:pt>
              </c:strCache>
            </c:strRef>
          </c:cat>
          <c:val>
            <c:numRef>
              <c:f>calculation!$C$55:$C$59</c:f>
              <c:numCache>
                <c:formatCode>0.00</c:formatCode>
                <c:ptCount val="4"/>
                <c:pt idx="0">
                  <c:v>3.0330188679245285</c:v>
                </c:pt>
                <c:pt idx="1">
                  <c:v>3.2023121387283235</c:v>
                </c:pt>
                <c:pt idx="2">
                  <c:v>3.0188679245283021</c:v>
                </c:pt>
                <c:pt idx="3">
                  <c:v>3.0465116279069768</c:v>
                </c:pt>
              </c:numCache>
            </c:numRef>
          </c:val>
          <c:extLst>
            <c:ext xmlns:c16="http://schemas.microsoft.com/office/drawing/2014/chart" uri="{C3380CC4-5D6E-409C-BE32-E72D297353CC}">
              <c16:uniqueId val="{0000000B-65DC-4233-B24D-B5C535DA0BE3}"/>
            </c:ext>
          </c:extLst>
        </c:ser>
        <c:ser>
          <c:idx val="2"/>
          <c:order val="2"/>
          <c:tx>
            <c:strRef>
              <c:f>calculation!$D$54</c:f>
              <c:strCache>
                <c:ptCount val="1"/>
                <c:pt idx="0">
                  <c:v>Avg_TAT_Delivery</c:v>
                </c:pt>
              </c:strCache>
            </c:strRef>
          </c:tx>
          <c:spPr>
            <a:solidFill>
              <a:schemeClr val="accent3"/>
            </a:solidFill>
            <a:ln>
              <a:noFill/>
            </a:ln>
            <a:effectLst/>
          </c:spPr>
          <c:invertIfNegative val="0"/>
          <c:cat>
            <c:strRef>
              <c:f>calculation!$A$55:$A$59</c:f>
              <c:strCache>
                <c:ptCount val="4"/>
                <c:pt idx="0">
                  <c:v>Bangalore MBC</c:v>
                </c:pt>
                <c:pt idx="1">
                  <c:v>Chennai MBC</c:v>
                </c:pt>
                <c:pt idx="2">
                  <c:v>Delhi MBC</c:v>
                </c:pt>
                <c:pt idx="3">
                  <c:v>Mumbai MBC</c:v>
                </c:pt>
              </c:strCache>
            </c:strRef>
          </c:cat>
          <c:val>
            <c:numRef>
              <c:f>calculation!$D$55:$D$59</c:f>
              <c:numCache>
                <c:formatCode>0.00</c:formatCode>
                <c:ptCount val="4"/>
                <c:pt idx="0">
                  <c:v>4.5141509433962268</c:v>
                </c:pt>
                <c:pt idx="1">
                  <c:v>4.3872832369942198</c:v>
                </c:pt>
                <c:pt idx="2">
                  <c:v>4.283018867924528</c:v>
                </c:pt>
                <c:pt idx="3">
                  <c:v>4.6279069767441863</c:v>
                </c:pt>
              </c:numCache>
            </c:numRef>
          </c:val>
          <c:extLst>
            <c:ext xmlns:c16="http://schemas.microsoft.com/office/drawing/2014/chart" uri="{C3380CC4-5D6E-409C-BE32-E72D297353CC}">
              <c16:uniqueId val="{0000000C-65DC-4233-B24D-B5C535DA0BE3}"/>
            </c:ext>
          </c:extLst>
        </c:ser>
        <c:dLbls>
          <c:showLegendKey val="0"/>
          <c:showVal val="0"/>
          <c:showCatName val="0"/>
          <c:showSerName val="0"/>
          <c:showPercent val="0"/>
          <c:showBubbleSize val="0"/>
        </c:dLbls>
        <c:gapWidth val="219"/>
        <c:overlap val="-27"/>
        <c:axId val="824253104"/>
        <c:axId val="824276624"/>
      </c:barChart>
      <c:catAx>
        <c:axId val="82425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276624"/>
        <c:crosses val="autoZero"/>
        <c:auto val="1"/>
        <c:lblAlgn val="ctr"/>
        <c:lblOffset val="100"/>
        <c:noMultiLvlLbl val="0"/>
      </c:catAx>
      <c:valAx>
        <c:axId val="82427662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425310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[electricpe_dashboard.xlsx]calculation!PivotTable12</c:name>
    <c:fmtId val="2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Customer</a:t>
            </a:r>
            <a:r>
              <a:rPr lang="en-US" baseline="0"/>
              <a:t> Rating Distribution</a:t>
            </a:r>
            <a:endParaRPr lang="en-US"/>
          </a:p>
        </c:rich>
      </c:tx>
      <c:layout>
        <c:manualLayout>
          <c:xMode val="edge"/>
          <c:yMode val="edge"/>
          <c:x val="7.8212835021689486E-4"/>
          <c:y val="1.018618664863631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1"/>
          </a:solidFill>
          <a:ln>
            <a:noFill/>
          </a:ln>
          <a:effectLst>
            <a:outerShdw blurRad="254000" sx="102000" sy="102000" algn="ctr" rotWithShape="0">
              <a:prstClr val="black">
                <a:alpha val="20000"/>
              </a:prstClr>
            </a:outerShdw>
          </a:effectLst>
          <a:sp3d/>
        </c:spPr>
      </c:pivotFmt>
      <c:pivotFmt>
        <c:idx val="3"/>
        <c:spPr>
          <a:solidFill>
            <a:schemeClr val="accent1"/>
          </a:solidFill>
          <a:ln>
            <a:noFill/>
          </a:ln>
          <a:effectLst>
            <a:outerShdw blurRad="254000" sx="102000" sy="102000" algn="ctr" rotWithShape="0">
              <a:prstClr val="black">
                <a:alpha val="20000"/>
              </a:prstClr>
            </a:outerShdw>
          </a:effectLst>
          <a:sp3d/>
        </c:spPr>
      </c:pivotFmt>
    </c:pivotFmts>
    <c:view3D>
      <c:rotX val="5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0.26471372604692145"/>
          <c:w val="0.73566897529809094"/>
          <c:h val="0.64361059411535171"/>
        </c:manualLayout>
      </c:layout>
      <c:pie3DChart>
        <c:varyColors val="1"/>
        <c:ser>
          <c:idx val="0"/>
          <c:order val="0"/>
          <c:tx>
            <c:strRef>
              <c:f>calculation!$C$139</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1-D2AF-4FA6-B586-F4A0BCAFCFDC}"/>
              </c:ext>
            </c:extLst>
          </c:dPt>
          <c:dPt>
            <c:idx val="1"/>
            <c:bubble3D val="0"/>
            <c:spPr>
              <a:solidFill>
                <a:schemeClr val="accent2"/>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3-D2AF-4FA6-B586-F4A0BCAFCFDC}"/>
              </c:ext>
            </c:extLst>
          </c:dPt>
          <c:dPt>
            <c:idx val="2"/>
            <c:bubble3D val="0"/>
            <c:spPr>
              <a:solidFill>
                <a:schemeClr val="accent3"/>
              </a:solidFill>
              <a:ln>
                <a:noFill/>
              </a:ln>
              <a:effectLst>
                <a:outerShdw blurRad="254000" sx="102000" sy="102000" algn="ctr" rotWithShape="0">
                  <a:prstClr val="black">
                    <a:alpha val="20000"/>
                  </a:prstClr>
                </a:outerShdw>
              </a:effectLst>
              <a:sp3d/>
            </c:spPr>
            <c:extLst>
              <c:ext xmlns:c16="http://schemas.microsoft.com/office/drawing/2014/chart" uri="{C3380CC4-5D6E-409C-BE32-E72D297353CC}">
                <c16:uniqueId val="{00000005-D2AF-4FA6-B586-F4A0BCAFCFDC}"/>
              </c:ext>
            </c:extLst>
          </c:dPt>
          <c:dLbls>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calculation!$B$140:$B$142</c:f>
              <c:strCache>
                <c:ptCount val="3"/>
                <c:pt idx="0">
                  <c:v>Detractor</c:v>
                </c:pt>
                <c:pt idx="1">
                  <c:v>Passive</c:v>
                </c:pt>
                <c:pt idx="2">
                  <c:v>Promoter</c:v>
                </c:pt>
              </c:strCache>
            </c:strRef>
          </c:cat>
          <c:val>
            <c:numRef>
              <c:f>calculation!$C$140:$C$142</c:f>
              <c:numCache>
                <c:formatCode>General</c:formatCode>
                <c:ptCount val="3"/>
                <c:pt idx="0">
                  <c:v>494</c:v>
                </c:pt>
                <c:pt idx="1">
                  <c:v>131</c:v>
                </c:pt>
                <c:pt idx="2">
                  <c:v>104</c:v>
                </c:pt>
              </c:numCache>
            </c:numRef>
          </c:val>
          <c:extLst>
            <c:ext xmlns:c16="http://schemas.microsoft.com/office/drawing/2014/chart" uri="{C3380CC4-5D6E-409C-BE32-E72D297353CC}">
              <c16:uniqueId val="{00000007-83D3-404A-882A-A6468FFEC0E7}"/>
            </c:ext>
          </c:extLst>
        </c:ser>
        <c:dLbls>
          <c:dLblPos val="ctr"/>
          <c:showLegendKey val="0"/>
          <c:showVal val="0"/>
          <c:showCatName val="1"/>
          <c:showSerName val="0"/>
          <c:showPercent val="0"/>
          <c:showBubbleSize val="0"/>
          <c:showLeaderLines val="1"/>
        </c:dLbls>
      </c:pie3DChart>
      <c:spPr>
        <a:noFill/>
        <a:ln>
          <a:noFill/>
        </a:ln>
        <a:effectLst/>
      </c:spPr>
    </c:plotArea>
    <c:legend>
      <c:legendPos val="r"/>
      <c:layout>
        <c:manualLayout>
          <c:xMode val="edge"/>
          <c:yMode val="edge"/>
          <c:x val="0.60326326585838008"/>
          <c:y val="0.25920823854403641"/>
          <c:w val="0.25645045956777585"/>
          <c:h val="0.31994708966067625"/>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0"/>
          <a:lstStyle/>
          <a:p>
            <a:pPr>
              <a:defRPr sz="1600" b="1" i="0" u="none" strike="noStrike" kern="1200" baseline="0">
                <a:solidFill>
                  <a:schemeClr val="tx1">
                    <a:lumMod val="65000"/>
                    <a:lumOff val="35000"/>
                  </a:schemeClr>
                </a:solidFill>
                <a:latin typeface="+mn-lt"/>
                <a:ea typeface="+mn-ea"/>
                <a:cs typeface="+mn-cs"/>
              </a:defRPr>
            </a:pPr>
            <a:r>
              <a:rPr lang="en-US"/>
              <a:t>Cancelled</a:t>
            </a:r>
            <a:r>
              <a:rPr lang="en-US" baseline="0"/>
              <a:t> Leads by Reason</a:t>
            </a:r>
            <a:endParaRPr lang="en-US"/>
          </a:p>
        </c:rich>
      </c:tx>
      <c:layout>
        <c:manualLayout>
          <c:xMode val="edge"/>
          <c:yMode val="edge"/>
          <c:x val="5.0021265701100685E-3"/>
          <c:y val="1.1078389638303663E-2"/>
        </c:manualLayout>
      </c:layout>
      <c:overlay val="0"/>
      <c:spPr>
        <a:noFill/>
        <a:ln>
          <a:noFill/>
        </a:ln>
        <a:effectLst/>
      </c:spPr>
      <c:txPr>
        <a:bodyPr rot="0" spcFirstLastPara="1" vertOverflow="ellipsis" vert="horz" wrap="square" anchor="t" anchorCtr="0"/>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3.8519265731367318E-2"/>
          <c:y val="0.13847987047879579"/>
          <c:w val="0.44615102103599075"/>
          <c:h val="0.86152012952120405"/>
        </c:manualLayout>
      </c:layout>
      <c:pieChart>
        <c:varyColors val="1"/>
        <c:ser>
          <c:idx val="0"/>
          <c:order val="0"/>
          <c:tx>
            <c:strRef>
              <c:f>calculation!$E$85</c:f>
              <c:strCache>
                <c:ptCount val="1"/>
                <c:pt idx="0">
                  <c:v>Lead_Count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616-4048-A298-E1418D7E8AD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2-C616-4048-A298-E1418D7E8AD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616-4048-A298-E1418D7E8AD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4-C616-4048-A298-E1418D7E8AD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616-4048-A298-E1418D7E8AD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C616-4048-A298-E1418D7E8AD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calculation!$D$86:$D$91</c:f>
              <c:strCache>
                <c:ptCount val="5"/>
                <c:pt idx="0">
                  <c:v>Changed Mind</c:v>
                </c:pt>
                <c:pt idx="1">
                  <c:v>Financing Issue</c:v>
                </c:pt>
                <c:pt idx="2">
                  <c:v>Model Unavailable</c:v>
                </c:pt>
                <c:pt idx="3">
                  <c:v>Other</c:v>
                </c:pt>
                <c:pt idx="4">
                  <c:v>Price</c:v>
                </c:pt>
              </c:strCache>
            </c:strRef>
          </c:cat>
          <c:val>
            <c:numRef>
              <c:f>calculation!$E$86:$E$91</c:f>
              <c:numCache>
                <c:formatCode>General</c:formatCode>
                <c:ptCount val="6"/>
                <c:pt idx="0">
                  <c:v>51</c:v>
                </c:pt>
                <c:pt idx="1">
                  <c:v>59</c:v>
                </c:pt>
                <c:pt idx="2">
                  <c:v>43</c:v>
                </c:pt>
                <c:pt idx="3">
                  <c:v>57</c:v>
                </c:pt>
                <c:pt idx="4">
                  <c:v>61</c:v>
                </c:pt>
              </c:numCache>
            </c:numRef>
          </c:val>
          <c:extLst>
            <c:ext xmlns:c16="http://schemas.microsoft.com/office/drawing/2014/chart" uri="{C3380CC4-5D6E-409C-BE32-E72D297353CC}">
              <c16:uniqueId val="{00000000-C616-4048-A298-E1418D7E8ADC}"/>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b"/>
      <c:legendEntry>
        <c:idx val="5"/>
        <c:delete val="1"/>
      </c:legendEntry>
      <c:layout>
        <c:manualLayout>
          <c:xMode val="edge"/>
          <c:yMode val="edge"/>
          <c:x val="0.52348521689321104"/>
          <c:y val="0.18989144922782755"/>
          <c:w val="0.24849045144045478"/>
          <c:h val="0.7547166025806543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calculation!$J$107</c:f>
              <c:strCache>
                <c:ptCount val="1"/>
                <c:pt idx="0">
                  <c:v>Changed Mind</c:v>
                </c:pt>
              </c:strCache>
            </c:strRef>
          </c:tx>
          <c:spPr>
            <a:solidFill>
              <a:schemeClr val="accent1"/>
            </a:solidFill>
            <a:ln>
              <a:noFill/>
            </a:ln>
            <a:effectLst/>
          </c:spPr>
          <c:invertIfNegative val="0"/>
          <c:cat>
            <c:strRef>
              <c:f>calculation!$I$108:$I$111</c:f>
              <c:strCache>
                <c:ptCount val="4"/>
                <c:pt idx="0">
                  <c:v>Bangalore MBC</c:v>
                </c:pt>
                <c:pt idx="1">
                  <c:v>Chennai MBC</c:v>
                </c:pt>
                <c:pt idx="2">
                  <c:v>Delhi MBC</c:v>
                </c:pt>
                <c:pt idx="3">
                  <c:v>Mumbai MBC</c:v>
                </c:pt>
              </c:strCache>
            </c:strRef>
          </c:cat>
          <c:val>
            <c:numRef>
              <c:f>calculation!$J$108:$J$111</c:f>
              <c:numCache>
                <c:formatCode>General</c:formatCode>
                <c:ptCount val="4"/>
                <c:pt idx="0">
                  <c:v>13</c:v>
                </c:pt>
                <c:pt idx="1">
                  <c:v>15</c:v>
                </c:pt>
                <c:pt idx="2">
                  <c:v>14</c:v>
                </c:pt>
                <c:pt idx="3">
                  <c:v>9</c:v>
                </c:pt>
              </c:numCache>
            </c:numRef>
          </c:val>
          <c:extLst>
            <c:ext xmlns:c16="http://schemas.microsoft.com/office/drawing/2014/chart" uri="{C3380CC4-5D6E-409C-BE32-E72D297353CC}">
              <c16:uniqueId val="{00000000-AFCC-4F12-9D32-0EED3DA6B544}"/>
            </c:ext>
          </c:extLst>
        </c:ser>
        <c:ser>
          <c:idx val="1"/>
          <c:order val="1"/>
          <c:tx>
            <c:strRef>
              <c:f>calculation!$K$107</c:f>
              <c:strCache>
                <c:ptCount val="1"/>
                <c:pt idx="0">
                  <c:v>Financing Issue</c:v>
                </c:pt>
              </c:strCache>
            </c:strRef>
          </c:tx>
          <c:spPr>
            <a:solidFill>
              <a:schemeClr val="accent2"/>
            </a:solidFill>
            <a:ln>
              <a:noFill/>
            </a:ln>
            <a:effectLst/>
          </c:spPr>
          <c:invertIfNegative val="0"/>
          <c:cat>
            <c:strRef>
              <c:f>calculation!$I$108:$I$111</c:f>
              <c:strCache>
                <c:ptCount val="4"/>
                <c:pt idx="0">
                  <c:v>Bangalore MBC</c:v>
                </c:pt>
                <c:pt idx="1">
                  <c:v>Chennai MBC</c:v>
                </c:pt>
                <c:pt idx="2">
                  <c:v>Delhi MBC</c:v>
                </c:pt>
                <c:pt idx="3">
                  <c:v>Mumbai MBC</c:v>
                </c:pt>
              </c:strCache>
            </c:strRef>
          </c:cat>
          <c:val>
            <c:numRef>
              <c:f>calculation!$K$108:$K$111</c:f>
              <c:numCache>
                <c:formatCode>General</c:formatCode>
                <c:ptCount val="4"/>
                <c:pt idx="0">
                  <c:v>14</c:v>
                </c:pt>
                <c:pt idx="1">
                  <c:v>10</c:v>
                </c:pt>
                <c:pt idx="2">
                  <c:v>21</c:v>
                </c:pt>
                <c:pt idx="3">
                  <c:v>14</c:v>
                </c:pt>
              </c:numCache>
            </c:numRef>
          </c:val>
          <c:extLst>
            <c:ext xmlns:c16="http://schemas.microsoft.com/office/drawing/2014/chart" uri="{C3380CC4-5D6E-409C-BE32-E72D297353CC}">
              <c16:uniqueId val="{00000001-AFCC-4F12-9D32-0EED3DA6B544}"/>
            </c:ext>
          </c:extLst>
        </c:ser>
        <c:ser>
          <c:idx val="2"/>
          <c:order val="2"/>
          <c:tx>
            <c:strRef>
              <c:f>calculation!$L$107</c:f>
              <c:strCache>
                <c:ptCount val="1"/>
                <c:pt idx="0">
                  <c:v>Model Unavailable</c:v>
                </c:pt>
              </c:strCache>
            </c:strRef>
          </c:tx>
          <c:spPr>
            <a:solidFill>
              <a:schemeClr val="accent3"/>
            </a:solidFill>
            <a:ln>
              <a:noFill/>
            </a:ln>
            <a:effectLst/>
          </c:spPr>
          <c:invertIfNegative val="0"/>
          <c:cat>
            <c:strRef>
              <c:f>calculation!$I$108:$I$111</c:f>
              <c:strCache>
                <c:ptCount val="4"/>
                <c:pt idx="0">
                  <c:v>Bangalore MBC</c:v>
                </c:pt>
                <c:pt idx="1">
                  <c:v>Chennai MBC</c:v>
                </c:pt>
                <c:pt idx="2">
                  <c:v>Delhi MBC</c:v>
                </c:pt>
                <c:pt idx="3">
                  <c:v>Mumbai MBC</c:v>
                </c:pt>
              </c:strCache>
            </c:strRef>
          </c:cat>
          <c:val>
            <c:numRef>
              <c:f>calculation!$L$108:$L$111</c:f>
              <c:numCache>
                <c:formatCode>General</c:formatCode>
                <c:ptCount val="4"/>
                <c:pt idx="0">
                  <c:v>13</c:v>
                </c:pt>
                <c:pt idx="1">
                  <c:v>8</c:v>
                </c:pt>
                <c:pt idx="2">
                  <c:v>13</c:v>
                </c:pt>
                <c:pt idx="3">
                  <c:v>9</c:v>
                </c:pt>
              </c:numCache>
            </c:numRef>
          </c:val>
          <c:extLst>
            <c:ext xmlns:c16="http://schemas.microsoft.com/office/drawing/2014/chart" uri="{C3380CC4-5D6E-409C-BE32-E72D297353CC}">
              <c16:uniqueId val="{00000002-AFCC-4F12-9D32-0EED3DA6B544}"/>
            </c:ext>
          </c:extLst>
        </c:ser>
        <c:ser>
          <c:idx val="3"/>
          <c:order val="3"/>
          <c:tx>
            <c:strRef>
              <c:f>calculation!$M$107</c:f>
              <c:strCache>
                <c:ptCount val="1"/>
                <c:pt idx="0">
                  <c:v>Price</c:v>
                </c:pt>
              </c:strCache>
            </c:strRef>
          </c:tx>
          <c:spPr>
            <a:solidFill>
              <a:schemeClr val="accent4"/>
            </a:solidFill>
            <a:ln>
              <a:noFill/>
            </a:ln>
            <a:effectLst/>
          </c:spPr>
          <c:invertIfNegative val="0"/>
          <c:cat>
            <c:strRef>
              <c:f>calculation!$I$108:$I$111</c:f>
              <c:strCache>
                <c:ptCount val="4"/>
                <c:pt idx="0">
                  <c:v>Bangalore MBC</c:v>
                </c:pt>
                <c:pt idx="1">
                  <c:v>Chennai MBC</c:v>
                </c:pt>
                <c:pt idx="2">
                  <c:v>Delhi MBC</c:v>
                </c:pt>
                <c:pt idx="3">
                  <c:v>Mumbai MBC</c:v>
                </c:pt>
              </c:strCache>
            </c:strRef>
          </c:cat>
          <c:val>
            <c:numRef>
              <c:f>calculation!$M$108:$M$111</c:f>
              <c:numCache>
                <c:formatCode>General</c:formatCode>
                <c:ptCount val="4"/>
                <c:pt idx="0">
                  <c:v>10</c:v>
                </c:pt>
                <c:pt idx="1">
                  <c:v>18</c:v>
                </c:pt>
                <c:pt idx="2">
                  <c:v>16</c:v>
                </c:pt>
                <c:pt idx="3">
                  <c:v>17</c:v>
                </c:pt>
              </c:numCache>
            </c:numRef>
          </c:val>
          <c:extLst>
            <c:ext xmlns:c16="http://schemas.microsoft.com/office/drawing/2014/chart" uri="{C3380CC4-5D6E-409C-BE32-E72D297353CC}">
              <c16:uniqueId val="{00000003-AFCC-4F12-9D32-0EED3DA6B544}"/>
            </c:ext>
          </c:extLst>
        </c:ser>
        <c:ser>
          <c:idx val="4"/>
          <c:order val="4"/>
          <c:tx>
            <c:strRef>
              <c:f>calculation!$N$107</c:f>
              <c:strCache>
                <c:ptCount val="1"/>
                <c:pt idx="0">
                  <c:v>Other</c:v>
                </c:pt>
              </c:strCache>
            </c:strRef>
          </c:tx>
          <c:spPr>
            <a:solidFill>
              <a:srgbClr val="002060"/>
            </a:solidFill>
            <a:ln>
              <a:noFill/>
            </a:ln>
            <a:effectLst/>
          </c:spPr>
          <c:invertIfNegative val="0"/>
          <c:cat>
            <c:strRef>
              <c:f>calculation!$I$108:$I$111</c:f>
              <c:strCache>
                <c:ptCount val="4"/>
                <c:pt idx="0">
                  <c:v>Bangalore MBC</c:v>
                </c:pt>
                <c:pt idx="1">
                  <c:v>Chennai MBC</c:v>
                </c:pt>
                <c:pt idx="2">
                  <c:v>Delhi MBC</c:v>
                </c:pt>
                <c:pt idx="3">
                  <c:v>Mumbai MBC</c:v>
                </c:pt>
              </c:strCache>
            </c:strRef>
          </c:cat>
          <c:val>
            <c:numRef>
              <c:f>calculation!$N$108:$N$111</c:f>
              <c:numCache>
                <c:formatCode>General</c:formatCode>
                <c:ptCount val="4"/>
                <c:pt idx="0">
                  <c:v>22</c:v>
                </c:pt>
                <c:pt idx="1">
                  <c:v>8</c:v>
                </c:pt>
                <c:pt idx="2">
                  <c:v>13</c:v>
                </c:pt>
                <c:pt idx="3">
                  <c:v>14</c:v>
                </c:pt>
              </c:numCache>
            </c:numRef>
          </c:val>
          <c:extLst>
            <c:ext xmlns:c16="http://schemas.microsoft.com/office/drawing/2014/chart" uri="{C3380CC4-5D6E-409C-BE32-E72D297353CC}">
              <c16:uniqueId val="{00000004-AFCC-4F12-9D32-0EED3DA6B544}"/>
            </c:ext>
          </c:extLst>
        </c:ser>
        <c:dLbls>
          <c:showLegendKey val="0"/>
          <c:showVal val="0"/>
          <c:showCatName val="0"/>
          <c:showSerName val="0"/>
          <c:showPercent val="0"/>
          <c:showBubbleSize val="0"/>
        </c:dLbls>
        <c:gapWidth val="150"/>
        <c:overlap val="100"/>
        <c:axId val="939875968"/>
        <c:axId val="939861568"/>
      </c:barChart>
      <c:catAx>
        <c:axId val="93987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861568"/>
        <c:crosses val="autoZero"/>
        <c:auto val="1"/>
        <c:lblAlgn val="ctr"/>
        <c:lblOffset val="100"/>
        <c:noMultiLvlLbl val="0"/>
      </c:catAx>
      <c:valAx>
        <c:axId val="939861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9875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lineChart>
        <c:grouping val="standard"/>
        <c:varyColors val="0"/>
        <c:ser>
          <c:idx val="0"/>
          <c:order val="0"/>
          <c:tx>
            <c:strRef>
              <c:f>calculation!$F$160</c:f>
              <c:strCache>
                <c:ptCount val="1"/>
                <c:pt idx="0">
                  <c:v>Avg Rating</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calculation!$E$161:$E$164</c:f>
              <c:strCache>
                <c:ptCount val="4"/>
                <c:pt idx="0">
                  <c:v>Bangalore MBC</c:v>
                </c:pt>
                <c:pt idx="1">
                  <c:v>Chennai MBC</c:v>
                </c:pt>
                <c:pt idx="2">
                  <c:v>Delhi MBC</c:v>
                </c:pt>
                <c:pt idx="3">
                  <c:v>Mumbai MBC</c:v>
                </c:pt>
              </c:strCache>
            </c:strRef>
          </c:cat>
          <c:val>
            <c:numRef>
              <c:f>calculation!$F$161:$F$164</c:f>
              <c:numCache>
                <c:formatCode>0.0</c:formatCode>
                <c:ptCount val="4"/>
                <c:pt idx="0">
                  <c:v>4.670157068062827</c:v>
                </c:pt>
                <c:pt idx="1">
                  <c:v>5.0130718954248366</c:v>
                </c:pt>
                <c:pt idx="2">
                  <c:v>4.897849462365591</c:v>
                </c:pt>
                <c:pt idx="3">
                  <c:v>4.8542713567839195</c:v>
                </c:pt>
              </c:numCache>
            </c:numRef>
          </c:val>
          <c:smooth val="0"/>
          <c:extLst>
            <c:ext xmlns:c16="http://schemas.microsoft.com/office/drawing/2014/chart" uri="{C3380CC4-5D6E-409C-BE32-E72D297353CC}">
              <c16:uniqueId val="{00000000-B25A-4100-B215-B4CF75020AAD}"/>
            </c:ext>
          </c:extLst>
        </c:ser>
        <c:dLbls>
          <c:dLblPos val="ctr"/>
          <c:showLegendKey val="0"/>
          <c:showVal val="1"/>
          <c:showCatName val="0"/>
          <c:showSerName val="0"/>
          <c:showPercent val="0"/>
          <c:showBubbleSize val="0"/>
        </c:dLbls>
        <c:marker val="1"/>
        <c:smooth val="0"/>
        <c:axId val="939935008"/>
        <c:axId val="939923968"/>
      </c:lineChart>
      <c:catAx>
        <c:axId val="9399350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939923968"/>
        <c:crosses val="autoZero"/>
        <c:auto val="1"/>
        <c:lblAlgn val="ctr"/>
        <c:lblOffset val="100"/>
        <c:noMultiLvlLbl val="0"/>
      </c:catAx>
      <c:valAx>
        <c:axId val="93992396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crossAx val="93993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Lead</a:t>
            </a:r>
            <a:r>
              <a:rPr lang="en-US" baseline="0"/>
              <a:t> Distribution</a:t>
            </a:r>
            <a:endParaRPr lang="en-US"/>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lotArea>
      <c:layout/>
      <c:pieChart>
        <c:varyColors val="1"/>
        <c:ser>
          <c:idx val="0"/>
          <c:order val="0"/>
          <c:tx>
            <c:strRef>
              <c:f>calculation!$E$121</c:f>
              <c:strCache>
                <c:ptCount val="1"/>
                <c:pt idx="0">
                  <c:v>Count</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4DA-419B-B7FF-7BE3A9810217}"/>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4DA-419B-B7FF-7BE3A9810217}"/>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A4DA-419B-B7FF-7BE3A981021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extLst>
          </c:dLbls>
          <c:cat>
            <c:strRef>
              <c:f>calculation!$D$122:$D$124</c:f>
              <c:strCache>
                <c:ptCount val="3"/>
                <c:pt idx="0">
                  <c:v>Cold</c:v>
                </c:pt>
                <c:pt idx="1">
                  <c:v>Hot</c:v>
                </c:pt>
                <c:pt idx="2">
                  <c:v>Warm</c:v>
                </c:pt>
              </c:strCache>
            </c:strRef>
          </c:cat>
          <c:val>
            <c:numRef>
              <c:f>calculation!$E$122:$E$124</c:f>
              <c:numCache>
                <c:formatCode>General</c:formatCode>
                <c:ptCount val="3"/>
                <c:pt idx="0">
                  <c:v>188</c:v>
                </c:pt>
                <c:pt idx="1">
                  <c:v>303</c:v>
                </c:pt>
                <c:pt idx="2">
                  <c:v>509</c:v>
                </c:pt>
              </c:numCache>
            </c:numRef>
          </c:val>
          <c:extLst>
            <c:ext xmlns:c16="http://schemas.microsoft.com/office/drawing/2014/chart" uri="{C3380CC4-5D6E-409C-BE32-E72D297353CC}">
              <c16:uniqueId val="{00000000-3B97-4E10-A361-76E2F3A6E0D9}"/>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calculation!$E$68</c:f>
              <c:strCache>
                <c:ptCount val="1"/>
                <c:pt idx="0">
                  <c:v>Cancelled_leads</c:v>
                </c:pt>
              </c:strCache>
            </c:strRef>
          </c:tx>
          <c:dPt>
            <c:idx val="0"/>
            <c:bubble3D val="0"/>
            <c:spPr>
              <a:solidFill>
                <a:schemeClr val="accent1"/>
              </a:solidFill>
              <a:ln w="25400">
                <a:solidFill>
                  <a:schemeClr val="lt1"/>
                </a:solidFill>
              </a:ln>
              <a:effectLst/>
              <a:sp3d contourW="25400">
                <a:contourClr>
                  <a:schemeClr val="lt1"/>
                </a:contourClr>
              </a:sp3d>
            </c:spPr>
            <c:extLst>
              <c:ext xmlns:c16="http://schemas.microsoft.com/office/drawing/2014/chart" uri="{C3380CC4-5D6E-409C-BE32-E72D297353CC}">
                <c16:uniqueId val="{00000001-69B8-40BE-A3F6-021A6741D0DB}"/>
              </c:ext>
            </c:extLst>
          </c:dPt>
          <c:dPt>
            <c:idx val="1"/>
            <c:bubble3D val="0"/>
            <c:spPr>
              <a:solidFill>
                <a:schemeClr val="accent2"/>
              </a:solidFill>
              <a:ln w="25400">
                <a:solidFill>
                  <a:schemeClr val="lt1"/>
                </a:solidFill>
              </a:ln>
              <a:effectLst/>
              <a:sp3d contourW="25400">
                <a:contourClr>
                  <a:schemeClr val="lt1"/>
                </a:contourClr>
              </a:sp3d>
            </c:spPr>
            <c:extLst>
              <c:ext xmlns:c16="http://schemas.microsoft.com/office/drawing/2014/chart" uri="{C3380CC4-5D6E-409C-BE32-E72D297353CC}">
                <c16:uniqueId val="{00000003-69B8-40BE-A3F6-021A6741D0DB}"/>
              </c:ext>
            </c:extLst>
          </c:dPt>
          <c:dPt>
            <c:idx val="2"/>
            <c:bubble3D val="0"/>
            <c:spPr>
              <a:solidFill>
                <a:schemeClr val="accent3"/>
              </a:solidFill>
              <a:ln w="25400">
                <a:solidFill>
                  <a:schemeClr val="lt1"/>
                </a:solidFill>
              </a:ln>
              <a:effectLst/>
              <a:sp3d contourW="25400">
                <a:contourClr>
                  <a:schemeClr val="lt1"/>
                </a:contourClr>
              </a:sp3d>
            </c:spPr>
            <c:extLst>
              <c:ext xmlns:c16="http://schemas.microsoft.com/office/drawing/2014/chart" uri="{C3380CC4-5D6E-409C-BE32-E72D297353CC}">
                <c16:uniqueId val="{00000005-69B8-40BE-A3F6-021A6741D0DB}"/>
              </c:ext>
            </c:extLst>
          </c:dPt>
          <c:cat>
            <c:strRef>
              <c:f>calculation!$D$69:$D$71</c:f>
              <c:strCache>
                <c:ptCount val="3"/>
                <c:pt idx="0">
                  <c:v>Cold</c:v>
                </c:pt>
                <c:pt idx="1">
                  <c:v>Hot</c:v>
                </c:pt>
                <c:pt idx="2">
                  <c:v>Warm</c:v>
                </c:pt>
              </c:strCache>
            </c:strRef>
          </c:cat>
          <c:val>
            <c:numRef>
              <c:f>calculation!$E$69:$E$71</c:f>
              <c:numCache>
                <c:formatCode>General</c:formatCode>
                <c:ptCount val="3"/>
                <c:pt idx="0">
                  <c:v>188</c:v>
                </c:pt>
                <c:pt idx="1">
                  <c:v>26</c:v>
                </c:pt>
                <c:pt idx="2">
                  <c:v>57</c:v>
                </c:pt>
              </c:numCache>
            </c:numRef>
          </c:val>
          <c:extLst>
            <c:ext xmlns:c16="http://schemas.microsoft.com/office/drawing/2014/chart" uri="{C3380CC4-5D6E-409C-BE32-E72D297353CC}">
              <c16:uniqueId val="{00000000-EA5B-4284-AAE1-0767DEBECBA7}"/>
            </c:ext>
          </c:extLst>
        </c:ser>
        <c:dLbls>
          <c:showLegendKey val="0"/>
          <c:showVal val="0"/>
          <c:showCatName val="0"/>
          <c:showSerName val="0"/>
          <c:showPercent val="0"/>
          <c:showBubbleSize val="0"/>
          <c:showLeaderLines val="1"/>
        </c:dLbls>
      </c:pie3D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5430574773226097"/>
          <c:y val="0.13941041554309647"/>
          <c:w val="0.8533982577970578"/>
          <c:h val="0.6540401202899021"/>
        </c:manualLayout>
      </c:layout>
      <c:barChart>
        <c:barDir val="col"/>
        <c:grouping val="clustered"/>
        <c:varyColors val="0"/>
        <c:ser>
          <c:idx val="0"/>
          <c:order val="0"/>
          <c:tx>
            <c:strRef>
              <c:f>calculation!$H$12</c:f>
              <c:strCache>
                <c:ptCount val="1"/>
                <c:pt idx="0">
                  <c:v>conv_rate_pre_booking</c:v>
                </c:pt>
              </c:strCache>
            </c:strRef>
          </c:tx>
          <c:spPr>
            <a:solidFill>
              <a:srgbClr val="7030A0">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rgbClr val="FFFF00"/>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calculation!$G$13:$G$16</c:f>
              <c:strCache>
                <c:ptCount val="4"/>
                <c:pt idx="0">
                  <c:v>Bangalore MBC</c:v>
                </c:pt>
                <c:pt idx="1">
                  <c:v>Chennai MBC</c:v>
                </c:pt>
                <c:pt idx="2">
                  <c:v>Delhi MBC</c:v>
                </c:pt>
                <c:pt idx="3">
                  <c:v>Mumbai MBC</c:v>
                </c:pt>
              </c:strCache>
            </c:strRef>
          </c:cat>
          <c:val>
            <c:numRef>
              <c:f>calculation!$H$13:$H$16</c:f>
              <c:numCache>
                <c:formatCode>0.0%</c:formatCode>
                <c:ptCount val="4"/>
                <c:pt idx="0">
                  <c:v>0.80608365019011408</c:v>
                </c:pt>
                <c:pt idx="1">
                  <c:v>0.81603773584905659</c:v>
                </c:pt>
                <c:pt idx="2">
                  <c:v>0.80608365019011408</c:v>
                </c:pt>
                <c:pt idx="3">
                  <c:v>0.82061068702290074</c:v>
                </c:pt>
              </c:numCache>
            </c:numRef>
          </c:val>
          <c:extLst>
            <c:ext xmlns:c16="http://schemas.microsoft.com/office/drawing/2014/chart" uri="{C3380CC4-5D6E-409C-BE32-E72D297353CC}">
              <c16:uniqueId val="{00000000-740A-4CA0-9674-9F2A161A6C5F}"/>
            </c:ext>
          </c:extLst>
        </c:ser>
        <c:ser>
          <c:idx val="1"/>
          <c:order val="1"/>
          <c:tx>
            <c:strRef>
              <c:f>calculation!$I$12</c:f>
              <c:strCache>
                <c:ptCount val="1"/>
                <c:pt idx="0">
                  <c:v>conv_rate_booking</c:v>
                </c:pt>
              </c:strCache>
            </c:strRef>
          </c:tx>
          <c:spPr>
            <a:solidFill>
              <a:srgbClr val="FFC000">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calculation!$G$13:$G$16</c:f>
              <c:strCache>
                <c:ptCount val="4"/>
                <c:pt idx="0">
                  <c:v>Bangalore MBC</c:v>
                </c:pt>
                <c:pt idx="1">
                  <c:v>Chennai MBC</c:v>
                </c:pt>
                <c:pt idx="2">
                  <c:v>Delhi MBC</c:v>
                </c:pt>
                <c:pt idx="3">
                  <c:v>Mumbai MBC</c:v>
                </c:pt>
              </c:strCache>
            </c:strRef>
          </c:cat>
          <c:val>
            <c:numRef>
              <c:f>calculation!$I$13:$I$16</c:f>
              <c:numCache>
                <c:formatCode>0.0%</c:formatCode>
                <c:ptCount val="4"/>
                <c:pt idx="0">
                  <c:v>1</c:v>
                </c:pt>
                <c:pt idx="1">
                  <c:v>1</c:v>
                </c:pt>
                <c:pt idx="2">
                  <c:v>1</c:v>
                </c:pt>
                <c:pt idx="3">
                  <c:v>1</c:v>
                </c:pt>
              </c:numCache>
            </c:numRef>
          </c:val>
          <c:extLst>
            <c:ext xmlns:c16="http://schemas.microsoft.com/office/drawing/2014/chart" uri="{C3380CC4-5D6E-409C-BE32-E72D297353CC}">
              <c16:uniqueId val="{00000001-740A-4CA0-9674-9F2A161A6C5F}"/>
            </c:ext>
          </c:extLst>
        </c:ser>
        <c:ser>
          <c:idx val="2"/>
          <c:order val="2"/>
          <c:tx>
            <c:strRef>
              <c:f>calculation!$J$12</c:f>
              <c:strCache>
                <c:ptCount val="1"/>
                <c:pt idx="0">
                  <c:v>conv_rate_delivery</c:v>
                </c:pt>
              </c:strCache>
            </c:strRef>
          </c:tx>
          <c:spPr>
            <a:solidFill>
              <a:srgbClr val="002060">
                <a:alpha val="85000"/>
              </a:srgbClr>
            </a:solidFill>
            <a:ln w="9525" cap="flat" cmpd="sng" algn="ctr">
              <a:solidFill>
                <a:schemeClr val="lt1">
                  <a:alpha val="50000"/>
                </a:schemeClr>
              </a:solidFill>
              <a:round/>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accent2">
                        <a:lumMod val="40000"/>
                        <a:lumOff val="60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calculation!$G$13:$G$16</c:f>
              <c:strCache>
                <c:ptCount val="4"/>
                <c:pt idx="0">
                  <c:v>Bangalore MBC</c:v>
                </c:pt>
                <c:pt idx="1">
                  <c:v>Chennai MBC</c:v>
                </c:pt>
                <c:pt idx="2">
                  <c:v>Delhi MBC</c:v>
                </c:pt>
                <c:pt idx="3">
                  <c:v>Mumbai MBC</c:v>
                </c:pt>
              </c:strCache>
            </c:strRef>
          </c:cat>
          <c:val>
            <c:numRef>
              <c:f>calculation!$J$13:$J$16</c:f>
              <c:numCache>
                <c:formatCode>0.0%</c:formatCode>
                <c:ptCount val="4"/>
                <c:pt idx="0">
                  <c:v>0.90094339622641506</c:v>
                </c:pt>
                <c:pt idx="1">
                  <c:v>0.88439306358381498</c:v>
                </c:pt>
                <c:pt idx="2">
                  <c:v>0.87735849056603776</c:v>
                </c:pt>
                <c:pt idx="3">
                  <c:v>0.92558139534883721</c:v>
                </c:pt>
              </c:numCache>
            </c:numRef>
          </c:val>
          <c:extLst>
            <c:ext xmlns:c16="http://schemas.microsoft.com/office/drawing/2014/chart" uri="{C3380CC4-5D6E-409C-BE32-E72D297353CC}">
              <c16:uniqueId val="{00000002-740A-4CA0-9674-9F2A161A6C5F}"/>
            </c:ext>
          </c:extLst>
        </c:ser>
        <c:dLbls>
          <c:dLblPos val="inEnd"/>
          <c:showLegendKey val="0"/>
          <c:showVal val="1"/>
          <c:showCatName val="0"/>
          <c:showSerName val="0"/>
          <c:showPercent val="0"/>
          <c:showBubbleSize val="0"/>
        </c:dLbls>
        <c:gapWidth val="9"/>
        <c:axId val="824236784"/>
        <c:axId val="824231504"/>
      </c:barChart>
      <c:catAx>
        <c:axId val="82423678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1200" b="1" i="0" u="none" strike="noStrike" kern="1200" cap="all" baseline="0">
                <a:solidFill>
                  <a:schemeClr val="tx2"/>
                </a:solidFill>
                <a:latin typeface="+mn-lt"/>
                <a:ea typeface="+mn-ea"/>
                <a:cs typeface="+mn-cs"/>
              </a:defRPr>
            </a:pPr>
            <a:endParaRPr lang="en-US"/>
          </a:p>
        </c:txPr>
        <c:crossAx val="824231504"/>
        <c:crosses val="autoZero"/>
        <c:auto val="1"/>
        <c:lblAlgn val="ctr"/>
        <c:lblOffset val="100"/>
        <c:noMultiLvlLbl val="0"/>
      </c:catAx>
      <c:valAx>
        <c:axId val="824231504"/>
        <c:scaling>
          <c:orientation val="minMax"/>
        </c:scaling>
        <c:delete val="1"/>
        <c:axPos val="l"/>
        <c:majorGridlines>
          <c:spPr>
            <a:ln w="9525" cap="flat" cmpd="sng" algn="ctr">
              <a:noFill/>
              <a:round/>
            </a:ln>
            <a:effectLst/>
          </c:spPr>
        </c:majorGridlines>
        <c:numFmt formatCode="0.0%" sourceLinked="1"/>
        <c:majorTickMark val="none"/>
        <c:minorTickMark val="none"/>
        <c:tickLblPos val="nextTo"/>
        <c:crossAx val="824236784"/>
        <c:crosses val="autoZero"/>
        <c:crossBetween val="between"/>
      </c:valAx>
      <c:spPr>
        <a:noFill/>
        <a:ln w="0">
          <a:noFill/>
        </a:ln>
        <a:effectLst>
          <a:softEdge rad="0"/>
        </a:effectLst>
      </c:spPr>
    </c:plotArea>
    <c:legend>
      <c:legendPos val="b"/>
      <c:layout>
        <c:manualLayout>
          <c:xMode val="edge"/>
          <c:yMode val="edge"/>
          <c:x val="0.17779923647346488"/>
          <c:y val="0.90321254859493494"/>
          <c:w val="0.82220113182071375"/>
          <c:h val="8.8933368490618905E-2"/>
        </c:manualLayout>
      </c:layout>
      <c:overlay val="0"/>
      <c:spPr>
        <a:noFill/>
        <a:ln>
          <a:noFill/>
        </a:ln>
        <a:effectLst/>
      </c:spPr>
      <c:txPr>
        <a:bodyPr rot="0" spcFirstLastPara="1" vertOverflow="ellipsis" vert="horz" wrap="square" anchor="ctr" anchorCtr="1"/>
        <a:lstStyle/>
        <a:p>
          <a:pPr>
            <a:defRPr sz="1400" b="1" i="0" u="none" strike="noStrike" kern="1200" baseline="0">
              <a:solidFill>
                <a:srgbClr val="00206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[electricpe_dashboard.xlsx]calculation!PivotTable4</c:name>
    <c:fmtId val="7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a:solidFill>
                  <a:schemeClr val="bg2"/>
                </a:solidFill>
              </a:rPr>
              <a:t>Average</a:t>
            </a:r>
            <a:r>
              <a:rPr lang="en-IN" sz="1600" b="1" baseline="0">
                <a:solidFill>
                  <a:schemeClr val="bg2"/>
                </a:solidFill>
              </a:rPr>
              <a:t> Turnaround Time by Store and Stage</a:t>
            </a:r>
            <a:endParaRPr lang="en-IN" sz="1600" b="1">
              <a:solidFill>
                <a:schemeClr val="bg2"/>
              </a:solidFill>
            </a:endParaRPr>
          </a:p>
        </c:rich>
      </c:tx>
      <c:layout>
        <c:manualLayout>
          <c:xMode val="edge"/>
          <c:yMode val="edge"/>
          <c:x val="5.5192831852019827E-2"/>
          <c:y val="2.98507462686567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0F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rgbClr val="FFFF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3302370489808"/>
          <c:y val="0.22695099306616523"/>
          <c:w val="0.66949886345953113"/>
          <c:h val="0.6901570667556004"/>
        </c:manualLayout>
      </c:layout>
      <c:barChart>
        <c:barDir val="col"/>
        <c:grouping val="clustered"/>
        <c:varyColors val="0"/>
        <c:ser>
          <c:idx val="0"/>
          <c:order val="0"/>
          <c:tx>
            <c:strRef>
              <c:f>calculation!$B$54</c:f>
              <c:strCache>
                <c:ptCount val="1"/>
                <c:pt idx="0">
                  <c:v>Avg_TAT_Pre-Booking </c:v>
                </c:pt>
              </c:strCache>
            </c:strRef>
          </c:tx>
          <c:spPr>
            <a:solidFill>
              <a:schemeClr val="accent2">
                <a:lumMod val="75000"/>
              </a:schemeClr>
            </a:solidFill>
            <a:ln>
              <a:noFill/>
            </a:ln>
            <a:effectLst/>
          </c:spPr>
          <c:invertIfNegative val="0"/>
          <c:cat>
            <c:strRef>
              <c:f>calculation!$A$55:$A$59</c:f>
              <c:strCache>
                <c:ptCount val="4"/>
                <c:pt idx="0">
                  <c:v>Bangalore MBC</c:v>
                </c:pt>
                <c:pt idx="1">
                  <c:v>Chennai MBC</c:v>
                </c:pt>
                <c:pt idx="2">
                  <c:v>Delhi MBC</c:v>
                </c:pt>
                <c:pt idx="3">
                  <c:v>Mumbai MBC</c:v>
                </c:pt>
              </c:strCache>
            </c:strRef>
          </c:cat>
          <c:val>
            <c:numRef>
              <c:f>calculation!$B$55:$B$59</c:f>
              <c:numCache>
                <c:formatCode>0.00</c:formatCode>
                <c:ptCount val="4"/>
                <c:pt idx="0">
                  <c:v>3.1179245283018866</c:v>
                </c:pt>
                <c:pt idx="1">
                  <c:v>3.1213872832369942</c:v>
                </c:pt>
                <c:pt idx="2">
                  <c:v>3.0283018867924527</c:v>
                </c:pt>
                <c:pt idx="3">
                  <c:v>2.9767441860465116</c:v>
                </c:pt>
              </c:numCache>
            </c:numRef>
          </c:val>
          <c:extLst>
            <c:ext xmlns:c16="http://schemas.microsoft.com/office/drawing/2014/chart" uri="{C3380CC4-5D6E-409C-BE32-E72D297353CC}">
              <c16:uniqueId val="{00000000-235D-429D-AB38-8575EB68286B}"/>
            </c:ext>
          </c:extLst>
        </c:ser>
        <c:ser>
          <c:idx val="1"/>
          <c:order val="1"/>
          <c:tx>
            <c:strRef>
              <c:f>calculation!$C$54</c:f>
              <c:strCache>
                <c:ptCount val="1"/>
                <c:pt idx="0">
                  <c:v>Avg_TAT_Booking </c:v>
                </c:pt>
              </c:strCache>
            </c:strRef>
          </c:tx>
          <c:spPr>
            <a:solidFill>
              <a:srgbClr val="00B0F0"/>
            </a:solidFill>
            <a:ln>
              <a:noFill/>
            </a:ln>
            <a:effectLst/>
          </c:spPr>
          <c:invertIfNegative val="0"/>
          <c:cat>
            <c:strRef>
              <c:f>calculation!$A$55:$A$59</c:f>
              <c:strCache>
                <c:ptCount val="4"/>
                <c:pt idx="0">
                  <c:v>Bangalore MBC</c:v>
                </c:pt>
                <c:pt idx="1">
                  <c:v>Chennai MBC</c:v>
                </c:pt>
                <c:pt idx="2">
                  <c:v>Delhi MBC</c:v>
                </c:pt>
                <c:pt idx="3">
                  <c:v>Mumbai MBC</c:v>
                </c:pt>
              </c:strCache>
            </c:strRef>
          </c:cat>
          <c:val>
            <c:numRef>
              <c:f>calculation!$C$55:$C$59</c:f>
              <c:numCache>
                <c:formatCode>0.00</c:formatCode>
                <c:ptCount val="4"/>
                <c:pt idx="0">
                  <c:v>3.0330188679245285</c:v>
                </c:pt>
                <c:pt idx="1">
                  <c:v>3.2023121387283235</c:v>
                </c:pt>
                <c:pt idx="2">
                  <c:v>3.0188679245283021</c:v>
                </c:pt>
                <c:pt idx="3">
                  <c:v>3.0465116279069768</c:v>
                </c:pt>
              </c:numCache>
            </c:numRef>
          </c:val>
          <c:extLst>
            <c:ext xmlns:c16="http://schemas.microsoft.com/office/drawing/2014/chart" uri="{C3380CC4-5D6E-409C-BE32-E72D297353CC}">
              <c16:uniqueId val="{00000001-235D-429D-AB38-8575EB68286B}"/>
            </c:ext>
          </c:extLst>
        </c:ser>
        <c:ser>
          <c:idx val="2"/>
          <c:order val="2"/>
          <c:tx>
            <c:strRef>
              <c:f>calculation!$D$54</c:f>
              <c:strCache>
                <c:ptCount val="1"/>
                <c:pt idx="0">
                  <c:v>Avg_TAT_Delivery</c:v>
                </c:pt>
              </c:strCache>
            </c:strRef>
          </c:tx>
          <c:spPr>
            <a:solidFill>
              <a:srgbClr val="FFFF00"/>
            </a:solidFill>
            <a:ln>
              <a:noFill/>
            </a:ln>
            <a:effectLst/>
          </c:spPr>
          <c:invertIfNegative val="0"/>
          <c:cat>
            <c:strRef>
              <c:f>calculation!$A$55:$A$59</c:f>
              <c:strCache>
                <c:ptCount val="4"/>
                <c:pt idx="0">
                  <c:v>Bangalore MBC</c:v>
                </c:pt>
                <c:pt idx="1">
                  <c:v>Chennai MBC</c:v>
                </c:pt>
                <c:pt idx="2">
                  <c:v>Delhi MBC</c:v>
                </c:pt>
                <c:pt idx="3">
                  <c:v>Mumbai MBC</c:v>
                </c:pt>
              </c:strCache>
            </c:strRef>
          </c:cat>
          <c:val>
            <c:numRef>
              <c:f>calculation!$D$55:$D$59</c:f>
              <c:numCache>
                <c:formatCode>0.00</c:formatCode>
                <c:ptCount val="4"/>
                <c:pt idx="0">
                  <c:v>4.5141509433962268</c:v>
                </c:pt>
                <c:pt idx="1">
                  <c:v>4.3872832369942198</c:v>
                </c:pt>
                <c:pt idx="2">
                  <c:v>4.283018867924528</c:v>
                </c:pt>
                <c:pt idx="3">
                  <c:v>4.6279069767441863</c:v>
                </c:pt>
              </c:numCache>
            </c:numRef>
          </c:val>
          <c:extLst>
            <c:ext xmlns:c16="http://schemas.microsoft.com/office/drawing/2014/chart" uri="{C3380CC4-5D6E-409C-BE32-E72D297353CC}">
              <c16:uniqueId val="{00000002-235D-429D-AB38-8575EB68286B}"/>
            </c:ext>
          </c:extLst>
        </c:ser>
        <c:dLbls>
          <c:showLegendKey val="0"/>
          <c:showVal val="0"/>
          <c:showCatName val="0"/>
          <c:showSerName val="0"/>
          <c:showPercent val="0"/>
          <c:showBubbleSize val="0"/>
        </c:dLbls>
        <c:gapWidth val="40"/>
        <c:overlap val="-3"/>
        <c:axId val="824253104"/>
        <c:axId val="824276624"/>
      </c:barChart>
      <c:catAx>
        <c:axId val="8242531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accent6">
                    <a:lumMod val="40000"/>
                    <a:lumOff val="60000"/>
                  </a:schemeClr>
                </a:solidFill>
                <a:latin typeface="+mn-lt"/>
                <a:ea typeface="+mn-ea"/>
                <a:cs typeface="+mn-cs"/>
              </a:defRPr>
            </a:pPr>
            <a:endParaRPr lang="en-US"/>
          </a:p>
        </c:txPr>
        <c:crossAx val="824276624"/>
        <c:crosses val="autoZero"/>
        <c:auto val="1"/>
        <c:lblAlgn val="ctr"/>
        <c:lblOffset val="100"/>
        <c:noMultiLvlLbl val="0"/>
      </c:catAx>
      <c:valAx>
        <c:axId val="824276624"/>
        <c:scaling>
          <c:orientation val="minMax"/>
        </c:scaling>
        <c:delete val="0"/>
        <c:axPos val="l"/>
        <c:majorGridlines>
          <c:spPr>
            <a:ln w="9525" cap="flat" cmpd="sng" algn="ctr">
              <a:no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ysClr val="windowText" lastClr="000000"/>
                </a:solidFill>
                <a:latin typeface="+mn-lt"/>
                <a:ea typeface="+mn-ea"/>
                <a:cs typeface="+mn-cs"/>
              </a:defRPr>
            </a:pPr>
            <a:endParaRPr lang="en-US"/>
          </a:p>
        </c:txPr>
        <c:crossAx val="824253104"/>
        <c:crosses val="autoZero"/>
        <c:crossBetween val="between"/>
      </c:valAx>
      <c:spPr>
        <a:noFill/>
        <a:ln>
          <a:noFill/>
        </a:ln>
        <a:effectLst/>
      </c:spPr>
    </c:plotArea>
    <c:legend>
      <c:legendPos val="r"/>
      <c:layout>
        <c:manualLayout>
          <c:xMode val="edge"/>
          <c:yMode val="edge"/>
          <c:x val="0.68710294976203456"/>
          <c:y val="1.4063932306969089E-2"/>
          <c:w val="0.31111940338323624"/>
          <c:h val="0.23979693004019217"/>
        </c:manualLayout>
      </c:layout>
      <c:overlay val="0"/>
      <c:spPr>
        <a:solidFill>
          <a:srgbClr val="66FF99">
            <a:alpha val="61000"/>
          </a:srgbClr>
        </a:solidFill>
        <a:ln>
          <a:noFill/>
        </a:ln>
        <a:effectLst/>
      </c:spPr>
      <c:txPr>
        <a:bodyPr rot="0" spcFirstLastPara="1" vertOverflow="ellipsis" vert="horz" wrap="square" anchor="ctr" anchorCtr="1"/>
        <a:lstStyle/>
        <a:p>
          <a:pPr>
            <a:defRPr sz="12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1400"/>
              <a:t>Cancelled_leads by Lead</a:t>
            </a:r>
            <a:r>
              <a:rPr lang="en-US" sz="1400" baseline="0"/>
              <a:t> Type</a:t>
            </a:r>
            <a:endParaRPr lang="en-US" sz="1400"/>
          </a:p>
        </c:rich>
      </c:tx>
      <c:layout>
        <c:manualLayout>
          <c:xMode val="edge"/>
          <c:yMode val="edge"/>
          <c:x val="3.6083108799365846E-4"/>
          <c:y val="0"/>
        </c:manualLayout>
      </c:layout>
      <c:overlay val="0"/>
      <c:spPr>
        <a:noFill/>
        <a:ln>
          <a:noFill/>
        </a:ln>
        <a:effectLst/>
      </c:spPr>
      <c:txPr>
        <a:bodyPr rot="0" spcFirstLastPara="1" vertOverflow="ellipsis" vert="horz" wrap="square" anchor="ctr" anchorCtr="1"/>
        <a:lstStyle/>
        <a:p>
          <a:pPr algn="l">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
          <c:y val="5.3555124329837923E-2"/>
          <c:w val="0.95836164777713495"/>
          <c:h val="0.76841769122606951"/>
        </c:manualLayout>
      </c:layout>
      <c:pie3DChart>
        <c:varyColors val="1"/>
        <c:dLbls>
          <c:showLegendKey val="0"/>
          <c:showVal val="0"/>
          <c:showCatName val="0"/>
          <c:showSerName val="0"/>
          <c:showPercent val="0"/>
          <c:showBubbleSize val="0"/>
          <c:showLeaderLines val="0"/>
        </c:dLbls>
      </c:pie3DChart>
      <c:spPr>
        <a:noFill/>
        <a:ln>
          <a:noFill/>
        </a:ln>
        <a:effectLst/>
      </c:spPr>
    </c:plotArea>
    <c:legend>
      <c:legendPos val="b"/>
      <c:layout>
        <c:manualLayout>
          <c:xMode val="edge"/>
          <c:yMode val="edge"/>
          <c:x val="5.1744087676496436E-2"/>
          <c:y val="0.81767641900212706"/>
          <c:w val="0.86819199772652156"/>
          <c:h val="0.12703147110031612"/>
        </c:manualLayout>
      </c:layout>
      <c:overlay val="0"/>
      <c:spPr>
        <a:solidFill>
          <a:srgbClr val="66FF99">
            <a:alpha val="54000"/>
          </a:srgbClr>
        </a:solid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t" anchorCtr="0"/>
          <a:lstStyle/>
          <a:p>
            <a:pPr>
              <a:defRPr sz="1600" b="1" i="0" u="none" strike="noStrike" kern="1200" baseline="0">
                <a:solidFill>
                  <a:schemeClr val="bg1"/>
                </a:solidFill>
                <a:latin typeface="+mn-lt"/>
                <a:ea typeface="+mn-ea"/>
                <a:cs typeface="+mn-cs"/>
              </a:defRPr>
            </a:pPr>
            <a:r>
              <a:rPr lang="en-US">
                <a:solidFill>
                  <a:schemeClr val="bg1"/>
                </a:solidFill>
              </a:rPr>
              <a:t>Cancelled</a:t>
            </a:r>
            <a:r>
              <a:rPr lang="en-US" baseline="0">
                <a:solidFill>
                  <a:schemeClr val="bg1"/>
                </a:solidFill>
              </a:rPr>
              <a:t> Leads by Reason</a:t>
            </a:r>
            <a:endParaRPr lang="en-US">
              <a:solidFill>
                <a:schemeClr val="bg1"/>
              </a:solidFill>
            </a:endParaRPr>
          </a:p>
        </c:rich>
      </c:tx>
      <c:layout>
        <c:manualLayout>
          <c:xMode val="edge"/>
          <c:yMode val="edge"/>
          <c:x val="5.0021265701100685E-3"/>
          <c:y val="1.1078389638303663E-2"/>
        </c:manualLayout>
      </c:layout>
      <c:overlay val="0"/>
      <c:spPr>
        <a:noFill/>
        <a:ln>
          <a:noFill/>
        </a:ln>
        <a:effectLst/>
      </c:spPr>
      <c:txPr>
        <a:bodyPr rot="0" spcFirstLastPara="1" vertOverflow="ellipsis" vert="horz" wrap="square" anchor="t" anchorCtr="0"/>
        <a:lstStyle/>
        <a:p>
          <a:pPr>
            <a:defRPr sz="1600" b="1" i="0" u="none" strike="noStrike" kern="1200" baseline="0">
              <a:solidFill>
                <a:schemeClr val="bg1"/>
              </a:solidFill>
              <a:latin typeface="+mn-lt"/>
              <a:ea typeface="+mn-ea"/>
              <a:cs typeface="+mn-cs"/>
            </a:defRPr>
          </a:pPr>
          <a:endParaRPr lang="en-US"/>
        </a:p>
      </c:txPr>
    </c:title>
    <c:autoTitleDeleted val="0"/>
    <c:plotArea>
      <c:layout>
        <c:manualLayout>
          <c:layoutTarget val="inner"/>
          <c:xMode val="edge"/>
          <c:yMode val="edge"/>
          <c:x val="0.18976258824662848"/>
          <c:y val="0.1224565578227093"/>
          <c:w val="0.49872971241902375"/>
          <c:h val="0.68347212234256016"/>
        </c:manualLayout>
      </c:layout>
      <c:pieChart>
        <c:varyColors val="1"/>
        <c:ser>
          <c:idx val="0"/>
          <c:order val="0"/>
          <c:tx>
            <c:strRef>
              <c:f>calculation!$E$85</c:f>
              <c:strCache>
                <c:ptCount val="1"/>
                <c:pt idx="0">
                  <c:v>Lead_Count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6351-4C9C-B627-AF7ADB2455F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351-4C9C-B627-AF7ADB2455F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6351-4C9C-B627-AF7ADB2455F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6351-4C9C-B627-AF7ADB2455F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6351-4C9C-B627-AF7ADB2455F2}"/>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6351-4C9C-B627-AF7ADB2455F2}"/>
              </c:ext>
            </c:extLst>
          </c:dPt>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solidFill>
                    <a:latin typeface="+mn-lt"/>
                    <a:ea typeface="+mn-ea"/>
                    <a:cs typeface="+mn-cs"/>
                  </a:defRPr>
                </a:pPr>
                <a:endParaRPr lang="en-US"/>
              </a:p>
            </c:txPr>
            <c:dLblPos val="inEnd"/>
            <c:showLegendKey val="0"/>
            <c:showVal val="0"/>
            <c:showCatName val="0"/>
            <c:showSerName val="0"/>
            <c:showPercent val="1"/>
            <c:showBubbleSize val="0"/>
            <c:showLeaderLines val="0"/>
            <c:extLst>
              <c:ext xmlns:c15="http://schemas.microsoft.com/office/drawing/2012/chart" uri="{CE6537A1-D6FC-4f65-9D91-7224C49458BB}"/>
            </c:extLst>
          </c:dLbls>
          <c:cat>
            <c:strRef>
              <c:f>calculation!$D$86:$D$91</c:f>
              <c:strCache>
                <c:ptCount val="5"/>
                <c:pt idx="0">
                  <c:v>Changed Mind</c:v>
                </c:pt>
                <c:pt idx="1">
                  <c:v>Financing Issue</c:v>
                </c:pt>
                <c:pt idx="2">
                  <c:v>Model Unavailable</c:v>
                </c:pt>
                <c:pt idx="3">
                  <c:v>Other</c:v>
                </c:pt>
                <c:pt idx="4">
                  <c:v>Price</c:v>
                </c:pt>
              </c:strCache>
            </c:strRef>
          </c:cat>
          <c:val>
            <c:numRef>
              <c:f>calculation!$E$86:$E$91</c:f>
              <c:numCache>
                <c:formatCode>General</c:formatCode>
                <c:ptCount val="6"/>
                <c:pt idx="0">
                  <c:v>51</c:v>
                </c:pt>
                <c:pt idx="1">
                  <c:v>59</c:v>
                </c:pt>
                <c:pt idx="2">
                  <c:v>43</c:v>
                </c:pt>
                <c:pt idx="3">
                  <c:v>57</c:v>
                </c:pt>
                <c:pt idx="4">
                  <c:v>61</c:v>
                </c:pt>
              </c:numCache>
            </c:numRef>
          </c:val>
          <c:extLst>
            <c:ext xmlns:c16="http://schemas.microsoft.com/office/drawing/2014/chart" uri="{C3380CC4-5D6E-409C-BE32-E72D297353CC}">
              <c16:uniqueId val="{0000000C-6351-4C9C-B627-AF7ADB2455F2}"/>
            </c:ext>
          </c:extLst>
        </c:ser>
        <c:dLbls>
          <c:dLblPos val="inEnd"/>
          <c:showLegendKey val="0"/>
          <c:showVal val="0"/>
          <c:showCatName val="0"/>
          <c:showSerName val="0"/>
          <c:showPercent val="1"/>
          <c:showBubbleSize val="0"/>
          <c:showLeaderLines val="0"/>
        </c:dLbls>
        <c:firstSliceAng val="0"/>
      </c:pieChart>
      <c:spPr>
        <a:noFill/>
        <a:ln>
          <a:noFill/>
        </a:ln>
        <a:effectLst/>
      </c:spPr>
    </c:plotArea>
    <c:legend>
      <c:legendPos val="b"/>
      <c:legendEntry>
        <c:idx val="5"/>
        <c:delete val="1"/>
      </c:legendEntry>
      <c:layout>
        <c:manualLayout>
          <c:xMode val="edge"/>
          <c:yMode val="edge"/>
          <c:x val="0"/>
          <c:y val="0.81868268055585691"/>
          <c:w val="1"/>
          <c:h val="0.18131737487574232"/>
        </c:manualLayout>
      </c:layout>
      <c:overlay val="0"/>
      <c:spPr>
        <a:solidFill>
          <a:srgbClr val="66FF99">
            <a:alpha val="35000"/>
          </a:srgbClr>
        </a:solid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IN" sz="1600" b="1">
                <a:solidFill>
                  <a:schemeClr val="bg1"/>
                </a:solidFill>
              </a:rPr>
              <a:t>Cancellation</a:t>
            </a:r>
            <a:r>
              <a:rPr lang="en-IN" sz="1600" b="1" baseline="0">
                <a:solidFill>
                  <a:schemeClr val="bg1"/>
                </a:solidFill>
              </a:rPr>
              <a:t> Reasons Breakdown by store</a:t>
            </a:r>
            <a:endParaRPr lang="en-IN" sz="1600" b="1">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IN"/>
        </a:p>
      </c:txPr>
    </c:title>
    <c:autoTitleDeleted val="0"/>
    <c:plotArea>
      <c:layout/>
      <c:barChart>
        <c:barDir val="col"/>
        <c:grouping val="stacked"/>
        <c:varyColors val="0"/>
        <c:ser>
          <c:idx val="0"/>
          <c:order val="0"/>
          <c:tx>
            <c:strRef>
              <c:f>calculation!$J$107</c:f>
              <c:strCache>
                <c:ptCount val="1"/>
                <c:pt idx="0">
                  <c:v>Changed Mind</c:v>
                </c:pt>
              </c:strCache>
            </c:strRef>
          </c:tx>
          <c:spPr>
            <a:solidFill>
              <a:schemeClr val="accent3"/>
            </a:solidFill>
            <a:ln>
              <a:noFill/>
            </a:ln>
            <a:effectLst/>
          </c:spPr>
          <c:invertIfNegative val="0"/>
          <c:cat>
            <c:strRef>
              <c:f>calculation!$I$108:$I$111</c:f>
              <c:strCache>
                <c:ptCount val="4"/>
                <c:pt idx="0">
                  <c:v>Bangalore MBC</c:v>
                </c:pt>
                <c:pt idx="1">
                  <c:v>Chennai MBC</c:v>
                </c:pt>
                <c:pt idx="2">
                  <c:v>Delhi MBC</c:v>
                </c:pt>
                <c:pt idx="3">
                  <c:v>Mumbai MBC</c:v>
                </c:pt>
              </c:strCache>
            </c:strRef>
          </c:cat>
          <c:val>
            <c:numRef>
              <c:f>calculation!$J$108:$J$111</c:f>
              <c:numCache>
                <c:formatCode>General</c:formatCode>
                <c:ptCount val="4"/>
                <c:pt idx="0">
                  <c:v>13</c:v>
                </c:pt>
                <c:pt idx="1">
                  <c:v>15</c:v>
                </c:pt>
                <c:pt idx="2">
                  <c:v>14</c:v>
                </c:pt>
                <c:pt idx="3">
                  <c:v>9</c:v>
                </c:pt>
              </c:numCache>
            </c:numRef>
          </c:val>
          <c:extLst>
            <c:ext xmlns:c16="http://schemas.microsoft.com/office/drawing/2014/chart" uri="{C3380CC4-5D6E-409C-BE32-E72D297353CC}">
              <c16:uniqueId val="{00000000-9DFE-4D49-809C-FE885024C05F}"/>
            </c:ext>
          </c:extLst>
        </c:ser>
        <c:ser>
          <c:idx val="1"/>
          <c:order val="1"/>
          <c:tx>
            <c:strRef>
              <c:f>calculation!$K$107</c:f>
              <c:strCache>
                <c:ptCount val="1"/>
                <c:pt idx="0">
                  <c:v>Financing Issue</c:v>
                </c:pt>
              </c:strCache>
            </c:strRef>
          </c:tx>
          <c:spPr>
            <a:solidFill>
              <a:schemeClr val="accent6">
                <a:lumMod val="75000"/>
              </a:schemeClr>
            </a:solidFill>
            <a:ln>
              <a:noFill/>
            </a:ln>
            <a:effectLst/>
          </c:spPr>
          <c:invertIfNegative val="0"/>
          <c:cat>
            <c:strRef>
              <c:f>calculation!$I$108:$I$111</c:f>
              <c:strCache>
                <c:ptCount val="4"/>
                <c:pt idx="0">
                  <c:v>Bangalore MBC</c:v>
                </c:pt>
                <c:pt idx="1">
                  <c:v>Chennai MBC</c:v>
                </c:pt>
                <c:pt idx="2">
                  <c:v>Delhi MBC</c:v>
                </c:pt>
                <c:pt idx="3">
                  <c:v>Mumbai MBC</c:v>
                </c:pt>
              </c:strCache>
            </c:strRef>
          </c:cat>
          <c:val>
            <c:numRef>
              <c:f>calculation!$K$108:$K$111</c:f>
              <c:numCache>
                <c:formatCode>General</c:formatCode>
                <c:ptCount val="4"/>
                <c:pt idx="0">
                  <c:v>14</c:v>
                </c:pt>
                <c:pt idx="1">
                  <c:v>10</c:v>
                </c:pt>
                <c:pt idx="2">
                  <c:v>21</c:v>
                </c:pt>
                <c:pt idx="3">
                  <c:v>14</c:v>
                </c:pt>
              </c:numCache>
            </c:numRef>
          </c:val>
          <c:extLst>
            <c:ext xmlns:c16="http://schemas.microsoft.com/office/drawing/2014/chart" uri="{C3380CC4-5D6E-409C-BE32-E72D297353CC}">
              <c16:uniqueId val="{00000001-9DFE-4D49-809C-FE885024C05F}"/>
            </c:ext>
          </c:extLst>
        </c:ser>
        <c:ser>
          <c:idx val="2"/>
          <c:order val="2"/>
          <c:tx>
            <c:strRef>
              <c:f>calculation!$L$107</c:f>
              <c:strCache>
                <c:ptCount val="1"/>
                <c:pt idx="0">
                  <c:v>Model Unavailable</c:v>
                </c:pt>
              </c:strCache>
            </c:strRef>
          </c:tx>
          <c:spPr>
            <a:solidFill>
              <a:schemeClr val="tx2">
                <a:lumMod val="85000"/>
                <a:lumOff val="15000"/>
              </a:schemeClr>
            </a:solidFill>
            <a:ln>
              <a:noFill/>
            </a:ln>
            <a:effectLst/>
          </c:spPr>
          <c:invertIfNegative val="0"/>
          <c:cat>
            <c:strRef>
              <c:f>calculation!$I$108:$I$111</c:f>
              <c:strCache>
                <c:ptCount val="4"/>
                <c:pt idx="0">
                  <c:v>Bangalore MBC</c:v>
                </c:pt>
                <c:pt idx="1">
                  <c:v>Chennai MBC</c:v>
                </c:pt>
                <c:pt idx="2">
                  <c:v>Delhi MBC</c:v>
                </c:pt>
                <c:pt idx="3">
                  <c:v>Mumbai MBC</c:v>
                </c:pt>
              </c:strCache>
            </c:strRef>
          </c:cat>
          <c:val>
            <c:numRef>
              <c:f>calculation!$L$108:$L$111</c:f>
              <c:numCache>
                <c:formatCode>General</c:formatCode>
                <c:ptCount val="4"/>
                <c:pt idx="0">
                  <c:v>13</c:v>
                </c:pt>
                <c:pt idx="1">
                  <c:v>8</c:v>
                </c:pt>
                <c:pt idx="2">
                  <c:v>13</c:v>
                </c:pt>
                <c:pt idx="3">
                  <c:v>9</c:v>
                </c:pt>
              </c:numCache>
            </c:numRef>
          </c:val>
          <c:extLst>
            <c:ext xmlns:c16="http://schemas.microsoft.com/office/drawing/2014/chart" uri="{C3380CC4-5D6E-409C-BE32-E72D297353CC}">
              <c16:uniqueId val="{00000002-9DFE-4D49-809C-FE885024C05F}"/>
            </c:ext>
          </c:extLst>
        </c:ser>
        <c:ser>
          <c:idx val="3"/>
          <c:order val="3"/>
          <c:tx>
            <c:strRef>
              <c:f>calculation!$M$107</c:f>
              <c:strCache>
                <c:ptCount val="1"/>
                <c:pt idx="0">
                  <c:v>Price</c:v>
                </c:pt>
              </c:strCache>
            </c:strRef>
          </c:tx>
          <c:spPr>
            <a:solidFill>
              <a:srgbClr val="FFC000"/>
            </a:solidFill>
            <a:ln>
              <a:noFill/>
            </a:ln>
            <a:effectLst/>
          </c:spPr>
          <c:invertIfNegative val="0"/>
          <c:cat>
            <c:strRef>
              <c:f>calculation!$I$108:$I$111</c:f>
              <c:strCache>
                <c:ptCount val="4"/>
                <c:pt idx="0">
                  <c:v>Bangalore MBC</c:v>
                </c:pt>
                <c:pt idx="1">
                  <c:v>Chennai MBC</c:v>
                </c:pt>
                <c:pt idx="2">
                  <c:v>Delhi MBC</c:v>
                </c:pt>
                <c:pt idx="3">
                  <c:v>Mumbai MBC</c:v>
                </c:pt>
              </c:strCache>
            </c:strRef>
          </c:cat>
          <c:val>
            <c:numRef>
              <c:f>calculation!$M$108:$M$111</c:f>
              <c:numCache>
                <c:formatCode>General</c:formatCode>
                <c:ptCount val="4"/>
                <c:pt idx="0">
                  <c:v>10</c:v>
                </c:pt>
                <c:pt idx="1">
                  <c:v>18</c:v>
                </c:pt>
                <c:pt idx="2">
                  <c:v>16</c:v>
                </c:pt>
                <c:pt idx="3">
                  <c:v>17</c:v>
                </c:pt>
              </c:numCache>
            </c:numRef>
          </c:val>
          <c:extLst>
            <c:ext xmlns:c16="http://schemas.microsoft.com/office/drawing/2014/chart" uri="{C3380CC4-5D6E-409C-BE32-E72D297353CC}">
              <c16:uniqueId val="{00000003-9DFE-4D49-809C-FE885024C05F}"/>
            </c:ext>
          </c:extLst>
        </c:ser>
        <c:ser>
          <c:idx val="4"/>
          <c:order val="4"/>
          <c:tx>
            <c:strRef>
              <c:f>calculation!$N$107</c:f>
              <c:strCache>
                <c:ptCount val="1"/>
                <c:pt idx="0">
                  <c:v>Other</c:v>
                </c:pt>
              </c:strCache>
            </c:strRef>
          </c:tx>
          <c:spPr>
            <a:solidFill>
              <a:srgbClr val="002060"/>
            </a:solidFill>
            <a:ln>
              <a:noFill/>
            </a:ln>
            <a:effectLst/>
          </c:spPr>
          <c:invertIfNegative val="0"/>
          <c:cat>
            <c:strRef>
              <c:f>calculation!$I$108:$I$111</c:f>
              <c:strCache>
                <c:ptCount val="4"/>
                <c:pt idx="0">
                  <c:v>Bangalore MBC</c:v>
                </c:pt>
                <c:pt idx="1">
                  <c:v>Chennai MBC</c:v>
                </c:pt>
                <c:pt idx="2">
                  <c:v>Delhi MBC</c:v>
                </c:pt>
                <c:pt idx="3">
                  <c:v>Mumbai MBC</c:v>
                </c:pt>
              </c:strCache>
            </c:strRef>
          </c:cat>
          <c:val>
            <c:numRef>
              <c:f>calculation!$N$108:$N$111</c:f>
              <c:numCache>
                <c:formatCode>General</c:formatCode>
                <c:ptCount val="4"/>
                <c:pt idx="0">
                  <c:v>22</c:v>
                </c:pt>
                <c:pt idx="1">
                  <c:v>8</c:v>
                </c:pt>
                <c:pt idx="2">
                  <c:v>13</c:v>
                </c:pt>
                <c:pt idx="3">
                  <c:v>14</c:v>
                </c:pt>
              </c:numCache>
            </c:numRef>
          </c:val>
          <c:extLst>
            <c:ext xmlns:c16="http://schemas.microsoft.com/office/drawing/2014/chart" uri="{C3380CC4-5D6E-409C-BE32-E72D297353CC}">
              <c16:uniqueId val="{00000004-9DFE-4D49-809C-FE885024C05F}"/>
            </c:ext>
          </c:extLst>
        </c:ser>
        <c:dLbls>
          <c:showLegendKey val="0"/>
          <c:showVal val="0"/>
          <c:showCatName val="0"/>
          <c:showSerName val="0"/>
          <c:showPercent val="0"/>
          <c:showBubbleSize val="0"/>
        </c:dLbls>
        <c:gapWidth val="53"/>
        <c:overlap val="100"/>
        <c:axId val="939875968"/>
        <c:axId val="939861568"/>
      </c:barChart>
      <c:catAx>
        <c:axId val="93987596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ysClr val="windowText" lastClr="000000"/>
                </a:solidFill>
                <a:latin typeface="+mn-lt"/>
                <a:ea typeface="+mn-ea"/>
                <a:cs typeface="+mn-cs"/>
              </a:defRPr>
            </a:pPr>
            <a:endParaRPr lang="en-US"/>
          </a:p>
        </c:txPr>
        <c:crossAx val="939861568"/>
        <c:crosses val="autoZero"/>
        <c:auto val="1"/>
        <c:lblAlgn val="ctr"/>
        <c:lblOffset val="100"/>
        <c:noMultiLvlLbl val="0"/>
      </c:catAx>
      <c:valAx>
        <c:axId val="939861568"/>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00" b="1" i="0" u="none" strike="noStrike" kern="1200" baseline="0">
                <a:solidFill>
                  <a:sysClr val="windowText" lastClr="000000"/>
                </a:solidFill>
                <a:latin typeface="+mn-lt"/>
                <a:ea typeface="+mn-ea"/>
                <a:cs typeface="+mn-cs"/>
              </a:defRPr>
            </a:pPr>
            <a:endParaRPr lang="en-US"/>
          </a:p>
        </c:txPr>
        <c:crossAx val="93987596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1"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2000">
                <a:solidFill>
                  <a:schemeClr val="bg1"/>
                </a:solidFill>
              </a:rPr>
              <a:t>Avg Rating by Store</a:t>
            </a:r>
          </a:p>
        </c:rich>
      </c:tx>
      <c:overlay val="0"/>
      <c:spPr>
        <a:noFill/>
        <a:ln>
          <a:noFill/>
        </a:ln>
        <a:effectLst/>
      </c:spPr>
    </c:title>
    <c:autoTitleDeleted val="0"/>
    <c:plotArea>
      <c:layout>
        <c:manualLayout>
          <c:layoutTarget val="inner"/>
          <c:xMode val="edge"/>
          <c:yMode val="edge"/>
          <c:x val="4.736532499306851E-2"/>
          <c:y val="0.19624561453955044"/>
          <c:w val="0.93888888888888888"/>
          <c:h val="0.69827172645086033"/>
        </c:manualLayout>
      </c:layout>
      <c:lineChart>
        <c:grouping val="standard"/>
        <c:varyColors val="0"/>
        <c:ser>
          <c:idx val="0"/>
          <c:order val="0"/>
          <c:tx>
            <c:strRef>
              <c:f>calculation!$F$160</c:f>
              <c:strCache>
                <c:ptCount val="1"/>
                <c:pt idx="0">
                  <c:v>Avg Rating</c:v>
                </c:pt>
              </c:strCache>
            </c:strRef>
          </c:tx>
          <c:spPr>
            <a:ln w="31750" cap="rnd">
              <a:solidFill>
                <a:schemeClr val="tx2">
                  <a:lumMod val="95000"/>
                  <a:lumOff val="5000"/>
                </a:schemeClr>
              </a:solidFill>
              <a:round/>
            </a:ln>
            <a:effectLst/>
          </c:spPr>
          <c:marker>
            <c:symbol val="circle"/>
            <c:size val="17"/>
            <c:spPr>
              <a:solidFill>
                <a:schemeClr val="accent1"/>
              </a:solidFill>
              <a:ln>
                <a:noFill/>
              </a:ln>
              <a:effectLst/>
            </c:spPr>
          </c:marker>
          <c:dLbls>
            <c:spPr>
              <a:solidFill>
                <a:srgbClr val="FFC000"/>
              </a:solidFill>
              <a:ln>
                <a:noFill/>
              </a:ln>
              <a:effectLst/>
            </c:spPr>
            <c:txPr>
              <a:bodyPr rot="0" spcFirstLastPara="1" vertOverflow="ellipsis" vert="horz" wrap="square" lIns="72000" tIns="108000" rIns="36000" bIns="144000" anchor="t" anchorCtr="0">
                <a:spAutoFit/>
              </a:bodyPr>
              <a:lstStyle/>
              <a:p>
                <a:pPr>
                  <a:defRPr sz="1800" b="1"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pPr xmlns:c15="http://schemas.microsoft.com/office/drawing/2012/chart">
                  <a:prstGeom prst="rect">
                    <a:avLst/>
                  </a:prstGeom>
                </c15:spPr>
                <c15:showLeaderLines val="1"/>
                <c15:leaderLines>
                  <c:spPr>
                    <a:ln w="9525">
                      <a:solidFill>
                        <a:schemeClr val="dk1">
                          <a:lumMod val="50000"/>
                          <a:lumOff val="50000"/>
                        </a:schemeClr>
                      </a:solidFill>
                    </a:ln>
                    <a:effectLst/>
                  </c:spPr>
                </c15:leaderLines>
              </c:ext>
            </c:extLst>
          </c:dLbls>
          <c:cat>
            <c:strRef>
              <c:f>calculation!$E$161:$E$164</c:f>
              <c:strCache>
                <c:ptCount val="4"/>
                <c:pt idx="0">
                  <c:v>Bangalore MBC</c:v>
                </c:pt>
                <c:pt idx="1">
                  <c:v>Chennai MBC</c:v>
                </c:pt>
                <c:pt idx="2">
                  <c:v>Delhi MBC</c:v>
                </c:pt>
                <c:pt idx="3">
                  <c:v>Mumbai MBC</c:v>
                </c:pt>
              </c:strCache>
            </c:strRef>
          </c:cat>
          <c:val>
            <c:numRef>
              <c:f>calculation!$F$161:$F$164</c:f>
              <c:numCache>
                <c:formatCode>0.0</c:formatCode>
                <c:ptCount val="4"/>
                <c:pt idx="0">
                  <c:v>4.670157068062827</c:v>
                </c:pt>
                <c:pt idx="1">
                  <c:v>5.0130718954248366</c:v>
                </c:pt>
                <c:pt idx="2">
                  <c:v>4.897849462365591</c:v>
                </c:pt>
                <c:pt idx="3">
                  <c:v>4.8542713567839195</c:v>
                </c:pt>
              </c:numCache>
            </c:numRef>
          </c:val>
          <c:smooth val="0"/>
          <c:extLst>
            <c:ext xmlns:c16="http://schemas.microsoft.com/office/drawing/2014/chart" uri="{C3380CC4-5D6E-409C-BE32-E72D297353CC}">
              <c16:uniqueId val="{00000000-7BF3-4854-9EE7-821699A0012C}"/>
            </c:ext>
          </c:extLst>
        </c:ser>
        <c:dLbls>
          <c:dLblPos val="ctr"/>
          <c:showLegendKey val="0"/>
          <c:showVal val="1"/>
          <c:showCatName val="0"/>
          <c:showSerName val="0"/>
          <c:showPercent val="0"/>
          <c:showBubbleSize val="0"/>
        </c:dLbls>
        <c:marker val="1"/>
        <c:smooth val="0"/>
        <c:axId val="939935008"/>
        <c:axId val="939923968"/>
      </c:lineChart>
      <c:catAx>
        <c:axId val="939935008"/>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0" spcFirstLastPara="1" vertOverflow="ellipsis" wrap="square" anchor="ctr" anchorCtr="1"/>
          <a:lstStyle/>
          <a:p>
            <a:pPr>
              <a:defRPr sz="1100" b="1" i="0" u="none" strike="noStrike" kern="1200" cap="all" baseline="0">
                <a:solidFill>
                  <a:sysClr val="windowText" lastClr="000000"/>
                </a:solidFill>
                <a:latin typeface="+mn-lt"/>
                <a:ea typeface="+mn-ea"/>
                <a:cs typeface="+mn-cs"/>
              </a:defRPr>
            </a:pPr>
            <a:endParaRPr lang="en-US"/>
          </a:p>
        </c:txPr>
        <c:crossAx val="939923968"/>
        <c:crosses val="autoZero"/>
        <c:auto val="1"/>
        <c:lblAlgn val="ctr"/>
        <c:lblOffset val="100"/>
        <c:noMultiLvlLbl val="0"/>
      </c:catAx>
      <c:valAx>
        <c:axId val="939923968"/>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 sourceLinked="1"/>
        <c:majorTickMark val="none"/>
        <c:minorTickMark val="none"/>
        <c:tickLblPos val="nextTo"/>
        <c:crossAx val="939935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[electricpe_dashboard.xlsx]calculation!PivotTable12</c:name>
    <c:fmtId val="31"/>
  </c:pivotSource>
  <c:chart>
    <c:title>
      <c:tx>
        <c:rich>
          <a:bodyPr rot="0" spcFirstLastPara="1" vertOverflow="ellipsis" vert="horz" wrap="square" anchor="ctr" anchorCtr="1"/>
          <a:lstStyle/>
          <a:p>
            <a:pPr>
              <a:defRPr sz="1800" b="1" i="0" u="none" strike="noStrike" kern="1200" baseline="0">
                <a:solidFill>
                  <a:schemeClr val="bg1"/>
                </a:solidFill>
                <a:latin typeface="+mn-lt"/>
                <a:ea typeface="+mn-ea"/>
                <a:cs typeface="+mn-cs"/>
              </a:defRPr>
            </a:pPr>
            <a:r>
              <a:rPr lang="en-US" sz="2000">
                <a:solidFill>
                  <a:schemeClr val="bg1"/>
                </a:solidFill>
              </a:rPr>
              <a:t>Customer</a:t>
            </a:r>
            <a:r>
              <a:rPr lang="en-US" sz="2000" baseline="0">
                <a:solidFill>
                  <a:schemeClr val="bg1"/>
                </a:solidFill>
              </a:rPr>
              <a:t> Rating Distribution</a:t>
            </a:r>
            <a:endParaRPr lang="en-US" sz="2000">
              <a:solidFill>
                <a:schemeClr val="bg1"/>
              </a:solidFill>
            </a:endParaRPr>
          </a:p>
        </c:rich>
      </c:tx>
      <c:layout>
        <c:manualLayout>
          <c:xMode val="edge"/>
          <c:yMode val="edge"/>
          <c:x val="7.2364017647349552E-2"/>
          <c:y val="6.6810436426039069E-3"/>
        </c:manualLayout>
      </c:layout>
      <c:overlay val="0"/>
      <c:spPr>
        <a:noFill/>
        <a:ln>
          <a:noFill/>
        </a:ln>
        <a:effectLst/>
      </c:spPr>
    </c:title>
    <c:autoTitleDeleted val="0"/>
    <c:pivotFmts>
      <c:pivotFmt>
        <c:idx val="0"/>
        <c:spPr>
          <a:solidFill>
            <a:schemeClr val="accent1"/>
          </a:solidFill>
          <a:ln>
            <a:noFill/>
          </a:ln>
          <a:effectLst>
            <a:outerShdw blurRad="254000" sx="102000" sy="102000" algn="ctr" rotWithShape="0">
              <a:prstClr val="black">
                <a:alpha val="20000"/>
              </a:prstClr>
            </a:outerShdw>
          </a:effectLst>
          <a:sp3d/>
        </c:spPr>
        <c:marker>
          <c:symbol val="circle"/>
          <c:size val="6"/>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a:sp3d/>
        </c:spPr>
      </c:pivotFmt>
      <c:pivotFmt>
        <c:idx val="2"/>
        <c:spPr>
          <a:solidFill>
            <a:schemeClr val="accent2"/>
          </a:solidFill>
          <a:ln>
            <a:noFill/>
          </a:ln>
          <a:effectLst>
            <a:outerShdw blurRad="254000" sx="102000" sy="102000" algn="ctr" rotWithShape="0">
              <a:prstClr val="black">
                <a:alpha val="20000"/>
              </a:prstClr>
            </a:outerShdw>
          </a:effectLst>
          <a:sp3d/>
        </c:spPr>
      </c:pivotFmt>
      <c:pivotFmt>
        <c:idx val="3"/>
        <c:spPr>
          <a:solidFill>
            <a:schemeClr val="accent3"/>
          </a:solidFill>
          <a:ln>
            <a:noFill/>
          </a:ln>
          <a:effectLst>
            <a:outerShdw blurRad="254000" sx="102000" sy="102000" algn="ctr" rotWithShape="0">
              <a:prstClr val="black">
                <a:alpha val="20000"/>
              </a:prstClr>
            </a:outerShdw>
          </a:effectLst>
          <a:sp3d/>
        </c:spPr>
      </c:pivotFmt>
      <c:pivotFmt>
        <c:idx val="4"/>
        <c:spPr>
          <a:solidFill>
            <a:schemeClr val="accent1"/>
          </a:solidFill>
          <a:ln>
            <a:noFill/>
          </a:ln>
          <a:effectLst>
            <a:outerShdw blurRad="254000" sx="102000" sy="102000" algn="ctr" rotWithShape="0">
              <a:prstClr val="black">
                <a:alpha val="20000"/>
              </a:prstClr>
            </a:outerShdw>
          </a:effectLst>
          <a:sp3d/>
        </c:spPr>
        <c:marker>
          <c:symbol val="none"/>
        </c:marker>
        <c:dLbl>
          <c:idx val="0"/>
          <c:spPr>
            <a:pattFill prst="pct75">
              <a:fgClr>
                <a:srgbClr val="000000">
                  <a:lumMod val="75000"/>
                  <a:lumOff val="25000"/>
                </a:srgbClr>
              </a:fgClr>
              <a:bgClr>
                <a:srgbClr val="000000">
                  <a:lumMod val="65000"/>
                  <a:lumOff val="35000"/>
                </a:srgb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a:sp3d/>
        </c:spPr>
      </c:pivotFmt>
      <c:pivotFmt>
        <c:idx val="6"/>
        <c:spPr>
          <a:solidFill>
            <a:schemeClr val="accent1"/>
          </a:solidFill>
          <a:ln>
            <a:noFill/>
          </a:ln>
          <a:effectLst>
            <a:outerShdw blurRad="254000" sx="102000" sy="102000" algn="ctr" rotWithShape="0">
              <a:prstClr val="black">
                <a:alpha val="20000"/>
              </a:prstClr>
            </a:outerShdw>
          </a:effectLst>
          <a:sp3d/>
        </c:spPr>
      </c:pivotFmt>
      <c:pivotFmt>
        <c:idx val="7"/>
        <c:spPr>
          <a:solidFill>
            <a:schemeClr val="accent1"/>
          </a:solidFill>
          <a:ln>
            <a:noFill/>
          </a:ln>
          <a:effectLst>
            <a:outerShdw blurRad="254000" sx="102000" sy="102000" algn="ctr" rotWithShape="0">
              <a:prstClr val="black">
                <a:alpha val="20000"/>
              </a:prstClr>
            </a:outerShdw>
          </a:effectLst>
          <a:sp3d/>
        </c:spPr>
      </c:pivotFmt>
      <c:pivotFmt>
        <c:idx val="8"/>
        <c:marker>
          <c:symbol val="none"/>
        </c:marker>
        <c:dLbl>
          <c:idx val="0"/>
          <c:spPr>
            <a:solidFill>
              <a:schemeClr val="bg2">
                <a:lumMod val="65000"/>
                <a:alpha val="47000"/>
              </a:schemeClr>
            </a:solidFill>
            <a:ln>
              <a:noFill/>
            </a:ln>
            <a:effectLst>
              <a:outerShdw blurRad="50800" dist="38100" dir="2700000" algn="tl" rotWithShape="0">
                <a:prstClr val="black">
                  <a:alpha val="40000"/>
                </a:prstClr>
              </a:outerShdw>
            </a:effectLst>
          </c:spPr>
          <c:txPr>
            <a:bodyPr rot="0" spcFirstLastPara="1" vertOverflow="ellipsis" wrap="none" lIns="38100" tIns="19050" rIns="38100" bIns="19050" anchor="t" anchorCtr="0">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Lst>
        </c:dLbl>
      </c:pivotFmt>
      <c:pivotFmt>
        <c:idx val="9"/>
        <c:spPr>
          <a:solidFill>
            <a:schemeClr val="accent6">
              <a:lumMod val="75000"/>
            </a:schemeClr>
          </a:solidFill>
          <a:ln>
            <a:noFill/>
          </a:ln>
          <a:effectLst>
            <a:outerShdw blurRad="254000" sx="102000" sy="102000" algn="ctr" rotWithShape="0">
              <a:prstClr val="black">
                <a:alpha val="20000"/>
              </a:prstClr>
            </a:outerShdw>
          </a:effectLst>
        </c:spPr>
      </c:pivotFmt>
      <c:pivotFmt>
        <c:idx val="10"/>
        <c:spPr>
          <a:solidFill>
            <a:schemeClr val="accent5">
              <a:lumMod val="50000"/>
              <a:alpha val="57000"/>
            </a:schemeClr>
          </a:solidFill>
          <a:ln>
            <a:noFill/>
          </a:ln>
          <a:effectLst>
            <a:outerShdw blurRad="254000" sx="102000" sy="102000" algn="ctr" rotWithShape="0">
              <a:prstClr val="black">
                <a:alpha val="20000"/>
              </a:prstClr>
            </a:outerShdw>
          </a:effectLst>
        </c:spPr>
      </c:pivotFmt>
      <c:pivotFmt>
        <c:idx val="11"/>
        <c:spPr>
          <a:solidFill>
            <a:srgbClr val="06D00B"/>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19247845800822513"/>
          <c:y val="0.13645579024702312"/>
          <c:w val="0.63991996271308704"/>
          <c:h val="0.73055285856930507"/>
        </c:manualLayout>
      </c:layout>
      <c:pieChart>
        <c:varyColors val="1"/>
        <c:ser>
          <c:idx val="0"/>
          <c:order val="0"/>
          <c:tx>
            <c:strRef>
              <c:f>calculation!$C$139</c:f>
              <c:strCache>
                <c:ptCount val="1"/>
                <c:pt idx="0">
                  <c:v>Total</c:v>
                </c:pt>
              </c:strCache>
            </c:strRef>
          </c:tx>
          <c:dPt>
            <c:idx val="0"/>
            <c:bubble3D val="0"/>
            <c:spPr>
              <a:solidFill>
                <a:schemeClr val="accent6">
                  <a:lumMod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F69A-422E-8765-F961F4501569}"/>
              </c:ext>
            </c:extLst>
          </c:dPt>
          <c:dPt>
            <c:idx val="1"/>
            <c:bubble3D val="0"/>
            <c:spPr>
              <a:solidFill>
                <a:schemeClr val="accent5">
                  <a:lumMod val="50000"/>
                  <a:alpha val="57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F69A-422E-8765-F961F4501569}"/>
              </c:ext>
            </c:extLst>
          </c:dPt>
          <c:dPt>
            <c:idx val="2"/>
            <c:bubble3D val="0"/>
            <c:spPr>
              <a:solidFill>
                <a:srgbClr val="06D00B"/>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F69A-422E-8765-F961F4501569}"/>
              </c:ext>
            </c:extLst>
          </c:dPt>
          <c:dLbls>
            <c:spPr>
              <a:solidFill>
                <a:schemeClr val="bg2">
                  <a:lumMod val="65000"/>
                  <a:alpha val="47000"/>
                </a:schemeClr>
              </a:solidFill>
              <a:ln>
                <a:noFill/>
              </a:ln>
              <a:effectLst>
                <a:outerShdw blurRad="50800" dist="38100" dir="2700000" algn="tl" rotWithShape="0">
                  <a:prstClr val="black">
                    <a:alpha val="40000"/>
                  </a:prstClr>
                </a:outerShdw>
              </a:effectLst>
            </c:spPr>
            <c:txPr>
              <a:bodyPr rot="0" spcFirstLastPara="1" vertOverflow="ellipsis" wrap="none" lIns="38100" tIns="19050" rIns="38100" bIns="19050" anchor="t" anchorCtr="0">
                <a:spAutoFit/>
              </a:bodyPr>
              <a:lstStyle/>
              <a:p>
                <a:pPr>
                  <a:defRPr sz="1400" b="1" i="0" u="none" strike="noStrike" kern="1200" baseline="0">
                    <a:solidFill>
                      <a:sysClr val="windowText" lastClr="000000"/>
                    </a:solidFill>
                    <a:latin typeface="+mn-lt"/>
                    <a:ea typeface="+mn-ea"/>
                    <a:cs typeface="+mn-cs"/>
                  </a:defRPr>
                </a:pPr>
                <a:endParaRPr lang="en-US"/>
              </a:p>
            </c:txPr>
            <c:dLblPos val="ctr"/>
            <c:showLegendKey val="0"/>
            <c:showVal val="1"/>
            <c:showCatName val="1"/>
            <c:showSerName val="0"/>
            <c:showPercent val="0"/>
            <c:showBubbleSize val="0"/>
            <c:showLeaderLines val="1"/>
            <c:extLst>
              <c:ext xmlns:c15="http://schemas.microsoft.com/office/drawing/2012/chart" uri="{CE6537A1-D6FC-4f65-9D91-7224C49458BB}">
                <c15:spPr xmlns:c15="http://schemas.microsoft.com/office/drawing/2012/chart">
                  <a:prstGeom prst="rect">
                    <a:avLst/>
                  </a:prstGeom>
                </c15:spPr>
              </c:ext>
            </c:extLst>
          </c:dLbls>
          <c:cat>
            <c:strRef>
              <c:f>calculation!$B$140:$B$142</c:f>
              <c:strCache>
                <c:ptCount val="3"/>
                <c:pt idx="0">
                  <c:v>Detractor</c:v>
                </c:pt>
                <c:pt idx="1">
                  <c:v>Passive</c:v>
                </c:pt>
                <c:pt idx="2">
                  <c:v>Promoter</c:v>
                </c:pt>
              </c:strCache>
            </c:strRef>
          </c:cat>
          <c:val>
            <c:numRef>
              <c:f>calculation!$C$140:$C$142</c:f>
              <c:numCache>
                <c:formatCode>General</c:formatCode>
                <c:ptCount val="3"/>
                <c:pt idx="0">
                  <c:v>494</c:v>
                </c:pt>
                <c:pt idx="1">
                  <c:v>131</c:v>
                </c:pt>
                <c:pt idx="2">
                  <c:v>104</c:v>
                </c:pt>
              </c:numCache>
            </c:numRef>
          </c:val>
          <c:extLst>
            <c:ext xmlns:c16="http://schemas.microsoft.com/office/drawing/2014/chart" uri="{C3380CC4-5D6E-409C-BE32-E72D297353CC}">
              <c16:uniqueId val="{00000008-D305-458A-92FA-05A35E492329}"/>
            </c:ext>
          </c:extLst>
        </c:ser>
        <c:dLbls>
          <c:dLblPos val="ctr"/>
          <c:showLegendKey val="0"/>
          <c:showVal val="0"/>
          <c:showCatName val="1"/>
          <c:showSerName val="0"/>
          <c:showPercent val="0"/>
          <c:showBubbleSize val="0"/>
          <c:showLeaderLines val="1"/>
        </c:dLbls>
        <c:firstSliceAng val="0"/>
      </c:pieChart>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r>
              <a:rPr lang="en-US" sz="1800">
                <a:solidFill>
                  <a:schemeClr val="bg1"/>
                </a:solidFill>
              </a:rPr>
              <a:t>Lead</a:t>
            </a:r>
            <a:r>
              <a:rPr lang="en-US" sz="1800" baseline="0">
                <a:solidFill>
                  <a:schemeClr val="bg1"/>
                </a:solidFill>
              </a:rPr>
              <a:t> Distribution</a:t>
            </a:r>
            <a:endParaRPr lang="en-US" sz="1800">
              <a:solidFill>
                <a:schemeClr val="bg1"/>
              </a:solidFill>
            </a:endParaRPr>
          </a:p>
        </c:rich>
      </c:tx>
      <c:overlay val="0"/>
      <c:spPr>
        <a:noFill/>
        <a:ln>
          <a:noFill/>
        </a:ln>
        <a:effectLst/>
      </c:spPr>
      <c:txPr>
        <a:bodyPr rot="0" spcFirstLastPara="1" vertOverflow="ellipsis" vert="horz" wrap="square" anchor="ctr" anchorCtr="1"/>
        <a:lstStyle/>
        <a:p>
          <a:pPr>
            <a:defRPr sz="1800" b="1" i="0" u="none" strike="noStrike" kern="1200" cap="all" spc="50" baseline="0">
              <a:solidFill>
                <a:schemeClr val="bg1"/>
              </a:solidFill>
              <a:latin typeface="+mn-lt"/>
              <a:ea typeface="+mn-ea"/>
              <a:cs typeface="+mn-cs"/>
            </a:defRPr>
          </a:pPr>
          <a:endParaRPr lang="en-US"/>
        </a:p>
      </c:txPr>
    </c:title>
    <c:autoTitleDeleted val="0"/>
    <c:plotArea>
      <c:layout/>
      <c:pieChart>
        <c:varyColors val="1"/>
        <c:ser>
          <c:idx val="0"/>
          <c:order val="0"/>
          <c:tx>
            <c:strRef>
              <c:f>calculation!$E$121</c:f>
              <c:strCache>
                <c:ptCount val="1"/>
                <c:pt idx="0">
                  <c:v>Count</c:v>
                </c:pt>
              </c:strCache>
            </c:strRef>
          </c:tx>
          <c:dPt>
            <c:idx val="0"/>
            <c:bubble3D val="0"/>
            <c:explosion val="6"/>
            <c:spPr>
              <a:solidFill>
                <a:srgbClr val="00B0F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23CE-4748-B529-DFE46A9C7608}"/>
              </c:ext>
            </c:extLst>
          </c:dPt>
          <c:dPt>
            <c:idx val="1"/>
            <c:bubble3D val="0"/>
            <c:explosion val="10"/>
            <c:spPr>
              <a:solidFill>
                <a:schemeClr val="accent6">
                  <a:lumMod val="75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23CE-4748-B529-DFE46A9C7608}"/>
              </c:ext>
            </c:extLst>
          </c:dPt>
          <c:dPt>
            <c:idx val="2"/>
            <c:bubble3D val="0"/>
            <c:spPr>
              <a:solidFill>
                <a:srgbClr val="FFC000"/>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23CE-4748-B529-DFE46A9C7608}"/>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ysClr val="windowText" lastClr="000000"/>
                    </a:solidFill>
                    <a:latin typeface="+mn-lt"/>
                    <a:ea typeface="+mn-ea"/>
                    <a:cs typeface="+mn-cs"/>
                  </a:defRPr>
                </a:pPr>
                <a:endParaRPr lang="en-US"/>
              </a:p>
            </c:txPr>
            <c:dLblPos val="inEnd"/>
            <c:showLegendKey val="0"/>
            <c:showVal val="0"/>
            <c:showCatName val="1"/>
            <c:showSerName val="0"/>
            <c:showPercent val="1"/>
            <c:showBubbleSize val="0"/>
            <c:showLeaderLines val="0"/>
            <c:extLst>
              <c:ext xmlns:c15="http://schemas.microsoft.com/office/drawing/2012/chart" uri="{CE6537A1-D6FC-4f65-9D91-7224C49458BB}"/>
            </c:extLst>
          </c:dLbls>
          <c:cat>
            <c:strRef>
              <c:f>calculation!$D$122:$D$124</c:f>
              <c:strCache>
                <c:ptCount val="3"/>
                <c:pt idx="0">
                  <c:v>Cold</c:v>
                </c:pt>
                <c:pt idx="1">
                  <c:v>Hot</c:v>
                </c:pt>
                <c:pt idx="2">
                  <c:v>Warm</c:v>
                </c:pt>
              </c:strCache>
            </c:strRef>
          </c:cat>
          <c:val>
            <c:numRef>
              <c:f>calculation!$E$122:$E$124</c:f>
              <c:numCache>
                <c:formatCode>General</c:formatCode>
                <c:ptCount val="3"/>
                <c:pt idx="0">
                  <c:v>188</c:v>
                </c:pt>
                <c:pt idx="1">
                  <c:v>303</c:v>
                </c:pt>
                <c:pt idx="2">
                  <c:v>509</c:v>
                </c:pt>
              </c:numCache>
            </c:numRef>
          </c:val>
          <c:extLst>
            <c:ext xmlns:c16="http://schemas.microsoft.com/office/drawing/2014/chart" uri="{C3380CC4-5D6E-409C-BE32-E72D297353CC}">
              <c16:uniqueId val="{00000006-23CE-4748-B529-DFE46A9C7608}"/>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sz="1500">
                <a:solidFill>
                  <a:schemeClr val="bg1"/>
                </a:solidFill>
              </a:rPr>
              <a:t>Cancelled</a:t>
            </a:r>
            <a:r>
              <a:rPr lang="en-US" sz="1500" baseline="0">
                <a:solidFill>
                  <a:schemeClr val="bg1"/>
                </a:solidFill>
              </a:rPr>
              <a:t> leads by type</a:t>
            </a:r>
            <a:endParaRPr lang="en-US" sz="1500">
              <a:solidFill>
                <a:schemeClr val="bg1"/>
              </a:solidFill>
            </a:endParaRPr>
          </a:p>
        </c:rich>
      </c:tx>
      <c:layout>
        <c:manualLayout>
          <c:xMode val="edge"/>
          <c:yMode val="edge"/>
          <c:x val="9.0207399023165338E-2"/>
          <c:y val="0"/>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5.9053257462988236E-2"/>
          <c:y val="0.14416095950541838"/>
          <c:w val="0.94094674253701172"/>
          <c:h val="0.73920136340663178"/>
        </c:manualLayout>
      </c:layout>
      <c:pie3DChart>
        <c:varyColors val="1"/>
        <c:ser>
          <c:idx val="0"/>
          <c:order val="0"/>
          <c:tx>
            <c:strRef>
              <c:f>calculation!$E$68</c:f>
              <c:strCache>
                <c:ptCount val="1"/>
                <c:pt idx="0">
                  <c:v>Cancelled_leads</c:v>
                </c:pt>
              </c:strCache>
            </c:strRef>
          </c:tx>
          <c:explosion val="8"/>
          <c:dPt>
            <c:idx val="0"/>
            <c:bubble3D val="0"/>
            <c:explosion val="0"/>
            <c:spPr>
              <a:solidFill>
                <a:srgbClr val="00B0F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C3BD-465B-A13A-25DAE3D6291C}"/>
              </c:ext>
            </c:extLst>
          </c:dPt>
          <c:dPt>
            <c:idx val="1"/>
            <c:bubble3D val="0"/>
            <c:spPr>
              <a:solidFill>
                <a:schemeClr val="accent6">
                  <a:lumMod val="75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C3BD-465B-A13A-25DAE3D6291C}"/>
              </c:ext>
            </c:extLst>
          </c:dPt>
          <c:dPt>
            <c:idx val="2"/>
            <c:bubble3D val="0"/>
            <c:explosion val="5"/>
            <c:spPr>
              <a:solidFill>
                <a:srgbClr val="FFC000"/>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C3BD-465B-A13A-25DAE3D6291C}"/>
              </c:ext>
            </c:extLst>
          </c:dPt>
          <c:dLbls>
            <c:dLbl>
              <c:idx val="0"/>
              <c:layout>
                <c:manualLayout>
                  <c:x val="-0.18888888888888888"/>
                  <c:y val="-0.2638888888888889"/>
                </c:manualLayout>
              </c:layout>
              <c:spPr>
                <a:noFill/>
                <a:ln>
                  <a:noFill/>
                </a:ln>
                <a:effectLst/>
              </c:spPr>
              <c:txPr>
                <a:bodyPr rot="840000" spcFirstLastPara="1" vertOverflow="ellipsis" wrap="square" lIns="38100" tIns="19050" rIns="38100" bIns="19050" anchor="b" anchorCtr="1">
                  <a:spAutoFit/>
                </a:bodyPr>
                <a:lstStyle/>
                <a:p>
                  <a:pPr>
                    <a:defRPr sz="14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C3BD-465B-A13A-25DAE3D6291C}"/>
                </c:ext>
              </c:extLst>
            </c:dLbl>
            <c:dLbl>
              <c:idx val="1"/>
              <c:layout>
                <c:manualLayout>
                  <c:x val="7.5041107665821713E-2"/>
                  <c:y val="-0.14080467306378433"/>
                </c:manualLayout>
              </c:layout>
              <c:spPr>
                <a:noFill/>
                <a:ln>
                  <a:noFill/>
                </a:ln>
                <a:effectLst/>
              </c:spPr>
              <c:txPr>
                <a:bodyPr rot="840000" spcFirstLastPara="1" vertOverflow="ellipsis" wrap="square" lIns="38100" tIns="19050" rIns="38100" bIns="19050" anchor="b" anchorCtr="1">
                  <a:noAutofit/>
                </a:bodyPr>
                <a:lstStyle/>
                <a:p>
                  <a:pPr>
                    <a:defRPr sz="14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0326875793618707"/>
                      <c:h val="0.22660545442664864"/>
                    </c:manualLayout>
                  </c15:layout>
                </c:ext>
                <c:ext xmlns:c16="http://schemas.microsoft.com/office/drawing/2014/chart" uri="{C3380CC4-5D6E-409C-BE32-E72D297353CC}">
                  <c16:uniqueId val="{00000003-C3BD-465B-A13A-25DAE3D6291C}"/>
                </c:ext>
              </c:extLst>
            </c:dLbl>
            <c:dLbl>
              <c:idx val="2"/>
              <c:layout>
                <c:manualLayout>
                  <c:x val="0.29975112473902732"/>
                  <c:y val="0.10332321476277068"/>
                </c:manualLayout>
              </c:layout>
              <c:spPr>
                <a:noFill/>
                <a:ln>
                  <a:noFill/>
                </a:ln>
                <a:effectLst/>
              </c:spPr>
              <c:txPr>
                <a:bodyPr rot="840000" spcFirstLastPara="1" vertOverflow="ellipsis" wrap="square" lIns="38100" tIns="19050" rIns="38100" bIns="19050" anchor="b" anchorCtr="0">
                  <a:noAutofit/>
                </a:bodyPr>
                <a:lstStyle/>
                <a:p>
                  <a:pPr algn="l">
                    <a:defRPr sz="1400" b="1" i="0" u="none" strike="noStrike" kern="1200" spc="0" baseline="0">
                      <a:solidFill>
                        <a:sysClr val="windowText" lastClr="000000"/>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layout>
                    <c:manualLayout>
                      <c:w val="0.34428755035168901"/>
                      <c:h val="0.29968853057285566"/>
                    </c:manualLayout>
                  </c15:layout>
                </c:ext>
                <c:ext xmlns:c16="http://schemas.microsoft.com/office/drawing/2014/chart" uri="{C3380CC4-5D6E-409C-BE32-E72D297353CC}">
                  <c16:uniqueId val="{00000005-C3BD-465B-A13A-25DAE3D6291C}"/>
                </c:ext>
              </c:extLst>
            </c:dLbl>
            <c:spPr>
              <a:noFill/>
              <a:ln>
                <a:noFill/>
              </a:ln>
              <a:effectLst/>
            </c:spPr>
            <c:txPr>
              <a:bodyPr rot="840000" spcFirstLastPara="1" vertOverflow="ellipsis" wrap="square" lIns="38100" tIns="19050" rIns="38100" bIns="19050" anchor="b" anchorCtr="1">
                <a:spAutoFit/>
              </a:bodyPr>
              <a:lstStyle/>
              <a:p>
                <a:pPr>
                  <a:defRPr sz="1400" b="1" i="0" u="none" strike="noStrike" kern="1200" spc="0" baseline="0">
                    <a:solidFill>
                      <a:sysClr val="windowText" lastClr="000000"/>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extLst>
          </c:dLbls>
          <c:cat>
            <c:strRef>
              <c:f>calculation!$D$69:$D$71</c:f>
              <c:strCache>
                <c:ptCount val="3"/>
                <c:pt idx="0">
                  <c:v>Cold</c:v>
                </c:pt>
                <c:pt idx="1">
                  <c:v>Hot</c:v>
                </c:pt>
                <c:pt idx="2">
                  <c:v>Warm</c:v>
                </c:pt>
              </c:strCache>
            </c:strRef>
          </c:cat>
          <c:val>
            <c:numRef>
              <c:f>calculation!$E$69:$E$71</c:f>
              <c:numCache>
                <c:formatCode>General</c:formatCode>
                <c:ptCount val="3"/>
                <c:pt idx="0">
                  <c:v>188</c:v>
                </c:pt>
                <c:pt idx="1">
                  <c:v>26</c:v>
                </c:pt>
                <c:pt idx="2">
                  <c:v>57</c:v>
                </c:pt>
              </c:numCache>
            </c:numRef>
          </c:val>
          <c:extLst>
            <c:ext xmlns:c16="http://schemas.microsoft.com/office/drawing/2014/chart" uri="{C3380CC4-5D6E-409C-BE32-E72D297353CC}">
              <c16:uniqueId val="{00000006-C3BD-465B-A13A-25DAE3D6291C}"/>
            </c:ext>
          </c:extLst>
        </c:ser>
        <c:dLbls>
          <c:dLblPos val="outEnd"/>
          <c:showLegendKey val="0"/>
          <c:showVal val="0"/>
          <c:showCatName val="1"/>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 dir="row">_xlchart.v2.0</cx:f>
      </cx:strDim>
      <cx:numDim type="val">
        <cx:f dir="row">_xlchart.v2.1</cx:f>
      </cx:numDim>
    </cx:data>
  </cx:chartData>
  <cx:chart>
    <cx:title pos="t" align="ctr" overlay="0"/>
    <cx:plotArea>
      <cx:plotAreaRegion>
        <cx:series layoutId="funnel" uniqueId="{B4EE3438-6BDA-4A95-AF13-9508190AA247}">
          <cx:dataLabels>
            <cx:visibility seriesName="0" categoryName="0" value="1"/>
          </cx:dataLabels>
          <cx:dataId val="0"/>
        </cx:series>
      </cx:plotAreaRegion>
      <cx:axis id="0">
        <cx:catScaling gapWidth="0.0599999987"/>
        <cx:tickLabels/>
      </cx:axis>
    </cx:plotArea>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_xlchart.v1.2</cx:f>
      </cx:strDim>
      <cx:numDim type="size">
        <cx:f>_xlchart.v1.4</cx:f>
      </cx:numDim>
    </cx:data>
  </cx:chartData>
  <cx:chart>
    <cx:title pos="t" align="ctr" overlay="0"/>
    <cx:plotArea>
      <cx:plotAreaRegion>
        <cx:series layoutId="treemap" uniqueId="{32BC825C-948A-4C7F-939F-43D64257C4AA}">
          <cx:tx>
            <cx:txData>
              <cx:f>_xlchart.v1.3</cx:f>
              <cx:v>High Potential Lead</cx:v>
            </cx:txData>
          </cx:tx>
          <cx:dataLabels pos="ctr">
            <cx:visibility seriesName="0" categoryName="1" value="0"/>
          </cx:dataLabels>
          <cx:dataId val="0"/>
          <cx:layoutPr>
            <cx:parentLabelLayout val="overlapping"/>
          </cx:layoutPr>
        </cx:series>
      </cx:plotAreaRegion>
    </cx:plotArea>
    <cx:legend pos="r" align="ctr" overlay="0"/>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 dir="row">_xlchart.v2.5</cx:f>
      </cx:strDim>
      <cx:numDim type="val">
        <cx:f dir="row">_xlchart.v2.6</cx:f>
      </cx:numDim>
    </cx:data>
  </cx:chartData>
  <cx:chart>
    <cx:title pos="t" align="ctr" overlay="0">
      <cx:tx>
        <cx:txData>
          <cx:v>Lead Conversion Flow</cx:v>
        </cx:txData>
      </cx:tx>
      <cx:txPr>
        <a:bodyPr spcFirstLastPara="1" vertOverflow="ellipsis" horzOverflow="overflow" wrap="square" lIns="0" tIns="0" rIns="0" bIns="0" anchor="ctr" anchorCtr="1"/>
        <a:lstStyle/>
        <a:p>
          <a:pPr algn="ctr" rtl="0">
            <a:defRPr/>
          </a:pPr>
          <a:r>
            <a:rPr lang="en-US" sz="1800" b="1" i="0" u="none" strike="noStrike" baseline="0">
              <a:solidFill>
                <a:schemeClr val="bg2"/>
              </a:solidFill>
              <a:latin typeface="Calibri"/>
              <a:ea typeface="Calibri"/>
              <a:cs typeface="Calibri"/>
            </a:rPr>
            <a:t>Lead Conversion Flow</a:t>
          </a:r>
        </a:p>
      </cx:txPr>
    </cx:title>
    <cx:plotArea>
      <cx:plotAreaRegion>
        <cx:series layoutId="funnel" uniqueId="{B4EE3438-6BDA-4A95-AF13-9508190AA247}">
          <cx:spPr>
            <a:solidFill>
              <a:srgbClr val="002060"/>
            </a:solidFill>
          </cx:spPr>
          <cx:dataLabels>
            <cx:txPr>
              <a:bodyPr spcFirstLastPara="1" vertOverflow="ellipsis" horzOverflow="overflow" wrap="square" lIns="0" tIns="0" rIns="0" bIns="0" anchor="ctr" anchorCtr="1"/>
              <a:lstStyle/>
              <a:p>
                <a:pPr algn="ctr" rtl="0">
                  <a:defRPr sz="1400" b="0">
                    <a:solidFill>
                      <a:schemeClr val="bg2"/>
                    </a:solidFill>
                  </a:defRPr>
                </a:pPr>
                <a:endParaRPr lang="en-US" sz="1400" b="0" i="0" u="none" strike="noStrike" baseline="0">
                  <a:solidFill>
                    <a:schemeClr val="bg2"/>
                  </a:solidFill>
                  <a:latin typeface="Calibri"/>
                  <a:ea typeface="Calibri"/>
                  <a:cs typeface="Calibri"/>
                </a:endParaRPr>
              </a:p>
            </cx:txPr>
            <cx:visibility seriesName="0" categoryName="0" value="1"/>
          </cx:dataLabels>
          <cx:dataId val="0"/>
        </cx:series>
      </cx:plotAreaRegion>
      <cx:axis id="0">
        <cx:catScaling gapWidth="0.0599999987"/>
        <cx:tickLabels/>
        <cx:txPr>
          <a:bodyPr spcFirstLastPara="1" vertOverflow="ellipsis" horzOverflow="overflow" wrap="square" lIns="0" tIns="0" rIns="0" bIns="0" anchor="ctr" anchorCtr="1"/>
          <a:lstStyle/>
          <a:p>
            <a:pPr algn="ctr" rtl="0">
              <a:defRPr sz="1400" b="1">
                <a:solidFill>
                  <a:schemeClr val="bg1"/>
                </a:solidFill>
              </a:defRPr>
            </a:pPr>
            <a:endParaRPr lang="en-US" sz="1400" b="1" i="0" u="none" strike="noStrike" baseline="0">
              <a:solidFill>
                <a:schemeClr val="bg1"/>
              </a:solidFill>
              <a:latin typeface="Calibri"/>
              <a:ea typeface="Calibri"/>
              <a:cs typeface="Calibri"/>
            </a:endParaRPr>
          </a:p>
        </cx:txPr>
      </cx:axis>
    </cx:plotArea>
  </cx:chart>
  <cx:spPr>
    <a:noFill/>
    <a:ln>
      <a:noFill/>
    </a:ln>
  </cx:spPr>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size">
        <cx:f>_xlchart.v1.9</cx:f>
      </cx:numDim>
    </cx:data>
  </cx:chartData>
  <cx:chart>
    <cx:plotArea>
      <cx:plotAreaRegion>
        <cx:series layoutId="treemap" uniqueId="{32BC825C-948A-4C7F-939F-43D64257C4AA}">
          <cx:tx>
            <cx:txData>
              <cx:f>_xlchart.v1.8</cx:f>
              <cx:v>High Potential Lead</cx:v>
            </cx:txData>
          </cx:tx>
          <cx:spPr>
            <a:ln>
              <a:noFill/>
            </a:ln>
          </cx:spPr>
          <cx:dataLabels pos="ctr">
            <cx:txPr>
              <a:bodyPr spcFirstLastPara="1" vertOverflow="ellipsis" horzOverflow="overflow" wrap="square" lIns="0" tIns="0" rIns="0" bIns="0" anchor="ctr" anchorCtr="1"/>
              <a:lstStyle/>
              <a:p>
                <a:pPr algn="ctr" rtl="0">
                  <a:defRPr sz="1200" b="1">
                    <a:solidFill>
                      <a:schemeClr val="tx1"/>
                    </a:solidFill>
                  </a:defRPr>
                </a:pPr>
                <a:endParaRPr lang="en-US" sz="1200" b="1" i="0" u="none" strike="noStrike" baseline="0">
                  <a:solidFill>
                    <a:schemeClr val="tx1"/>
                  </a:solidFill>
                  <a:latin typeface="Calibri"/>
                  <a:ea typeface="Calibri"/>
                  <a:cs typeface="Calibri"/>
                </a:endParaRPr>
              </a:p>
            </cx:txPr>
            <cx:visibility seriesName="0" categoryName="1" value="1"/>
            <cx:separator>, </cx:separator>
            <cx:dataLabel idx="1">
              <cx:txPr>
                <a:bodyPr spcFirstLastPara="1" vertOverflow="ellipsis" horzOverflow="overflow" wrap="square" lIns="0" tIns="0" rIns="0" bIns="0" anchor="ctr" anchorCtr="1"/>
                <a:lstStyle/>
                <a:p>
                  <a:pPr algn="ctr" rtl="0">
                    <a:defRPr/>
                  </a:pPr>
                  <a:r>
                    <a:rPr lang="en-US" sz="1200" b="1" i="0" u="none" strike="noStrike" baseline="0">
                      <a:solidFill>
                        <a:schemeClr val="tx1"/>
                      </a:solidFill>
                      <a:latin typeface="Calibri"/>
                      <a:ea typeface="Calibri"/>
                      <a:cs typeface="Calibri"/>
                    </a:rPr>
                    <a:t>Chennai MBC, 153</a:t>
                  </a:r>
                </a:p>
              </cx:txPr>
              <cx:visibility seriesName="0" categoryName="1" value="1"/>
              <cx:separator>, </cx:separator>
            </cx:dataLabel>
          </cx:dataLabels>
          <cx:dataId val="0"/>
          <cx:layoutPr>
            <cx:parentLabelLayout val="overlapping"/>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2">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800" b="0" i="0" u="none" strike="noStrike" kern="1200" baseline="0"/>
    <cs:bodyPr rot="-5400000" spcFirstLastPara="1" vertOverflow="clip" horzOverflow="clip" vert="horz" wrap="square" lIns="38100" tIns="19050" rIns="38100" bIns="19050" anchor="ctr" anchorCtr="1">
      <a:spAutoFit/>
    </cs:bodyPr>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64">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1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411">
  <cs:axisTitle>
    <cs:lnRef idx="0"/>
    <cs:fillRef idx="0"/>
    <cs:effectRef idx="0"/>
    <cs:fontRef idx="minor">
      <a:schemeClr val="dk1">
        <a:lumMod val="75000"/>
        <a:lumOff val="25000"/>
      </a:schemeClr>
    </cs:fontRef>
    <cs:spPr>
      <a:solidFill>
        <a:schemeClr val="bg1">
          <a:lumMod val="65000"/>
        </a:schemeClr>
      </a:solidFill>
      <a:ln>
        <a:solidFill>
          <a:schemeClr val="bg1"/>
        </a:solidFill>
      </a:ln>
    </cs:spPr>
    <cs:defRPr sz="9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cs:chartArea>
  <cs:dataLabel>
    <cs:lnRef idx="0"/>
    <cs:fillRef idx="0"/>
    <cs:effectRef idx="0"/>
    <cs:fontRef idx="minor">
      <a:schemeClr val="lt1"/>
    </cs:fontRef>
    <cs:defRPr sz="900"/>
  </cs:dataLabel>
  <cs:dataLabelCallout>
    <cs:lnRef idx="0"/>
    <cs:fillRef idx="0"/>
    <cs:effectRef idx="0"/>
    <cs:fontRef idx="minor">
      <a:schemeClr val="lt1"/>
    </cs:fontRef>
    <cs:spPr>
      <a:solidFill>
        <a:schemeClr val="dk1">
          <a:lumMod val="65000"/>
          <a:lumOff val="35000"/>
          <a:alpha val="75000"/>
        </a:schemeClr>
      </a:solidFill>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ln>
        <a:solidFill>
          <a:schemeClr val="lt1"/>
        </a:solidFill>
      </a:ln>
    </cs:spPr>
  </cs:dataPoint>
  <cs:dataPoint3D>
    <cs:lnRef idx="0"/>
    <cs:fillRef idx="0">
      <cs:styleClr val="auto"/>
    </cs:fillRef>
    <cs:effectRef idx="0"/>
    <cs:fontRef idx="minor">
      <a:schemeClr val="dk1"/>
    </cs:fontRef>
    <cs:spPr>
      <a:solidFill>
        <a:schemeClr val="ph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2857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75000"/>
            <a:lumOff val="25000"/>
          </a:schemeClr>
        </a:solidFill>
      </a:ln>
    </cs:spPr>
    <cs:defRPr sz="9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lumOff val="10000"/>
              </a:schemeClr>
            </a:gs>
            <a:gs pos="0">
              <a:schemeClr val="lt1">
                <a:lumMod val="75000"/>
                <a:alpha val="36000"/>
                <a:lumOff val="10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cs:seriesAxis>
  <cs:seriesLine>
    <cs:lnRef idx="0"/>
    <cs:fillRef idx="0"/>
    <cs:effectRef idx="0"/>
    <cs:fontRef idx="minor">
      <a:schemeClr val="dk1"/>
    </cs:fontRef>
    <cs:spPr>
      <a:ln w="9525" cap="flat">
        <a:solidFill>
          <a:schemeClr val="bg1">
            <a:lumMod val="50000"/>
          </a:schemeClr>
        </a:solidFill>
        <a:round/>
      </a:ln>
    </cs:spPr>
  </cs:seriesLine>
  <cs:title>
    <cs:lnRef idx="0"/>
    <cs:fillRef idx="0"/>
    <cs:effectRef idx="0"/>
    <cs:fontRef idx="minor">
      <a:schemeClr val="dk1">
        <a:lumMod val="75000"/>
        <a:lumOff val="25000"/>
      </a:schemeClr>
    </cs:fontRef>
    <cs:defRPr sz="1800" b="1"/>
  </cs:title>
  <cs:trendline>
    <cs:lnRef idx="0"/>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75000"/>
        <a:lumOff val="25000"/>
      </a:schemeClr>
    </cs:fontRef>
    <cs:defRPr sz="9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defRPr sz="900"/>
  </cs:valueAxis>
  <cs:wall>
    <cs:lnRef idx="0"/>
    <cs:fillRef idx="0"/>
    <cs:effectRef idx="0"/>
    <cs:fontRef idx="minor">
      <a:schemeClr val="dk1"/>
    </cs:fontRef>
  </cs:wall>
</cs:chartStyle>
</file>

<file path=xl/charts/style26.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microsoft.com/office/2014/relationships/chartEx" Target="../charts/chartEx2.xml"/><Relationship Id="rId3" Type="http://schemas.openxmlformats.org/officeDocument/2006/relationships/chart" Target="../charts/chart11.xml"/><Relationship Id="rId7" Type="http://schemas.openxmlformats.org/officeDocument/2006/relationships/chart" Target="../charts/chart14.xml"/><Relationship Id="rId2" Type="http://schemas.openxmlformats.org/officeDocument/2006/relationships/chart" Target="../charts/chart10.xml"/><Relationship Id="rId1" Type="http://schemas.openxmlformats.org/officeDocument/2006/relationships/chart" Target="../charts/chart9.xml"/><Relationship Id="rId6" Type="http://schemas.openxmlformats.org/officeDocument/2006/relationships/chart" Target="../charts/chart13.xml"/><Relationship Id="rId5" Type="http://schemas.openxmlformats.org/officeDocument/2006/relationships/chart" Target="../charts/chart12.xml"/><Relationship Id="rId10" Type="http://schemas.openxmlformats.org/officeDocument/2006/relationships/chart" Target="../charts/chart16.xml"/><Relationship Id="rId4" Type="http://schemas.microsoft.com/office/2014/relationships/chartEx" Target="../charts/chartEx1.xml"/><Relationship Id="rId9" Type="http://schemas.openxmlformats.org/officeDocument/2006/relationships/chart" Target="../charts/chart15.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1.xml"/><Relationship Id="rId13" Type="http://schemas.openxmlformats.org/officeDocument/2006/relationships/chart" Target="../charts/chart25.xml"/><Relationship Id="rId3" Type="http://schemas.microsoft.com/office/2014/relationships/chartEx" Target="../charts/chartEx3.xml"/><Relationship Id="rId7" Type="http://schemas.openxmlformats.org/officeDocument/2006/relationships/chart" Target="../charts/chart20.xml"/><Relationship Id="rId12" Type="http://schemas.openxmlformats.org/officeDocument/2006/relationships/chart" Target="../charts/chart24.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chart" Target="../charts/chart19.xml"/><Relationship Id="rId11" Type="http://schemas.microsoft.com/office/2014/relationships/chartEx" Target="../charts/chartEx4.xml"/><Relationship Id="rId5" Type="http://schemas.openxmlformats.org/officeDocument/2006/relationships/chart" Target="../charts/chart18.xml"/><Relationship Id="rId10" Type="http://schemas.openxmlformats.org/officeDocument/2006/relationships/chart" Target="../charts/chart23.xml"/><Relationship Id="rId4" Type="http://schemas.openxmlformats.org/officeDocument/2006/relationships/chart" Target="../charts/chart17.xml"/><Relationship Id="rId9"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3</xdr:col>
      <xdr:colOff>2349809</xdr:colOff>
      <xdr:row>53</xdr:row>
      <xdr:rowOff>76938</xdr:rowOff>
    </xdr:from>
    <xdr:to>
      <xdr:col>9</xdr:col>
      <xdr:colOff>268693</xdr:colOff>
      <xdr:row>74</xdr:row>
      <xdr:rowOff>30967</xdr:rowOff>
    </xdr:to>
    <xdr:graphicFrame macro="">
      <xdr:nvGraphicFramePr>
        <xdr:cNvPr id="3" name="Chart 2">
          <a:extLst>
            <a:ext uri="{FF2B5EF4-FFF2-40B4-BE49-F238E27FC236}">
              <a16:creationId xmlns:a16="http://schemas.microsoft.com/office/drawing/2014/main" id="{5D5B3169-E663-A9D1-7083-0858A149BBE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178879</xdr:colOff>
      <xdr:row>22</xdr:row>
      <xdr:rowOff>106441</xdr:rowOff>
    </xdr:from>
    <xdr:to>
      <xdr:col>9</xdr:col>
      <xdr:colOff>517467</xdr:colOff>
      <xdr:row>45</xdr:row>
      <xdr:rowOff>81456</xdr:rowOff>
    </xdr:to>
    <xdr:graphicFrame macro="">
      <xdr:nvGraphicFramePr>
        <xdr:cNvPr id="5" name="Chart 4">
          <a:extLst>
            <a:ext uri="{FF2B5EF4-FFF2-40B4-BE49-F238E27FC236}">
              <a16:creationId xmlns:a16="http://schemas.microsoft.com/office/drawing/2014/main" id="{06FAE6BF-AE1D-706B-0D9C-CD3BE0E9D03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656959</xdr:colOff>
      <xdr:row>54</xdr:row>
      <xdr:rowOff>51661</xdr:rowOff>
    </xdr:from>
    <xdr:to>
      <xdr:col>3</xdr:col>
      <xdr:colOff>2156848</xdr:colOff>
      <xdr:row>67</xdr:row>
      <xdr:rowOff>133409</xdr:rowOff>
    </xdr:to>
    <xdr:graphicFrame macro="">
      <xdr:nvGraphicFramePr>
        <xdr:cNvPr id="6" name="Chart 5">
          <a:extLst>
            <a:ext uri="{FF2B5EF4-FFF2-40B4-BE49-F238E27FC236}">
              <a16:creationId xmlns:a16="http://schemas.microsoft.com/office/drawing/2014/main" id="{BE82414F-A880-8BEC-76E5-1C05CC1A4A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1029595</xdr:colOff>
      <xdr:row>97</xdr:row>
      <xdr:rowOff>3307</xdr:rowOff>
    </xdr:from>
    <xdr:to>
      <xdr:col>6</xdr:col>
      <xdr:colOff>63501</xdr:colOff>
      <xdr:row>107</xdr:row>
      <xdr:rowOff>165100</xdr:rowOff>
    </xdr:to>
    <xdr:graphicFrame macro="">
      <xdr:nvGraphicFramePr>
        <xdr:cNvPr id="7" name="Chart 6">
          <a:extLst>
            <a:ext uri="{FF2B5EF4-FFF2-40B4-BE49-F238E27FC236}">
              <a16:creationId xmlns:a16="http://schemas.microsoft.com/office/drawing/2014/main" id="{229D1908-914C-A0AC-9BE0-CF33240E7F3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2159000</xdr:colOff>
      <xdr:row>122</xdr:row>
      <xdr:rowOff>165100</xdr:rowOff>
    </xdr:from>
    <xdr:to>
      <xdr:col>8</xdr:col>
      <xdr:colOff>692620</xdr:colOff>
      <xdr:row>135</xdr:row>
      <xdr:rowOff>139700</xdr:rowOff>
    </xdr:to>
    <xdr:graphicFrame macro="">
      <xdr:nvGraphicFramePr>
        <xdr:cNvPr id="8" name="Chart 7">
          <a:extLst>
            <a:ext uri="{FF2B5EF4-FFF2-40B4-BE49-F238E27FC236}">
              <a16:creationId xmlns:a16="http://schemas.microsoft.com/office/drawing/2014/main" id="{D9212C50-23B9-D7D5-70B4-5B22FF0F51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897982</xdr:colOff>
      <xdr:row>137</xdr:row>
      <xdr:rowOff>42405</xdr:rowOff>
    </xdr:from>
    <xdr:to>
      <xdr:col>8</xdr:col>
      <xdr:colOff>298923</xdr:colOff>
      <xdr:row>152</xdr:row>
      <xdr:rowOff>71882</xdr:rowOff>
    </xdr:to>
    <xdr:graphicFrame macro="">
      <xdr:nvGraphicFramePr>
        <xdr:cNvPr id="9" name="Chart 8">
          <a:extLst>
            <a:ext uri="{FF2B5EF4-FFF2-40B4-BE49-F238E27FC236}">
              <a16:creationId xmlns:a16="http://schemas.microsoft.com/office/drawing/2014/main" id="{0152C24D-FC3E-CC54-2614-E85A71D1A7E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195649</xdr:colOff>
      <xdr:row>168</xdr:row>
      <xdr:rowOff>148967</xdr:rowOff>
    </xdr:from>
    <xdr:to>
      <xdr:col>13</xdr:col>
      <xdr:colOff>17162</xdr:colOff>
      <xdr:row>183</xdr:row>
      <xdr:rowOff>111897</xdr:rowOff>
    </xdr:to>
    <xdr:graphicFrame macro="">
      <xdr:nvGraphicFramePr>
        <xdr:cNvPr id="2" name="Chart 1">
          <a:extLst>
            <a:ext uri="{FF2B5EF4-FFF2-40B4-BE49-F238E27FC236}">
              <a16:creationId xmlns:a16="http://schemas.microsoft.com/office/drawing/2014/main" id="{762D6D91-45C6-707C-9AAD-F76AA6D2EE8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10</xdr:col>
      <xdr:colOff>445576</xdr:colOff>
      <xdr:row>25</xdr:row>
      <xdr:rowOff>16788</xdr:rowOff>
    </xdr:from>
    <xdr:to>
      <xdr:col>14</xdr:col>
      <xdr:colOff>1207576</xdr:colOff>
      <xdr:row>40</xdr:row>
      <xdr:rowOff>34870</xdr:rowOff>
    </xdr:to>
    <xdr:graphicFrame macro="">
      <xdr:nvGraphicFramePr>
        <xdr:cNvPr id="4" name="Chart 3">
          <a:extLst>
            <a:ext uri="{FF2B5EF4-FFF2-40B4-BE49-F238E27FC236}">
              <a16:creationId xmlns:a16="http://schemas.microsoft.com/office/drawing/2014/main" id="{24B70488-C58B-86C4-4C1E-15E9ED6F6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971368</xdr:colOff>
      <xdr:row>26</xdr:row>
      <xdr:rowOff>2953</xdr:rowOff>
    </xdr:from>
    <xdr:to>
      <xdr:col>8</xdr:col>
      <xdr:colOff>621092</xdr:colOff>
      <xdr:row>39</xdr:row>
      <xdr:rowOff>142864</xdr:rowOff>
    </xdr:to>
    <xdr:graphicFrame macro="">
      <xdr:nvGraphicFramePr>
        <xdr:cNvPr id="8" name="Chart 7">
          <a:extLst>
            <a:ext uri="{FF2B5EF4-FFF2-40B4-BE49-F238E27FC236}">
              <a16:creationId xmlns:a16="http://schemas.microsoft.com/office/drawing/2014/main" id="{CC57AB80-A82A-8647-6EB0-33CAAAB8428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818973</xdr:colOff>
      <xdr:row>45</xdr:row>
      <xdr:rowOff>133437</xdr:rowOff>
    </xdr:from>
    <xdr:to>
      <xdr:col>8</xdr:col>
      <xdr:colOff>1475569</xdr:colOff>
      <xdr:row>60</xdr:row>
      <xdr:rowOff>133437</xdr:rowOff>
    </xdr:to>
    <xdr:graphicFrame macro="">
      <xdr:nvGraphicFramePr>
        <xdr:cNvPr id="9" name="Chart 8">
          <a:extLst>
            <a:ext uri="{FF2B5EF4-FFF2-40B4-BE49-F238E27FC236}">
              <a16:creationId xmlns:a16="http://schemas.microsoft.com/office/drawing/2014/main" id="{64D4524F-AA57-A90F-A19F-6A2D5AB91C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803480</xdr:colOff>
      <xdr:row>136</xdr:row>
      <xdr:rowOff>127070</xdr:rowOff>
    </xdr:from>
    <xdr:to>
      <xdr:col>7</xdr:col>
      <xdr:colOff>653142</xdr:colOff>
      <xdr:row>150</xdr:row>
      <xdr:rowOff>126824</xdr:rowOff>
    </xdr:to>
    <xdr:graphicFrame macro="">
      <xdr:nvGraphicFramePr>
        <xdr:cNvPr id="19" name="Chart 18">
          <a:extLst>
            <a:ext uri="{FF2B5EF4-FFF2-40B4-BE49-F238E27FC236}">
              <a16:creationId xmlns:a16="http://schemas.microsoft.com/office/drawing/2014/main" id="{4583885A-952C-A3D5-382A-55E408DA34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1804530</xdr:colOff>
      <xdr:row>26</xdr:row>
      <xdr:rowOff>109446</xdr:rowOff>
    </xdr:from>
    <xdr:to>
      <xdr:col>3</xdr:col>
      <xdr:colOff>1598664</xdr:colOff>
      <xdr:row>39</xdr:row>
      <xdr:rowOff>76110</xdr:rowOff>
    </xdr:to>
    <mc:AlternateContent xmlns:mc="http://schemas.openxmlformats.org/markup-compatibility/2006">
      <mc:Choice xmlns:cx2="http://schemas.microsoft.com/office/drawing/2015/10/21/chartex" Requires="cx2">
        <xdr:graphicFrame macro="">
          <xdr:nvGraphicFramePr>
            <xdr:cNvPr id="20" name="Chart 19">
              <a:extLst>
                <a:ext uri="{FF2B5EF4-FFF2-40B4-BE49-F238E27FC236}">
                  <a16:creationId xmlns:a16="http://schemas.microsoft.com/office/drawing/2014/main" id="{48062595-2024-4CE7-56A7-9C9CDC5CDFC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4"/>
            </a:graphicData>
          </a:graphic>
        </xdr:graphicFrame>
      </mc:Choice>
      <mc:Fallback>
        <xdr:sp macro="" textlink="">
          <xdr:nvSpPr>
            <xdr:cNvPr id="0" name=""/>
            <xdr:cNvSpPr>
              <a:spLocks noTextEdit="1"/>
            </xdr:cNvSpPr>
          </xdr:nvSpPr>
          <xdr:spPr>
            <a:xfrm>
              <a:off x="4601070" y="4940526"/>
              <a:ext cx="4945254" cy="234410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5</xdr:col>
      <xdr:colOff>1103304</xdr:colOff>
      <xdr:row>88</xdr:row>
      <xdr:rowOff>154071</xdr:rowOff>
    </xdr:from>
    <xdr:to>
      <xdr:col>8</xdr:col>
      <xdr:colOff>1203470</xdr:colOff>
      <xdr:row>101</xdr:row>
      <xdr:rowOff>71786</xdr:rowOff>
    </xdr:to>
    <xdr:graphicFrame macro="">
      <xdr:nvGraphicFramePr>
        <xdr:cNvPr id="5" name="Chart 4">
          <a:extLst>
            <a:ext uri="{FF2B5EF4-FFF2-40B4-BE49-F238E27FC236}">
              <a16:creationId xmlns:a16="http://schemas.microsoft.com/office/drawing/2014/main" id="{F944479E-04A6-3BC2-C4D8-9E7BE19A30F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1797051</xdr:colOff>
      <xdr:row>88</xdr:row>
      <xdr:rowOff>62119</xdr:rowOff>
    </xdr:from>
    <xdr:to>
      <xdr:col>11</xdr:col>
      <xdr:colOff>1205120</xdr:colOff>
      <xdr:row>103</xdr:row>
      <xdr:rowOff>138320</xdr:rowOff>
    </xdr:to>
    <xdr:graphicFrame macro="">
      <xdr:nvGraphicFramePr>
        <xdr:cNvPr id="6" name="Chart 5">
          <a:extLst>
            <a:ext uri="{FF2B5EF4-FFF2-40B4-BE49-F238E27FC236}">
              <a16:creationId xmlns:a16="http://schemas.microsoft.com/office/drawing/2014/main" id="{884E251C-D2C1-F259-56DE-6B9C2E99DD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7</xdr:col>
      <xdr:colOff>877725</xdr:colOff>
      <xdr:row>150</xdr:row>
      <xdr:rowOff>282</xdr:rowOff>
    </xdr:from>
    <xdr:to>
      <xdr:col>9</xdr:col>
      <xdr:colOff>1640191</xdr:colOff>
      <xdr:row>165</xdr:row>
      <xdr:rowOff>23286</xdr:rowOff>
    </xdr:to>
    <xdr:graphicFrame macro="">
      <xdr:nvGraphicFramePr>
        <xdr:cNvPr id="10" name="Chart 9">
          <a:extLst>
            <a:ext uri="{FF2B5EF4-FFF2-40B4-BE49-F238E27FC236}">
              <a16:creationId xmlns:a16="http://schemas.microsoft.com/office/drawing/2014/main" id="{ED701546-2ECF-34E2-B718-E2EB0DC90D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6</xdr:col>
      <xdr:colOff>18287</xdr:colOff>
      <xdr:row>169</xdr:row>
      <xdr:rowOff>73232</xdr:rowOff>
    </xdr:from>
    <xdr:to>
      <xdr:col>8</xdr:col>
      <xdr:colOff>1765380</xdr:colOff>
      <xdr:row>184</xdr:row>
      <xdr:rowOff>144484</xdr:rowOff>
    </xdr:to>
    <mc:AlternateContent xmlns:mc="http://schemas.openxmlformats.org/markup-compatibility/2006">
      <mc:Choice xmlns:cx1="http://schemas.microsoft.com/office/drawing/2015/9/8/chartex" Requires="cx1">
        <xdr:graphicFrame macro="">
          <xdr:nvGraphicFramePr>
            <xdr:cNvPr id="7" name="Chart 6">
              <a:extLst>
                <a:ext uri="{FF2B5EF4-FFF2-40B4-BE49-F238E27FC236}">
                  <a16:creationId xmlns:a16="http://schemas.microsoft.com/office/drawing/2014/main" id="{5C1190B5-C091-D323-8914-41883C65B0B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14679167" y="31429532"/>
              <a:ext cx="5221813" cy="2852552"/>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editAs="oneCell">
    <xdr:from>
      <xdr:col>10</xdr:col>
      <xdr:colOff>815340</xdr:colOff>
      <xdr:row>2</xdr:row>
      <xdr:rowOff>130810</xdr:rowOff>
    </xdr:from>
    <xdr:to>
      <xdr:col>12</xdr:col>
      <xdr:colOff>237824</xdr:colOff>
      <xdr:row>15</xdr:row>
      <xdr:rowOff>90845</xdr:rowOff>
    </xdr:to>
    <mc:AlternateContent xmlns:mc="http://schemas.openxmlformats.org/markup-compatibility/2006" xmlns:a14="http://schemas.microsoft.com/office/drawing/2010/main">
      <mc:Choice Requires="a14">
        <xdr:graphicFrame macro="">
          <xdr:nvGraphicFramePr>
            <xdr:cNvPr id="11" name="Store Name 1">
              <a:extLst>
                <a:ext uri="{FF2B5EF4-FFF2-40B4-BE49-F238E27FC236}">
                  <a16:creationId xmlns:a16="http://schemas.microsoft.com/office/drawing/2014/main" id="{316A84BD-3FDD-73F2-5931-6B2FF3B32B74}"/>
                </a:ext>
              </a:extLst>
            </xdr:cNvPr>
            <xdr:cNvGraphicFramePr/>
          </xdr:nvGraphicFramePr>
          <xdr:xfrm>
            <a:off x="0" y="0"/>
            <a:ext cx="0" cy="0"/>
          </xdr:xfrm>
          <a:graphic>
            <a:graphicData uri="http://schemas.microsoft.com/office/drawing/2010/slicer">
              <sle:slicer xmlns:sle="http://schemas.microsoft.com/office/drawing/2010/slicer" name="Store Name 1"/>
            </a:graphicData>
          </a:graphic>
        </xdr:graphicFrame>
      </mc:Choice>
      <mc:Fallback xmlns="">
        <xdr:sp macro="" textlink="">
          <xdr:nvSpPr>
            <xdr:cNvPr id="0" name=""/>
            <xdr:cNvSpPr>
              <a:spLocks noTextEdit="1"/>
            </xdr:cNvSpPr>
          </xdr:nvSpPr>
          <xdr:spPr>
            <a:xfrm>
              <a:off x="14391640" y="486410"/>
              <a:ext cx="1825625" cy="23018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35560</xdr:colOff>
      <xdr:row>3</xdr:row>
      <xdr:rowOff>33020</xdr:rowOff>
    </xdr:from>
    <xdr:to>
      <xdr:col>15</xdr:col>
      <xdr:colOff>544222</xdr:colOff>
      <xdr:row>16</xdr:row>
      <xdr:rowOff>164526</xdr:rowOff>
    </xdr:to>
    <mc:AlternateContent xmlns:mc="http://schemas.openxmlformats.org/markup-compatibility/2006" xmlns:a14="http://schemas.microsoft.com/office/drawing/2010/main">
      <mc:Choice Requires="a14">
        <xdr:graphicFrame macro="">
          <xdr:nvGraphicFramePr>
            <xdr:cNvPr id="12" name="Lead Type">
              <a:extLst>
                <a:ext uri="{FF2B5EF4-FFF2-40B4-BE49-F238E27FC236}">
                  <a16:creationId xmlns:a16="http://schemas.microsoft.com/office/drawing/2014/main" id="{5A57DD35-54B1-1235-CD51-A51D93508864}"/>
                </a:ext>
              </a:extLst>
            </xdr:cNvPr>
            <xdr:cNvGraphicFramePr/>
          </xdr:nvGraphicFramePr>
          <xdr:xfrm>
            <a:off x="0" y="0"/>
            <a:ext cx="0" cy="0"/>
          </xdr:xfrm>
          <a:graphic>
            <a:graphicData uri="http://schemas.microsoft.com/office/drawing/2010/slicer">
              <sle:slicer xmlns:sle="http://schemas.microsoft.com/office/drawing/2010/slicer" name="Lead Type"/>
            </a:graphicData>
          </a:graphic>
        </xdr:graphicFrame>
      </mc:Choice>
      <mc:Fallback xmlns="">
        <xdr:sp macro="" textlink="">
          <xdr:nvSpPr>
            <xdr:cNvPr id="0" name=""/>
            <xdr:cNvSpPr>
              <a:spLocks noTextEdit="1"/>
            </xdr:cNvSpPr>
          </xdr:nvSpPr>
          <xdr:spPr>
            <a:xfrm>
              <a:off x="16888460" y="566420"/>
              <a:ext cx="1828800" cy="24669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576872</xdr:colOff>
      <xdr:row>114</xdr:row>
      <xdr:rowOff>67897</xdr:rowOff>
    </xdr:from>
    <xdr:to>
      <xdr:col>8</xdr:col>
      <xdr:colOff>798634</xdr:colOff>
      <xdr:row>129</xdr:row>
      <xdr:rowOff>144097</xdr:rowOff>
    </xdr:to>
    <xdr:graphicFrame macro="">
      <xdr:nvGraphicFramePr>
        <xdr:cNvPr id="2" name="Chart 1">
          <a:extLst>
            <a:ext uri="{FF2B5EF4-FFF2-40B4-BE49-F238E27FC236}">
              <a16:creationId xmlns:a16="http://schemas.microsoft.com/office/drawing/2014/main" id="{5245F67E-9FB7-A634-3AC1-ECDCA287CB0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2</xdr:col>
      <xdr:colOff>689161</xdr:colOff>
      <xdr:row>72</xdr:row>
      <xdr:rowOff>56028</xdr:rowOff>
    </xdr:from>
    <xdr:to>
      <xdr:col>4</xdr:col>
      <xdr:colOff>168088</xdr:colOff>
      <xdr:row>82</xdr:row>
      <xdr:rowOff>91514</xdr:rowOff>
    </xdr:to>
    <xdr:graphicFrame macro="">
      <xdr:nvGraphicFramePr>
        <xdr:cNvPr id="3" name="Chart 2">
          <a:extLst>
            <a:ext uri="{FF2B5EF4-FFF2-40B4-BE49-F238E27FC236}">
              <a16:creationId xmlns:a16="http://schemas.microsoft.com/office/drawing/2014/main" id="{24F9CD71-7FE4-3E1B-3750-908C679525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5</xdr:col>
      <xdr:colOff>204439</xdr:colOff>
      <xdr:row>2</xdr:row>
      <xdr:rowOff>35570</xdr:rowOff>
    </xdr:from>
    <xdr:to>
      <xdr:col>38</xdr:col>
      <xdr:colOff>321235</xdr:colOff>
      <xdr:row>53</xdr:row>
      <xdr:rowOff>111513</xdr:rowOff>
    </xdr:to>
    <xdr:grpSp>
      <xdr:nvGrpSpPr>
        <xdr:cNvPr id="8" name="Group 7">
          <a:extLst>
            <a:ext uri="{FF2B5EF4-FFF2-40B4-BE49-F238E27FC236}">
              <a16:creationId xmlns:a16="http://schemas.microsoft.com/office/drawing/2014/main" id="{79A0DEF1-5316-40E3-613A-676826EC955C}"/>
            </a:ext>
          </a:extLst>
        </xdr:cNvPr>
        <xdr:cNvGrpSpPr/>
      </xdr:nvGrpSpPr>
      <xdr:grpSpPr>
        <a:xfrm>
          <a:off x="3235121" y="416570"/>
          <a:ext cx="20119296" cy="9791443"/>
          <a:chOff x="5189414" y="459152"/>
          <a:chExt cx="16613680" cy="10057425"/>
        </a:xfrm>
      </xdr:grpSpPr>
      <xdr:pic>
        <xdr:nvPicPr>
          <xdr:cNvPr id="2" name="Picture 1">
            <a:extLst>
              <a:ext uri="{FF2B5EF4-FFF2-40B4-BE49-F238E27FC236}">
                <a16:creationId xmlns:a16="http://schemas.microsoft.com/office/drawing/2014/main" id="{722C4272-ABFF-BF43-B7A3-9B0679B2E0FB}"/>
              </a:ext>
            </a:extLst>
          </xdr:cNvPr>
          <xdr:cNvPicPr>
            <a:picLocks noChangeAspect="1"/>
          </xdr:cNvPicPr>
        </xdr:nvPicPr>
        <xdr:blipFill>
          <a:blip xmlns:r="http://schemas.openxmlformats.org/officeDocument/2006/relationships" r:embed="rId1"/>
          <a:stretch>
            <a:fillRect/>
          </a:stretch>
        </xdr:blipFill>
        <xdr:spPr>
          <a:xfrm>
            <a:off x="5189414" y="459152"/>
            <a:ext cx="16613680" cy="10057425"/>
          </a:xfrm>
          <a:prstGeom prst="rect">
            <a:avLst/>
          </a:prstGeom>
        </xdr:spPr>
      </xdr:pic>
      <xdr:grpSp>
        <xdr:nvGrpSpPr>
          <xdr:cNvPr id="4" name="Group 3">
            <a:extLst>
              <a:ext uri="{FF2B5EF4-FFF2-40B4-BE49-F238E27FC236}">
                <a16:creationId xmlns:a16="http://schemas.microsoft.com/office/drawing/2014/main" id="{1789346F-3B99-18EE-4A6C-A1E1F7C8FAE1}"/>
              </a:ext>
            </a:extLst>
          </xdr:cNvPr>
          <xdr:cNvGrpSpPr/>
        </xdr:nvGrpSpPr>
        <xdr:grpSpPr>
          <a:xfrm>
            <a:off x="6782778" y="560878"/>
            <a:ext cx="14940962" cy="1403455"/>
            <a:chOff x="6818924" y="555812"/>
            <a:chExt cx="14846698" cy="1289341"/>
          </a:xfrm>
        </xdr:grpSpPr>
        <xdr:sp macro="" textlink="">
          <xdr:nvSpPr>
            <xdr:cNvPr id="5" name="Rectangle: Rounded Corners 4">
              <a:extLst>
                <a:ext uri="{FF2B5EF4-FFF2-40B4-BE49-F238E27FC236}">
                  <a16:creationId xmlns:a16="http://schemas.microsoft.com/office/drawing/2014/main" id="{9CDA9080-834C-51D3-BE53-601B9D049E27}"/>
                </a:ext>
              </a:extLst>
            </xdr:cNvPr>
            <xdr:cNvSpPr/>
          </xdr:nvSpPr>
          <xdr:spPr>
            <a:xfrm>
              <a:off x="6818924" y="555812"/>
              <a:ext cx="14771076" cy="1235880"/>
            </a:xfrm>
            <a:prstGeom prst="roundRect">
              <a:avLst/>
            </a:prstGeom>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path path="circle">
                <a:fillToRect r="100000" b="100000"/>
              </a:path>
              <a:tileRect l="-100000" t="-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pic>
          <xdr:nvPicPr>
            <xdr:cNvPr id="6" name="Picture 5">
              <a:extLst>
                <a:ext uri="{FF2B5EF4-FFF2-40B4-BE49-F238E27FC236}">
                  <a16:creationId xmlns:a16="http://schemas.microsoft.com/office/drawing/2014/main" id="{FB80DC76-6975-AD04-99AA-78E1A6E3358A}"/>
                </a:ext>
              </a:extLst>
            </xdr:cNvPr>
            <xdr:cNvPicPr>
              <a:picLocks noChangeAspect="1"/>
            </xdr:cNvPicPr>
          </xdr:nvPicPr>
          <xdr:blipFill>
            <a:blip xmlns:r="http://schemas.openxmlformats.org/officeDocument/2006/relationships" r:embed="rId2"/>
            <a:stretch>
              <a:fillRect/>
            </a:stretch>
          </xdr:blipFill>
          <xdr:spPr>
            <a:xfrm>
              <a:off x="7111999" y="694724"/>
              <a:ext cx="3491914" cy="848814"/>
            </a:xfrm>
            <a:prstGeom prst="rect">
              <a:avLst/>
            </a:prstGeom>
            <a:ln>
              <a:solidFill>
                <a:srgbClr val="00B050"/>
              </a:solidFill>
            </a:ln>
            <a:effectLst>
              <a:glow rad="101600">
                <a:schemeClr val="accent5">
                  <a:satMod val="175000"/>
                  <a:alpha val="40000"/>
                </a:schemeClr>
              </a:glow>
            </a:effectLst>
          </xdr:spPr>
        </xdr:pic>
        <xdr:sp macro="" textlink="">
          <xdr:nvSpPr>
            <xdr:cNvPr id="7" name="TextBox 6">
              <a:extLst>
                <a:ext uri="{FF2B5EF4-FFF2-40B4-BE49-F238E27FC236}">
                  <a16:creationId xmlns:a16="http://schemas.microsoft.com/office/drawing/2014/main" id="{22F91BAA-6A89-A153-B0B1-7C6FEA042892}"/>
                </a:ext>
              </a:extLst>
            </xdr:cNvPr>
            <xdr:cNvSpPr txBox="1"/>
          </xdr:nvSpPr>
          <xdr:spPr>
            <a:xfrm>
              <a:off x="10668609" y="620637"/>
              <a:ext cx="10997013" cy="12245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6600" b="1">
                  <a:solidFill>
                    <a:schemeClr val="tx2"/>
                  </a:solidFill>
                  <a:effectLst>
                    <a:outerShdw blurRad="50800" dist="50800" dir="5400000" algn="ctr" rotWithShape="0">
                      <a:schemeClr val="accent6">
                        <a:lumMod val="75000"/>
                        <a:alpha val="59000"/>
                      </a:schemeClr>
                    </a:outerShdw>
                  </a:effectLst>
                </a:rPr>
                <a:t>Lead-to-Delivery Analytics Dashboard</a:t>
              </a:r>
            </a:p>
          </xdr:txBody>
        </xdr:sp>
      </xdr:grpSp>
    </xdr:grpSp>
    <xdr:clientData/>
  </xdr:twoCellAnchor>
  <xdr:twoCellAnchor>
    <xdr:from>
      <xdr:col>25</xdr:col>
      <xdr:colOff>361950</xdr:colOff>
      <xdr:row>10</xdr:row>
      <xdr:rowOff>106136</xdr:rowOff>
    </xdr:from>
    <xdr:to>
      <xdr:col>38</xdr:col>
      <xdr:colOff>239184</xdr:colOff>
      <xdr:row>30</xdr:row>
      <xdr:rowOff>67258</xdr:rowOff>
    </xdr:to>
    <xdr:grpSp>
      <xdr:nvGrpSpPr>
        <xdr:cNvPr id="15" name="Group 14">
          <a:extLst>
            <a:ext uri="{FF2B5EF4-FFF2-40B4-BE49-F238E27FC236}">
              <a16:creationId xmlns:a16="http://schemas.microsoft.com/office/drawing/2014/main" id="{D5C34173-42C3-ED68-8FF6-8594B1829FD4}"/>
            </a:ext>
          </a:extLst>
        </xdr:cNvPr>
        <xdr:cNvGrpSpPr/>
      </xdr:nvGrpSpPr>
      <xdr:grpSpPr>
        <a:xfrm>
          <a:off x="15515359" y="2011136"/>
          <a:ext cx="7757007" cy="3771122"/>
          <a:chOff x="16745018" y="2199619"/>
          <a:chExt cx="5915238" cy="4921529"/>
        </a:xfrm>
      </xdr:grpSpPr>
      <xdr:sp macro="" textlink="">
        <xdr:nvSpPr>
          <xdr:cNvPr id="10" name="Rectangle: Rounded Corners 9">
            <a:extLst>
              <a:ext uri="{FF2B5EF4-FFF2-40B4-BE49-F238E27FC236}">
                <a16:creationId xmlns:a16="http://schemas.microsoft.com/office/drawing/2014/main" id="{A308CE1A-D7C2-D3F5-99CF-B75B735EEC99}"/>
              </a:ext>
            </a:extLst>
          </xdr:cNvPr>
          <xdr:cNvSpPr/>
        </xdr:nvSpPr>
        <xdr:spPr>
          <a:xfrm>
            <a:off x="17235714" y="2239347"/>
            <a:ext cx="5424542" cy="4881801"/>
          </a:xfrm>
          <a:prstGeom prst="roundRect">
            <a:avLst>
              <a:gd name="adj" fmla="val 6196"/>
            </a:avLst>
          </a:prstGeom>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mc:AlternateContent xmlns:mc="http://schemas.openxmlformats.org/markup-compatibility/2006">
        <mc:Choice xmlns:cx2="http://schemas.microsoft.com/office/drawing/2015/10/21/chartex" Requires="cx2">
          <xdr:graphicFrame macro="">
            <xdr:nvGraphicFramePr>
              <xdr:cNvPr id="13" name="Chart 12">
                <a:extLst>
                  <a:ext uri="{FF2B5EF4-FFF2-40B4-BE49-F238E27FC236}">
                    <a16:creationId xmlns:a16="http://schemas.microsoft.com/office/drawing/2014/main" id="{B034662C-A7FD-4AC9-B501-382567EEBD02}"/>
                  </a:ext>
                </a:extLst>
              </xdr:cNvPr>
              <xdr:cNvGraphicFramePr/>
            </xdr:nvGraphicFramePr>
            <xdr:xfrm>
              <a:off x="17490781" y="2199619"/>
              <a:ext cx="4857897" cy="2024384"/>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7490781" y="2199619"/>
                <a:ext cx="4857897" cy="2024384"/>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graphicFrame macro="">
        <xdr:nvGraphicFramePr>
          <xdr:cNvPr id="14" name="Chart 13">
            <a:extLst>
              <a:ext uri="{FF2B5EF4-FFF2-40B4-BE49-F238E27FC236}">
                <a16:creationId xmlns:a16="http://schemas.microsoft.com/office/drawing/2014/main" id="{B417A187-35F3-4B9B-AACD-BB2AC4D62DC4}"/>
              </a:ext>
            </a:extLst>
          </xdr:cNvPr>
          <xdr:cNvGraphicFramePr>
            <a:graphicFrameLocks/>
          </xdr:cNvGraphicFramePr>
        </xdr:nvGraphicFramePr>
        <xdr:xfrm>
          <a:off x="16745018" y="3448667"/>
          <a:ext cx="5852248" cy="3392639"/>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7</xdr:col>
      <xdr:colOff>555626</xdr:colOff>
      <xdr:row>10</xdr:row>
      <xdr:rowOff>73268</xdr:rowOff>
    </xdr:from>
    <xdr:to>
      <xdr:col>21</xdr:col>
      <xdr:colOff>111511</xdr:colOff>
      <xdr:row>32</xdr:row>
      <xdr:rowOff>167270</xdr:rowOff>
    </xdr:to>
    <xdr:grpSp>
      <xdr:nvGrpSpPr>
        <xdr:cNvPr id="34" name="Group 33">
          <a:extLst>
            <a:ext uri="{FF2B5EF4-FFF2-40B4-BE49-F238E27FC236}">
              <a16:creationId xmlns:a16="http://schemas.microsoft.com/office/drawing/2014/main" id="{29A523ED-26DE-F8B0-B83A-8D69D987A3E1}"/>
            </a:ext>
          </a:extLst>
        </xdr:cNvPr>
        <xdr:cNvGrpSpPr/>
      </xdr:nvGrpSpPr>
      <xdr:grpSpPr>
        <a:xfrm>
          <a:off x="4798581" y="1978268"/>
          <a:ext cx="8041794" cy="4285002"/>
          <a:chOff x="4848846" y="1928206"/>
          <a:chExt cx="7969944" cy="4447971"/>
        </a:xfrm>
      </xdr:grpSpPr>
      <xdr:sp macro="" textlink="">
        <xdr:nvSpPr>
          <xdr:cNvPr id="9" name="Rectangle: Rounded Corners 8">
            <a:extLst>
              <a:ext uri="{FF2B5EF4-FFF2-40B4-BE49-F238E27FC236}">
                <a16:creationId xmlns:a16="http://schemas.microsoft.com/office/drawing/2014/main" id="{7E1CAFDA-B19E-CD5B-ED8C-2A26277EEEBE}"/>
              </a:ext>
            </a:extLst>
          </xdr:cNvPr>
          <xdr:cNvSpPr/>
        </xdr:nvSpPr>
        <xdr:spPr>
          <a:xfrm>
            <a:off x="5184202" y="1961194"/>
            <a:ext cx="7634588" cy="4414983"/>
          </a:xfrm>
          <a:prstGeom prst="roundRect">
            <a:avLst>
              <a:gd name="adj" fmla="val 6196"/>
            </a:avLst>
          </a:prstGeom>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8" name="Chart 17">
            <a:extLst>
              <a:ext uri="{FF2B5EF4-FFF2-40B4-BE49-F238E27FC236}">
                <a16:creationId xmlns:a16="http://schemas.microsoft.com/office/drawing/2014/main" id="{A7F13EDC-F12C-43B9-AD43-918CAA83F30C}"/>
              </a:ext>
            </a:extLst>
          </xdr:cNvPr>
          <xdr:cNvGraphicFramePr>
            <a:graphicFrameLocks/>
          </xdr:cNvGraphicFramePr>
        </xdr:nvGraphicFramePr>
        <xdr:xfrm>
          <a:off x="4848846" y="1928206"/>
          <a:ext cx="6031957" cy="4236714"/>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5</xdr:col>
      <xdr:colOff>297366</xdr:colOff>
      <xdr:row>33</xdr:row>
      <xdr:rowOff>16401</xdr:rowOff>
    </xdr:from>
    <xdr:to>
      <xdr:col>26</xdr:col>
      <xdr:colOff>366217</xdr:colOff>
      <xdr:row>52</xdr:row>
      <xdr:rowOff>151528</xdr:rowOff>
    </xdr:to>
    <xdr:grpSp>
      <xdr:nvGrpSpPr>
        <xdr:cNvPr id="32" name="Group 31">
          <a:extLst>
            <a:ext uri="{FF2B5EF4-FFF2-40B4-BE49-F238E27FC236}">
              <a16:creationId xmlns:a16="http://schemas.microsoft.com/office/drawing/2014/main" id="{197023AB-015A-9B4C-7D12-61B147BDB719}"/>
            </a:ext>
          </a:extLst>
        </xdr:cNvPr>
        <xdr:cNvGrpSpPr/>
      </xdr:nvGrpSpPr>
      <xdr:grpSpPr>
        <a:xfrm>
          <a:off x="3328048" y="6302901"/>
          <a:ext cx="12797714" cy="3754627"/>
          <a:chOff x="3452182" y="6509485"/>
          <a:chExt cx="12823108" cy="3676354"/>
        </a:xfrm>
      </xdr:grpSpPr>
      <xdr:sp macro="" textlink="">
        <xdr:nvSpPr>
          <xdr:cNvPr id="11" name="Rectangle: Rounded Corners 10">
            <a:extLst>
              <a:ext uri="{FF2B5EF4-FFF2-40B4-BE49-F238E27FC236}">
                <a16:creationId xmlns:a16="http://schemas.microsoft.com/office/drawing/2014/main" id="{8C18A7F5-D33B-29EC-D4BF-7FCA92A0C4AD}"/>
              </a:ext>
            </a:extLst>
          </xdr:cNvPr>
          <xdr:cNvSpPr/>
        </xdr:nvSpPr>
        <xdr:spPr>
          <a:xfrm>
            <a:off x="3452182" y="6522538"/>
            <a:ext cx="12823108" cy="3663301"/>
          </a:xfrm>
          <a:prstGeom prst="roundRect">
            <a:avLst>
              <a:gd name="adj" fmla="val 6196"/>
            </a:avLst>
          </a:prstGeom>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16" name="Chart 15">
            <a:extLst>
              <a:ext uri="{FF2B5EF4-FFF2-40B4-BE49-F238E27FC236}">
                <a16:creationId xmlns:a16="http://schemas.microsoft.com/office/drawing/2014/main" id="{D8430895-8021-458C-8D5E-05124606359C}"/>
              </a:ext>
            </a:extLst>
          </xdr:cNvPr>
          <xdr:cNvGraphicFramePr>
            <a:graphicFrameLocks/>
          </xdr:cNvGraphicFramePr>
        </xdr:nvGraphicFramePr>
        <xdr:xfrm>
          <a:off x="3741687" y="6596318"/>
          <a:ext cx="3316528" cy="3269166"/>
        </xdr:xfrm>
        <a:graphic>
          <a:graphicData uri="http://schemas.openxmlformats.org/drawingml/2006/chart">
            <c:chart xmlns:c="http://schemas.openxmlformats.org/drawingml/2006/chart" xmlns:r="http://schemas.openxmlformats.org/officeDocument/2006/relationships" r:id="rId6"/>
          </a:graphicData>
        </a:graphic>
      </xdr:graphicFrame>
      <xdr:graphicFrame macro="">
        <xdr:nvGraphicFramePr>
          <xdr:cNvPr id="19" name="Chart 18">
            <a:extLst>
              <a:ext uri="{FF2B5EF4-FFF2-40B4-BE49-F238E27FC236}">
                <a16:creationId xmlns:a16="http://schemas.microsoft.com/office/drawing/2014/main" id="{E132F6F9-065D-4C93-B120-D27FBC54BD93}"/>
              </a:ext>
            </a:extLst>
          </xdr:cNvPr>
          <xdr:cNvGraphicFramePr>
            <a:graphicFrameLocks/>
          </xdr:cNvGraphicFramePr>
        </xdr:nvGraphicFramePr>
        <xdr:xfrm>
          <a:off x="6947797" y="6509485"/>
          <a:ext cx="4352819" cy="3322545"/>
        </xdr:xfrm>
        <a:graphic>
          <a:graphicData uri="http://schemas.openxmlformats.org/drawingml/2006/chart">
            <c:chart xmlns:c="http://schemas.openxmlformats.org/drawingml/2006/chart" xmlns:r="http://schemas.openxmlformats.org/officeDocument/2006/relationships" r:id="rId7"/>
          </a:graphicData>
        </a:graphic>
      </xdr:graphicFrame>
      <xdr:graphicFrame macro="">
        <xdr:nvGraphicFramePr>
          <xdr:cNvPr id="20" name="Chart 19">
            <a:extLst>
              <a:ext uri="{FF2B5EF4-FFF2-40B4-BE49-F238E27FC236}">
                <a16:creationId xmlns:a16="http://schemas.microsoft.com/office/drawing/2014/main" id="{4AD66ED6-B0BB-4ED1-8327-12F5D220AA57}"/>
              </a:ext>
            </a:extLst>
          </xdr:cNvPr>
          <xdr:cNvGraphicFramePr>
            <a:graphicFrameLocks/>
          </xdr:cNvGraphicFramePr>
        </xdr:nvGraphicFramePr>
        <xdr:xfrm>
          <a:off x="11351434" y="6574151"/>
          <a:ext cx="4783584" cy="3504444"/>
        </xdr:xfrm>
        <a:graphic>
          <a:graphicData uri="http://schemas.openxmlformats.org/drawingml/2006/chart">
            <c:chart xmlns:c="http://schemas.openxmlformats.org/drawingml/2006/chart" xmlns:r="http://schemas.openxmlformats.org/officeDocument/2006/relationships" r:id="rId8"/>
          </a:graphicData>
        </a:graphic>
      </xdr:graphicFrame>
    </xdr:grpSp>
    <xdr:clientData/>
  </xdr:twoCellAnchor>
  <xdr:twoCellAnchor>
    <xdr:from>
      <xdr:col>26</xdr:col>
      <xdr:colOff>450980</xdr:colOff>
      <xdr:row>30</xdr:row>
      <xdr:rowOff>108858</xdr:rowOff>
    </xdr:from>
    <xdr:to>
      <xdr:col>38</xdr:col>
      <xdr:colOff>483577</xdr:colOff>
      <xdr:row>52</xdr:row>
      <xdr:rowOff>148683</xdr:rowOff>
    </xdr:to>
    <xdr:grpSp>
      <xdr:nvGrpSpPr>
        <xdr:cNvPr id="33" name="Group 32">
          <a:extLst>
            <a:ext uri="{FF2B5EF4-FFF2-40B4-BE49-F238E27FC236}">
              <a16:creationId xmlns:a16="http://schemas.microsoft.com/office/drawing/2014/main" id="{B8D767D4-63F9-F6E1-5763-AC8F7F278D38}"/>
            </a:ext>
          </a:extLst>
        </xdr:cNvPr>
        <xdr:cNvGrpSpPr/>
      </xdr:nvGrpSpPr>
      <xdr:grpSpPr>
        <a:xfrm>
          <a:off x="16210525" y="5823858"/>
          <a:ext cx="7306234" cy="4230825"/>
          <a:chOff x="16397224" y="5684468"/>
          <a:chExt cx="7525589" cy="4617483"/>
        </a:xfrm>
      </xdr:grpSpPr>
      <xdr:sp macro="" textlink="">
        <xdr:nvSpPr>
          <xdr:cNvPr id="12" name="Rectangle: Rounded Corners 11">
            <a:extLst>
              <a:ext uri="{FF2B5EF4-FFF2-40B4-BE49-F238E27FC236}">
                <a16:creationId xmlns:a16="http://schemas.microsoft.com/office/drawing/2014/main" id="{019D80D0-BA90-086E-4CAD-01654DF5E508}"/>
              </a:ext>
            </a:extLst>
          </xdr:cNvPr>
          <xdr:cNvSpPr/>
        </xdr:nvSpPr>
        <xdr:spPr>
          <a:xfrm>
            <a:off x="16397224" y="5684468"/>
            <a:ext cx="7128958" cy="4617483"/>
          </a:xfrm>
          <a:prstGeom prst="roundRect">
            <a:avLst>
              <a:gd name="adj" fmla="val 6196"/>
            </a:avLst>
          </a:prstGeom>
          <a:gradFill flip="none" rotWithShape="1">
            <a:gsLst>
              <a:gs pos="0">
                <a:srgbClr val="00B050">
                  <a:shade val="30000"/>
                  <a:satMod val="115000"/>
                </a:srgbClr>
              </a:gs>
              <a:gs pos="50000">
                <a:srgbClr val="00B050">
                  <a:shade val="67500"/>
                  <a:satMod val="115000"/>
                </a:srgbClr>
              </a:gs>
              <a:gs pos="100000">
                <a:srgbClr val="00B050">
                  <a:shade val="100000"/>
                  <a:satMod val="115000"/>
                </a:srgbClr>
              </a:gs>
            </a:gsLst>
            <a:lin ang="5400000" scaled="1"/>
            <a:tileRect/>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aphicFrame macro="">
        <xdr:nvGraphicFramePr>
          <xdr:cNvPr id="21" name="Chart 20">
            <a:extLst>
              <a:ext uri="{FF2B5EF4-FFF2-40B4-BE49-F238E27FC236}">
                <a16:creationId xmlns:a16="http://schemas.microsoft.com/office/drawing/2014/main" id="{5CA59500-6F97-4A21-81FD-1FF128B99B2B}"/>
              </a:ext>
            </a:extLst>
          </xdr:cNvPr>
          <xdr:cNvGraphicFramePr>
            <a:graphicFrameLocks/>
          </xdr:cNvGraphicFramePr>
        </xdr:nvGraphicFramePr>
        <xdr:xfrm>
          <a:off x="16506080" y="5792565"/>
          <a:ext cx="3695452" cy="4243534"/>
        </xdr:xfrm>
        <a:graphic>
          <a:graphicData uri="http://schemas.openxmlformats.org/drawingml/2006/chart">
            <c:chart xmlns:c="http://schemas.openxmlformats.org/drawingml/2006/chart" xmlns:r="http://schemas.openxmlformats.org/officeDocument/2006/relationships" r:id="rId9"/>
          </a:graphicData>
        </a:graphic>
      </xdr:graphicFrame>
      <xdr:graphicFrame macro="">
        <xdr:nvGraphicFramePr>
          <xdr:cNvPr id="22" name="Chart 21">
            <a:extLst>
              <a:ext uri="{FF2B5EF4-FFF2-40B4-BE49-F238E27FC236}">
                <a16:creationId xmlns:a16="http://schemas.microsoft.com/office/drawing/2014/main" id="{89F99F92-3275-456C-92ED-BAAC43C22328}"/>
              </a:ext>
            </a:extLst>
          </xdr:cNvPr>
          <xdr:cNvGraphicFramePr>
            <a:graphicFrameLocks/>
          </xdr:cNvGraphicFramePr>
        </xdr:nvGraphicFramePr>
        <xdr:xfrm>
          <a:off x="19688350" y="5854766"/>
          <a:ext cx="4234463" cy="4375401"/>
        </xdr:xfrm>
        <a:graphic>
          <a:graphicData uri="http://schemas.openxmlformats.org/drawingml/2006/chart">
            <c:chart xmlns:c="http://schemas.openxmlformats.org/drawingml/2006/chart" xmlns:r="http://schemas.openxmlformats.org/officeDocument/2006/relationships" r:id="rId10"/>
          </a:graphicData>
        </a:graphic>
      </xdr:graphicFrame>
    </xdr:grpSp>
    <xdr:clientData/>
  </xdr:twoCellAnchor>
  <xdr:twoCellAnchor>
    <xdr:from>
      <xdr:col>5</xdr:col>
      <xdr:colOff>319506</xdr:colOff>
      <xdr:row>10</xdr:row>
      <xdr:rowOff>76200</xdr:rowOff>
    </xdr:from>
    <xdr:to>
      <xdr:col>26</xdr:col>
      <xdr:colOff>446050</xdr:colOff>
      <xdr:row>42</xdr:row>
      <xdr:rowOff>78166</xdr:rowOff>
    </xdr:to>
    <xdr:grpSp>
      <xdr:nvGrpSpPr>
        <xdr:cNvPr id="31" name="Group 30">
          <a:extLst>
            <a:ext uri="{FF2B5EF4-FFF2-40B4-BE49-F238E27FC236}">
              <a16:creationId xmlns:a16="http://schemas.microsoft.com/office/drawing/2014/main" id="{D70FD690-2FA2-9025-F04B-0406A03DF4E5}"/>
            </a:ext>
          </a:extLst>
        </xdr:cNvPr>
        <xdr:cNvGrpSpPr/>
      </xdr:nvGrpSpPr>
      <xdr:grpSpPr>
        <a:xfrm>
          <a:off x="3350188" y="1981200"/>
          <a:ext cx="12855407" cy="6097966"/>
          <a:chOff x="3123350" y="1834662"/>
          <a:chExt cx="12967550" cy="5961986"/>
        </a:xfrm>
      </xdr:grpSpPr>
      <xdr:sp macro="" textlink="">
        <xdr:nvSpPr>
          <xdr:cNvPr id="23" name="Rectangle 22">
            <a:extLst>
              <a:ext uri="{FF2B5EF4-FFF2-40B4-BE49-F238E27FC236}">
                <a16:creationId xmlns:a16="http://schemas.microsoft.com/office/drawing/2014/main" id="{0E4486A6-9B72-E30C-57B2-6E010EBCD751}"/>
              </a:ext>
            </a:extLst>
          </xdr:cNvPr>
          <xdr:cNvSpPr/>
        </xdr:nvSpPr>
        <xdr:spPr>
          <a:xfrm>
            <a:off x="12738590" y="1834662"/>
            <a:ext cx="3276113" cy="4163157"/>
          </a:xfrm>
          <a:prstGeom prst="rect">
            <a:avLst/>
          </a:prstGeom>
          <a:solidFill>
            <a:schemeClr val="tx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5" name="TextBox 24">
            <a:extLst>
              <a:ext uri="{FF2B5EF4-FFF2-40B4-BE49-F238E27FC236}">
                <a16:creationId xmlns:a16="http://schemas.microsoft.com/office/drawing/2014/main" id="{7EF37A6C-B09C-CB4F-3A29-272DE27E10D7}"/>
              </a:ext>
            </a:extLst>
          </xdr:cNvPr>
          <xdr:cNvSpPr txBox="1"/>
        </xdr:nvSpPr>
        <xdr:spPr>
          <a:xfrm>
            <a:off x="12738588" y="1872762"/>
            <a:ext cx="3352312" cy="41323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900" b="1">
                <a:solidFill>
                  <a:schemeClr val="accent6"/>
                </a:solidFill>
              </a:rPr>
              <a:t>Total Leads  |  Leads Delivered</a:t>
            </a:r>
          </a:p>
        </xdr:txBody>
      </xdr:sp>
      <xdr:sp macro="" textlink="calculation!B4">
        <xdr:nvSpPr>
          <xdr:cNvPr id="3" name="TextBox 2">
            <a:extLst>
              <a:ext uri="{FF2B5EF4-FFF2-40B4-BE49-F238E27FC236}">
                <a16:creationId xmlns:a16="http://schemas.microsoft.com/office/drawing/2014/main" id="{48F12217-562B-E9EA-9079-B06FAC52E964}"/>
              </a:ext>
            </a:extLst>
          </xdr:cNvPr>
          <xdr:cNvSpPr txBox="1"/>
        </xdr:nvSpPr>
        <xdr:spPr>
          <a:xfrm>
            <a:off x="12776688" y="2243504"/>
            <a:ext cx="1251927" cy="628650"/>
          </a:xfrm>
          <a:prstGeom prst="rect">
            <a:avLst/>
          </a:prstGeom>
          <a:noFill/>
          <a:ln w="1270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2D192CA-5B41-4B69-A695-9F9672CA6A1D}" type="TxLink">
              <a:rPr lang="en-US" sz="3200" b="1" i="0" u="none" strike="noStrike">
                <a:solidFill>
                  <a:srgbClr val="00B0F0"/>
                </a:solidFill>
                <a:latin typeface="Calibri"/>
                <a:ea typeface="Calibri"/>
                <a:cs typeface="Calibri"/>
              </a:rPr>
              <a:pPr algn="ctr"/>
              <a:t>1000</a:t>
            </a:fld>
            <a:endParaRPr lang="en-IN" sz="28700" b="1">
              <a:solidFill>
                <a:srgbClr val="00B0F0"/>
              </a:solidFill>
            </a:endParaRPr>
          </a:p>
        </xdr:txBody>
      </xdr:sp>
      <xdr:sp macro="" textlink="calculation!D5">
        <xdr:nvSpPr>
          <xdr:cNvPr id="17" name="TextBox 16">
            <a:extLst>
              <a:ext uri="{FF2B5EF4-FFF2-40B4-BE49-F238E27FC236}">
                <a16:creationId xmlns:a16="http://schemas.microsoft.com/office/drawing/2014/main" id="{772636E7-12DA-0D86-F0FE-84716F3DBFC4}"/>
              </a:ext>
            </a:extLst>
          </xdr:cNvPr>
          <xdr:cNvSpPr txBox="1"/>
        </xdr:nvSpPr>
        <xdr:spPr>
          <a:xfrm>
            <a:off x="14445273" y="2224454"/>
            <a:ext cx="1321777" cy="627184"/>
          </a:xfrm>
          <a:prstGeom prst="rect">
            <a:avLst/>
          </a:prstGeom>
          <a:noFill/>
          <a:ln w="1270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44C59E5-BC17-40DF-B0D6-668094665B52}" type="TxLink">
              <a:rPr lang="en-US" sz="3200" b="1" i="0" u="none" strike="noStrike">
                <a:solidFill>
                  <a:srgbClr val="00B0F0"/>
                </a:solidFill>
                <a:effectLst/>
                <a:latin typeface="Calibri"/>
                <a:ea typeface="Calibri"/>
                <a:cs typeface="Calibri"/>
              </a:rPr>
              <a:pPr marL="0" indent="0" algn="ctr"/>
              <a:t>729</a:t>
            </a:fld>
            <a:endParaRPr lang="en-IN" sz="123400" b="1" i="0" u="none" strike="noStrike">
              <a:solidFill>
                <a:srgbClr val="00B0F0"/>
              </a:solidFill>
              <a:effectLst/>
              <a:latin typeface="+mn-lt"/>
              <a:ea typeface="+mn-ea"/>
              <a:cs typeface="+mn-cs"/>
            </a:endParaRPr>
          </a:p>
        </xdr:txBody>
      </xdr:sp>
      <xdr:sp macro="" textlink="">
        <xdr:nvSpPr>
          <xdr:cNvPr id="24" name="TextBox 23">
            <a:extLst>
              <a:ext uri="{FF2B5EF4-FFF2-40B4-BE49-F238E27FC236}">
                <a16:creationId xmlns:a16="http://schemas.microsoft.com/office/drawing/2014/main" id="{22B2C630-949F-3466-481A-8A2102B57B0D}"/>
              </a:ext>
            </a:extLst>
          </xdr:cNvPr>
          <xdr:cNvSpPr txBox="1"/>
        </xdr:nvSpPr>
        <xdr:spPr>
          <a:xfrm>
            <a:off x="13233888" y="2874922"/>
            <a:ext cx="2460870" cy="4469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900" b="1">
                <a:solidFill>
                  <a:schemeClr val="accent6"/>
                </a:solidFill>
              </a:rPr>
              <a:t>Avg</a:t>
            </a:r>
            <a:r>
              <a:rPr lang="en-IN" sz="1900" b="1" baseline="0">
                <a:solidFill>
                  <a:schemeClr val="accent6"/>
                </a:solidFill>
              </a:rPr>
              <a:t> Customer Rating</a:t>
            </a:r>
            <a:endParaRPr lang="en-IN" sz="1900" b="1">
              <a:solidFill>
                <a:schemeClr val="accent6"/>
              </a:solidFill>
            </a:endParaRPr>
          </a:p>
        </xdr:txBody>
      </xdr:sp>
      <xdr:sp macro="" textlink="calculation!C4">
        <xdr:nvSpPr>
          <xdr:cNvPr id="27" name="TextBox 26">
            <a:extLst>
              <a:ext uri="{FF2B5EF4-FFF2-40B4-BE49-F238E27FC236}">
                <a16:creationId xmlns:a16="http://schemas.microsoft.com/office/drawing/2014/main" id="{A047F64B-8846-FA42-8148-4E1CC407AED5}"/>
              </a:ext>
            </a:extLst>
          </xdr:cNvPr>
          <xdr:cNvSpPr txBox="1"/>
        </xdr:nvSpPr>
        <xdr:spPr>
          <a:xfrm>
            <a:off x="13750953" y="3230792"/>
            <a:ext cx="1135184" cy="627185"/>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ADEE788-2207-42E2-9422-2F3242342393}" type="TxLink">
              <a:rPr lang="en-US" sz="3600" b="1" i="0" u="none" strike="noStrike">
                <a:solidFill>
                  <a:srgbClr val="FFC000"/>
                </a:solidFill>
                <a:effectLst/>
                <a:latin typeface="Calibri"/>
                <a:ea typeface="Calibri"/>
                <a:cs typeface="Calibri"/>
              </a:rPr>
              <a:pPr marL="0" indent="0" algn="ctr"/>
              <a:t>4.85</a:t>
            </a:fld>
            <a:endParaRPr lang="en-IN" sz="71400" b="1" i="0" u="none" strike="noStrike">
              <a:solidFill>
                <a:srgbClr val="FFC000"/>
              </a:solidFill>
              <a:effectLst/>
              <a:latin typeface="+mn-lt"/>
              <a:ea typeface="+mn-ea"/>
              <a:cs typeface="+mn-cs"/>
            </a:endParaRPr>
          </a:p>
        </xdr:txBody>
      </xdr:sp>
      <mc:AlternateContent xmlns:mc="http://schemas.openxmlformats.org/markup-compatibility/2006">
        <mc:Choice xmlns:cx1="http://schemas.microsoft.com/office/drawing/2015/9/8/chartex" Requires="cx1">
          <xdr:graphicFrame macro="">
            <xdr:nvGraphicFramePr>
              <xdr:cNvPr id="28" name="Chart 27">
                <a:extLst>
                  <a:ext uri="{FF2B5EF4-FFF2-40B4-BE49-F238E27FC236}">
                    <a16:creationId xmlns:a16="http://schemas.microsoft.com/office/drawing/2014/main" id="{A2B5007A-B612-402A-BE2E-FA443854B975}"/>
                  </a:ext>
                </a:extLst>
              </xdr:cNvPr>
              <xdr:cNvGraphicFramePr/>
            </xdr:nvGraphicFramePr>
            <xdr:xfrm>
              <a:off x="12925777" y="4441743"/>
              <a:ext cx="2901462" cy="1653171"/>
            </xdr:xfrm>
            <a:graphic>
              <a:graphicData uri="http://schemas.microsoft.com/office/drawing/2014/chartex">
                <cx:chart xmlns:cx="http://schemas.microsoft.com/office/drawing/2014/chartex" xmlns:r="http://schemas.openxmlformats.org/officeDocument/2006/relationships" r:id="rId11"/>
              </a:graphicData>
            </a:graphic>
          </xdr:graphicFrame>
        </mc:Choice>
        <mc:Fallback>
          <xdr:sp macro="" textlink="">
            <xdr:nvSpPr>
              <xdr:cNvPr id="0" name=""/>
              <xdr:cNvSpPr>
                <a:spLocks noTextEdit="1"/>
              </xdr:cNvSpPr>
            </xdr:nvSpPr>
            <xdr:spPr>
              <a:xfrm>
                <a:off x="12925777" y="4441743"/>
                <a:ext cx="2901462" cy="1653171"/>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sp macro="" textlink="">
        <xdr:nvSpPr>
          <xdr:cNvPr id="29" name="TextBox 28">
            <a:extLst>
              <a:ext uri="{FF2B5EF4-FFF2-40B4-BE49-F238E27FC236}">
                <a16:creationId xmlns:a16="http://schemas.microsoft.com/office/drawing/2014/main" id="{1899BDB0-6C2A-76CD-6A56-F094E88EB979}"/>
              </a:ext>
            </a:extLst>
          </xdr:cNvPr>
          <xdr:cNvSpPr txBox="1"/>
        </xdr:nvSpPr>
        <xdr:spPr>
          <a:xfrm>
            <a:off x="12741517" y="3926091"/>
            <a:ext cx="3162789" cy="37237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900" b="1" baseline="0">
                <a:solidFill>
                  <a:schemeClr val="accent6"/>
                </a:solidFill>
              </a:rPr>
              <a:t>High Potential Lead per Store</a:t>
            </a:r>
            <a:endParaRPr lang="en-IN" sz="1900" b="1">
              <a:solidFill>
                <a:schemeClr val="accent6"/>
              </a:solidFill>
            </a:endParaRPr>
          </a:p>
        </xdr:txBody>
      </xdr:sp>
      <xdr:sp macro="" textlink="calculation!E4">
        <xdr:nvSpPr>
          <xdr:cNvPr id="38" name="TextBox 37">
            <a:extLst>
              <a:ext uri="{FF2B5EF4-FFF2-40B4-BE49-F238E27FC236}">
                <a16:creationId xmlns:a16="http://schemas.microsoft.com/office/drawing/2014/main" id="{8BA619E5-8BFF-245F-8A36-F0CE877183F0}"/>
              </a:ext>
            </a:extLst>
          </xdr:cNvPr>
          <xdr:cNvSpPr txBox="1"/>
        </xdr:nvSpPr>
        <xdr:spPr>
          <a:xfrm>
            <a:off x="3123350" y="6082418"/>
            <a:ext cx="2935534" cy="1712227"/>
          </a:xfrm>
          <a:prstGeom prst="roundRect">
            <a:avLst/>
          </a:prstGeom>
          <a:solidFill>
            <a:schemeClr val="tx2"/>
          </a:solidFill>
          <a:ln w="12700" cmpd="sng">
            <a:solidFill>
              <a:schemeClr val="accent6">
                <a:lumMod val="75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2000" b="1">
                <a:solidFill>
                  <a:schemeClr val="accent6">
                    <a:lumMod val="75000"/>
                  </a:schemeClr>
                </a:solidFill>
              </a:rPr>
              <a:t>Total Cancelled Leads</a:t>
            </a:r>
          </a:p>
        </xdr:txBody>
      </xdr:sp>
      <xdr:sp macro="" textlink="calculation!F4">
        <xdr:nvSpPr>
          <xdr:cNvPr id="37" name="TextBox 36">
            <a:extLst>
              <a:ext uri="{FF2B5EF4-FFF2-40B4-BE49-F238E27FC236}">
                <a16:creationId xmlns:a16="http://schemas.microsoft.com/office/drawing/2014/main" id="{463991C5-1803-A057-C881-C0FA4FF56C71}"/>
              </a:ext>
            </a:extLst>
          </xdr:cNvPr>
          <xdr:cNvSpPr txBox="1"/>
        </xdr:nvSpPr>
        <xdr:spPr>
          <a:xfrm>
            <a:off x="3910888" y="6407479"/>
            <a:ext cx="1251927" cy="628650"/>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7F01A04-C6AC-45E0-881D-513CC4C6B435}" type="TxLink">
              <a:rPr lang="en-US" sz="3200" b="1" i="0" u="none" strike="noStrike">
                <a:solidFill>
                  <a:srgbClr val="FF0000"/>
                </a:solidFill>
                <a:latin typeface="Calibri"/>
                <a:ea typeface="Calibri"/>
                <a:cs typeface="Calibri"/>
              </a:rPr>
              <a:pPr algn="ctr"/>
              <a:t>271</a:t>
            </a:fld>
            <a:endParaRPr lang="en-IN" sz="400000" b="1">
              <a:solidFill>
                <a:srgbClr val="FF0000"/>
              </a:solidFill>
            </a:endParaRPr>
          </a:p>
        </xdr:txBody>
      </xdr:sp>
      <xdr:sp macro="" textlink="calculation!J70">
        <xdr:nvSpPr>
          <xdr:cNvPr id="40" name="TextBox 39">
            <a:extLst>
              <a:ext uri="{FF2B5EF4-FFF2-40B4-BE49-F238E27FC236}">
                <a16:creationId xmlns:a16="http://schemas.microsoft.com/office/drawing/2014/main" id="{405F7031-BCBC-A24D-C2CF-C02718F3387B}"/>
              </a:ext>
            </a:extLst>
          </xdr:cNvPr>
          <xdr:cNvSpPr txBox="1"/>
        </xdr:nvSpPr>
        <xdr:spPr>
          <a:xfrm>
            <a:off x="3161852" y="7167998"/>
            <a:ext cx="1251927" cy="628650"/>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2B0EBAE-8AFD-4231-93E8-E7E37B51F947}" type="TxLink">
              <a:rPr lang="en-US" sz="2400" b="1" i="0" u="none" strike="noStrike">
                <a:solidFill>
                  <a:srgbClr val="FF0000"/>
                </a:solidFill>
                <a:latin typeface="Calibri"/>
                <a:ea typeface="Calibri"/>
                <a:cs typeface="Calibri"/>
              </a:rPr>
              <a:pPr algn="ctr"/>
              <a:t>188</a:t>
            </a:fld>
            <a:endParaRPr lang="en-IN" sz="59500" b="1">
              <a:solidFill>
                <a:srgbClr val="FF0000"/>
              </a:solidFill>
            </a:endParaRPr>
          </a:p>
        </xdr:txBody>
      </xdr:sp>
      <xdr:sp macro="" textlink="calculation!J77">
        <xdr:nvSpPr>
          <xdr:cNvPr id="41" name="TextBox 40">
            <a:extLst>
              <a:ext uri="{FF2B5EF4-FFF2-40B4-BE49-F238E27FC236}">
                <a16:creationId xmlns:a16="http://schemas.microsoft.com/office/drawing/2014/main" id="{59F897C7-2C12-24FB-BA4F-02B9D4362AB5}"/>
              </a:ext>
            </a:extLst>
          </xdr:cNvPr>
          <xdr:cNvSpPr txBox="1"/>
        </xdr:nvSpPr>
        <xdr:spPr>
          <a:xfrm>
            <a:off x="4721070" y="7167998"/>
            <a:ext cx="1251927" cy="628650"/>
          </a:xfrm>
          <a:prstGeom prst="rect">
            <a:avLst/>
          </a:prstGeom>
          <a:noFill/>
          <a:ln w="12700"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E56CD75-0475-47CF-B54F-CDC6864441D7}" type="TxLink">
              <a:rPr lang="en-US" sz="2400" b="1" i="0" u="none" strike="noStrike">
                <a:solidFill>
                  <a:srgbClr val="FF0000"/>
                </a:solidFill>
                <a:latin typeface="Calibri"/>
                <a:ea typeface="Calibri"/>
                <a:cs typeface="Calibri"/>
              </a:rPr>
              <a:pPr algn="ctr"/>
              <a:t>83</a:t>
            </a:fld>
            <a:endParaRPr lang="en-IN" sz="177700" b="1">
              <a:solidFill>
                <a:srgbClr val="FF0000"/>
              </a:solidFill>
            </a:endParaRPr>
          </a:p>
        </xdr:txBody>
      </xdr:sp>
    </xdr:grpSp>
    <xdr:clientData/>
  </xdr:twoCellAnchor>
  <xdr:twoCellAnchor editAs="oneCell">
    <xdr:from>
      <xdr:col>5</xdr:col>
      <xdr:colOff>243840</xdr:colOff>
      <xdr:row>10</xdr:row>
      <xdr:rowOff>123492</xdr:rowOff>
    </xdr:from>
    <xdr:to>
      <xdr:col>8</xdr:col>
      <xdr:colOff>227642</xdr:colOff>
      <xdr:row>18</xdr:row>
      <xdr:rowOff>137160</xdr:rowOff>
    </xdr:to>
    <mc:AlternateContent xmlns:mc="http://schemas.openxmlformats.org/markup-compatibility/2006" xmlns:a14="http://schemas.microsoft.com/office/drawing/2010/main">
      <mc:Choice Requires="a14">
        <xdr:graphicFrame macro="">
          <xdr:nvGraphicFramePr>
            <xdr:cNvPr id="35" name="Store Name 2">
              <a:extLst>
                <a:ext uri="{FF2B5EF4-FFF2-40B4-BE49-F238E27FC236}">
                  <a16:creationId xmlns:a16="http://schemas.microsoft.com/office/drawing/2014/main" id="{40C8333C-73B3-4175-9F83-C2DB79BC1D5B}"/>
                </a:ext>
              </a:extLst>
            </xdr:cNvPr>
            <xdr:cNvGraphicFramePr/>
          </xdr:nvGraphicFramePr>
          <xdr:xfrm>
            <a:off x="0" y="0"/>
            <a:ext cx="0" cy="0"/>
          </xdr:xfrm>
          <a:graphic>
            <a:graphicData uri="http://schemas.microsoft.com/office/drawing/2010/slicer">
              <sle:slicer xmlns:sle="http://schemas.microsoft.com/office/drawing/2010/slicer" name="Store Name 2"/>
            </a:graphicData>
          </a:graphic>
        </xdr:graphicFrame>
      </mc:Choice>
      <mc:Fallback xmlns="">
        <xdr:sp macro="" textlink="">
          <xdr:nvSpPr>
            <xdr:cNvPr id="0" name=""/>
            <xdr:cNvSpPr>
              <a:spLocks noTextEdit="1"/>
            </xdr:cNvSpPr>
          </xdr:nvSpPr>
          <xdr:spPr>
            <a:xfrm>
              <a:off x="3291840" y="1952292"/>
              <a:ext cx="1812602" cy="147670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259081</xdr:colOff>
      <xdr:row>21</xdr:row>
      <xdr:rowOff>73271</xdr:rowOff>
    </xdr:from>
    <xdr:to>
      <xdr:col>8</xdr:col>
      <xdr:colOff>219809</xdr:colOff>
      <xdr:row>28</xdr:row>
      <xdr:rowOff>0</xdr:rowOff>
    </xdr:to>
    <mc:AlternateContent xmlns:mc="http://schemas.openxmlformats.org/markup-compatibility/2006" xmlns:a14="http://schemas.microsoft.com/office/drawing/2010/main">
      <mc:Choice Requires="a14">
        <xdr:graphicFrame macro="">
          <xdr:nvGraphicFramePr>
            <xdr:cNvPr id="36" name="Lead Type 1">
              <a:extLst>
                <a:ext uri="{FF2B5EF4-FFF2-40B4-BE49-F238E27FC236}">
                  <a16:creationId xmlns:a16="http://schemas.microsoft.com/office/drawing/2014/main" id="{AECB48EE-095F-4D03-9307-55984EF5A298}"/>
                </a:ext>
              </a:extLst>
            </xdr:cNvPr>
            <xdr:cNvGraphicFramePr/>
          </xdr:nvGraphicFramePr>
          <xdr:xfrm>
            <a:off x="0" y="0"/>
            <a:ext cx="0" cy="0"/>
          </xdr:xfrm>
          <a:graphic>
            <a:graphicData uri="http://schemas.microsoft.com/office/drawing/2010/slicer">
              <sle:slicer xmlns:sle="http://schemas.microsoft.com/office/drawing/2010/slicer" name="Lead Type 1"/>
            </a:graphicData>
          </a:graphic>
        </xdr:graphicFrame>
      </mc:Choice>
      <mc:Fallback xmlns="">
        <xdr:sp macro="" textlink="">
          <xdr:nvSpPr>
            <xdr:cNvPr id="0" name=""/>
            <xdr:cNvSpPr>
              <a:spLocks noTextEdit="1"/>
            </xdr:cNvSpPr>
          </xdr:nvSpPr>
          <xdr:spPr>
            <a:xfrm>
              <a:off x="3307081" y="3913751"/>
              <a:ext cx="1789528" cy="120688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42742</xdr:colOff>
      <xdr:row>15</xdr:row>
      <xdr:rowOff>175845</xdr:rowOff>
    </xdr:from>
    <xdr:to>
      <xdr:col>22</xdr:col>
      <xdr:colOff>306511</xdr:colOff>
      <xdr:row>31</xdr:row>
      <xdr:rowOff>105506</xdr:rowOff>
    </xdr:to>
    <xdr:graphicFrame macro="">
      <xdr:nvGraphicFramePr>
        <xdr:cNvPr id="26" name="Chart 25">
          <a:extLst>
            <a:ext uri="{FF2B5EF4-FFF2-40B4-BE49-F238E27FC236}">
              <a16:creationId xmlns:a16="http://schemas.microsoft.com/office/drawing/2014/main" id="{20AF95A9-5003-4DC2-A44D-E4F57C03D0C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5</xdr:col>
      <xdr:colOff>186584</xdr:colOff>
      <xdr:row>42</xdr:row>
      <xdr:rowOff>121919</xdr:rowOff>
    </xdr:from>
    <xdr:to>
      <xdr:col>10</xdr:col>
      <xdr:colOff>502920</xdr:colOff>
      <xdr:row>54</xdr:row>
      <xdr:rowOff>177018</xdr:rowOff>
    </xdr:to>
    <xdr:graphicFrame macro="">
      <xdr:nvGraphicFramePr>
        <xdr:cNvPr id="30" name="Chart 29">
          <a:extLst>
            <a:ext uri="{FF2B5EF4-FFF2-40B4-BE49-F238E27FC236}">
              <a16:creationId xmlns:a16="http://schemas.microsoft.com/office/drawing/2014/main" id="{F2D59AF5-F1D7-454B-A668-127A090516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5</xdr:col>
      <xdr:colOff>381000</xdr:colOff>
      <xdr:row>37</xdr:row>
      <xdr:rowOff>167640</xdr:rowOff>
    </xdr:from>
    <xdr:to>
      <xdr:col>10</xdr:col>
      <xdr:colOff>137160</xdr:colOff>
      <xdr:row>40</xdr:row>
      <xdr:rowOff>0</xdr:rowOff>
    </xdr:to>
    <xdr:sp macro="" textlink="">
      <xdr:nvSpPr>
        <xdr:cNvPr id="39" name="TextBox 38">
          <a:extLst>
            <a:ext uri="{FF2B5EF4-FFF2-40B4-BE49-F238E27FC236}">
              <a16:creationId xmlns:a16="http://schemas.microsoft.com/office/drawing/2014/main" id="{89CB2527-448A-7386-2E63-14068788239B}"/>
            </a:ext>
          </a:extLst>
        </xdr:cNvPr>
        <xdr:cNvSpPr txBox="1"/>
      </xdr:nvSpPr>
      <xdr:spPr>
        <a:xfrm>
          <a:off x="3429000" y="6934200"/>
          <a:ext cx="2804160" cy="381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400" b="1">
              <a:solidFill>
                <a:schemeClr val="accent6">
                  <a:lumMod val="75000"/>
                </a:schemeClr>
              </a:solidFill>
            </a:rPr>
            <a:t>Pre-Booking Stage </a:t>
          </a:r>
          <a:r>
            <a:rPr lang="en-IN" sz="1400" b="1" baseline="0">
              <a:solidFill>
                <a:schemeClr val="accent6">
                  <a:lumMod val="75000"/>
                </a:schemeClr>
              </a:solidFill>
            </a:rPr>
            <a:t> </a:t>
          </a:r>
          <a:r>
            <a:rPr lang="en-IN" sz="1400" b="1">
              <a:solidFill>
                <a:schemeClr val="accent6">
                  <a:lumMod val="75000"/>
                </a:schemeClr>
              </a:solidFill>
            </a:rPr>
            <a:t> </a:t>
          </a:r>
          <a:r>
            <a:rPr lang="en-IN" sz="1400" b="1" baseline="0">
              <a:solidFill>
                <a:schemeClr val="accent6">
                  <a:lumMod val="75000"/>
                </a:schemeClr>
              </a:solidFill>
            </a:rPr>
            <a:t>  Post Booking</a:t>
          </a: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shish raj" refreshedDate="45962.847152083334" createdVersion="8" refreshedVersion="8" minRefreshableVersion="3" recordCount="1000" xr:uid="{214765DD-0590-4E1B-B5B2-9E48D996E94E}">
  <cacheSource type="worksheet">
    <worksheetSource name="Data"/>
  </cacheSource>
  <cacheFields count="17">
    <cacheField name="Lead ID" numFmtId="0">
      <sharedItems/>
    </cacheField>
    <cacheField name="Store Name" numFmtId="0">
      <sharedItems count="4">
        <s v="Bangalore MBC"/>
        <s v="Delhi MBC"/>
        <s v="Mumbai MBC"/>
        <s v="Chennai MBC"/>
      </sharedItems>
    </cacheField>
    <cacheField name="Lead Type" numFmtId="0">
      <sharedItems count="3">
        <s v="Warm"/>
        <s v="Cold"/>
        <s v="Hot"/>
      </sharedItems>
    </cacheField>
    <cacheField name="Lead Potential" numFmtId="0">
      <sharedItems count="2">
        <s v="High Potential"/>
        <s v="Normal"/>
      </sharedItems>
    </cacheField>
    <cacheField name="Lead Date" numFmtId="164">
      <sharedItems containsSemiMixedTypes="0" containsNonDate="0" containsDate="1" containsString="0" minDate="2025-10-01T00:00:00" maxDate="2025-11-01T00:00:00"/>
    </cacheField>
    <cacheField name="Pre-Booking Date" numFmtId="0">
      <sharedItems containsNonDate="0" containsDate="1" containsString="0" containsBlank="1" minDate="2025-10-02T00:00:00" maxDate="2025-11-06T00:00:00" count="36">
        <d v="2025-10-25T00:00:00"/>
        <d v="2025-10-14T00:00:00"/>
        <m/>
        <d v="2025-10-18T00:00:00"/>
        <d v="2025-10-31T00:00:00"/>
        <d v="2025-10-20T00:00:00"/>
        <d v="2025-10-05T00:00:00"/>
        <d v="2025-10-17T00:00:00"/>
        <d v="2025-11-04T00:00:00"/>
        <d v="2025-10-24T00:00:00"/>
        <d v="2025-11-01T00:00:00"/>
        <d v="2025-10-30T00:00:00"/>
        <d v="2025-10-27T00:00:00"/>
        <d v="2025-10-06T00:00:00"/>
        <d v="2025-10-15T00:00:00"/>
        <d v="2025-10-07T00:00:00"/>
        <d v="2025-10-21T00:00:00"/>
        <d v="2025-10-11T00:00:00"/>
        <d v="2025-10-23T00:00:00"/>
        <d v="2025-10-13T00:00:00"/>
        <d v="2025-10-12T00:00:00"/>
        <d v="2025-10-10T00:00:00"/>
        <d v="2025-10-19T00:00:00"/>
        <d v="2025-10-29T00:00:00"/>
        <d v="2025-10-16T00:00:00"/>
        <d v="2025-10-26T00:00:00"/>
        <d v="2025-10-04T00:00:00"/>
        <d v="2025-10-09T00:00:00"/>
        <d v="2025-10-28T00:00:00"/>
        <d v="2025-10-02T00:00:00"/>
        <d v="2025-10-08T00:00:00"/>
        <d v="2025-10-22T00:00:00"/>
        <d v="2025-11-05T00:00:00"/>
        <d v="2025-10-03T00:00:00"/>
        <d v="2025-11-02T00:00:00"/>
        <d v="2025-11-03T00:00:00"/>
      </sharedItems>
    </cacheField>
    <cacheField name="Booking Date" numFmtId="0">
      <sharedItems containsNonDate="0" containsDate="1" containsString="0" containsBlank="1" minDate="2025-10-03T00:00:00" maxDate="2025-11-11T00:00:00" count="40">
        <d v="2025-10-29T00:00:00"/>
        <d v="2025-10-19T00:00:00"/>
        <m/>
        <d v="2025-10-21T00:00:00"/>
        <d v="2025-11-04T00:00:00"/>
        <d v="2025-10-08T00:00:00"/>
        <d v="2025-10-20T00:00:00"/>
        <d v="2025-11-05T00:00:00"/>
        <d v="2025-10-28T00:00:00"/>
        <d v="2025-11-06T00:00:00"/>
        <d v="2025-11-02T00:00:00"/>
        <d v="2025-10-18T00:00:00"/>
        <d v="2025-11-01T00:00:00"/>
        <d v="2025-10-10T00:00:00"/>
        <d v="2025-10-12T00:00:00"/>
        <d v="2025-10-30T00:00:00"/>
        <d v="2025-10-23T00:00:00"/>
        <d v="2025-10-15T00:00:00"/>
        <d v="2025-10-27T00:00:00"/>
        <d v="2025-11-09T00:00:00"/>
        <d v="2025-10-16T00:00:00"/>
        <d v="2025-10-13T00:00:00"/>
        <d v="2025-11-03T00:00:00"/>
        <d v="2025-10-14T00:00:00"/>
        <d v="2025-10-22T00:00:00"/>
        <d v="2025-10-17T00:00:00"/>
        <d v="2025-10-26T00:00:00"/>
        <d v="2025-10-25T00:00:00"/>
        <d v="2025-10-24T00:00:00"/>
        <d v="2025-10-06T00:00:00"/>
        <d v="2025-10-11T00:00:00"/>
        <d v="2025-10-31T00:00:00"/>
        <d v="2025-10-05T00:00:00"/>
        <d v="2025-11-08T00:00:00"/>
        <d v="2025-10-04T00:00:00"/>
        <d v="2025-10-03T00:00:00"/>
        <d v="2025-10-07T00:00:00"/>
        <d v="2025-10-09T00:00:00"/>
        <d v="2025-11-07T00:00:00"/>
        <d v="2025-11-10T00:00:00"/>
      </sharedItems>
    </cacheField>
    <cacheField name="Delivery Date" numFmtId="0">
      <sharedItems containsNonDate="0" containsDate="1" containsString="0" containsBlank="1" minDate="2025-10-06T00:00:00" maxDate="2025-11-18T00:00:00"/>
    </cacheField>
    <cacheField name="Cancellation Status" numFmtId="0">
      <sharedItems count="2">
        <s v="No"/>
        <s v="Yes"/>
      </sharedItems>
    </cacheField>
    <cacheField name="Cancellation Reason" numFmtId="0">
      <sharedItems containsBlank="1" count="6">
        <m/>
        <s v="Other"/>
        <s v="Model Unavailable"/>
        <s v="Changed Mind"/>
        <s v="Financing Issue"/>
        <s v="Price"/>
      </sharedItems>
    </cacheField>
    <cacheField name="Service Follow-up Date" numFmtId="0">
      <sharedItems containsNonDate="0" containsDate="1" containsString="0" containsBlank="1" minDate="2025-10-19T00:00:00" maxDate="2025-12-16T00:00:00"/>
    </cacheField>
    <cacheField name="Service Follow-up Time(Days)" numFmtId="0">
      <sharedItems containsMixedTypes="1" containsNumber="1" containsInteger="1" minValue="10" maxValue="30"/>
    </cacheField>
    <cacheField name="TAT Pre-Booking (Days)" numFmtId="0">
      <sharedItems containsString="0" containsBlank="1" containsNumber="1" containsInteger="1" minValue="1" maxValue="5"/>
    </cacheField>
    <cacheField name="TAT Booking (Days)" numFmtId="0">
      <sharedItems containsString="0" containsBlank="1" containsNumber="1" containsInteger="1" minValue="1" maxValue="5"/>
    </cacheField>
    <cacheField name="TAT Delivery (Days)" numFmtId="0">
      <sharedItems containsString="0" containsBlank="1" containsNumber="1" containsInteger="1" minValue="2" maxValue="7"/>
    </cacheField>
    <cacheField name="Customer Rating" numFmtId="0">
      <sharedItems containsString="0" containsBlank="1" containsNumber="1" containsInteger="1" minValue="0" maxValue="10"/>
    </cacheField>
    <cacheField name="NPS Category" numFmtId="0">
      <sharedItems count="4">
        <s v="Detractor"/>
        <s v="Passive"/>
        <s v="No Rating"/>
        <s v="Promoter"/>
      </sharedItems>
    </cacheField>
  </cacheFields>
  <extLst>
    <ext xmlns:x14="http://schemas.microsoft.com/office/spreadsheetml/2009/9/main" uri="{725AE2AE-9491-48be-B2B4-4EB974FC3084}">
      <x14:pivotCacheDefinition pivotCacheId="115012171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L1000"/>
    <x v="0"/>
    <x v="0"/>
    <x v="0"/>
    <d v="2025-10-21T00:00:00"/>
    <x v="0"/>
    <x v="0"/>
    <d v="2025-11-03T00:00:00"/>
    <x v="0"/>
    <x v="0"/>
    <d v="2025-11-28T00:00:00"/>
    <n v="25"/>
    <n v="4"/>
    <n v="4"/>
    <n v="5"/>
    <n v="2"/>
    <x v="0"/>
  </r>
  <r>
    <s v="L1001"/>
    <x v="1"/>
    <x v="0"/>
    <x v="0"/>
    <d v="2025-10-11T00:00:00"/>
    <x v="1"/>
    <x v="1"/>
    <d v="2025-10-26T00:00:00"/>
    <x v="0"/>
    <x v="0"/>
    <d v="2025-11-22T00:00:00"/>
    <n v="27"/>
    <n v="3"/>
    <n v="5"/>
    <n v="7"/>
    <n v="8"/>
    <x v="1"/>
  </r>
  <r>
    <s v="L1002"/>
    <x v="2"/>
    <x v="1"/>
    <x v="1"/>
    <d v="2025-10-01T00:00:00"/>
    <x v="2"/>
    <x v="2"/>
    <m/>
    <x v="1"/>
    <x v="1"/>
    <m/>
    <s v=""/>
    <m/>
    <m/>
    <m/>
    <m/>
    <x v="2"/>
  </r>
  <r>
    <s v="L1003"/>
    <x v="0"/>
    <x v="1"/>
    <x v="1"/>
    <d v="2025-10-28T00:00:00"/>
    <x v="2"/>
    <x v="2"/>
    <m/>
    <x v="1"/>
    <x v="2"/>
    <m/>
    <s v=""/>
    <m/>
    <m/>
    <m/>
    <m/>
    <x v="2"/>
  </r>
  <r>
    <s v="L1004"/>
    <x v="1"/>
    <x v="0"/>
    <x v="0"/>
    <d v="2025-10-14T00:00:00"/>
    <x v="3"/>
    <x v="3"/>
    <d v="2025-10-24T00:00:00"/>
    <x v="0"/>
    <x v="0"/>
    <d v="2025-11-12T00:00:00"/>
    <n v="19"/>
    <n v="4"/>
    <n v="3"/>
    <n v="3"/>
    <n v="8"/>
    <x v="1"/>
  </r>
  <r>
    <s v="L1005"/>
    <x v="1"/>
    <x v="0"/>
    <x v="0"/>
    <d v="2025-10-27T00:00:00"/>
    <x v="4"/>
    <x v="4"/>
    <d v="2025-11-07T00:00:00"/>
    <x v="0"/>
    <x v="0"/>
    <d v="2025-11-22T00:00:00"/>
    <n v="15"/>
    <n v="4"/>
    <n v="4"/>
    <n v="3"/>
    <n v="9"/>
    <x v="3"/>
  </r>
  <r>
    <s v="L1006"/>
    <x v="2"/>
    <x v="2"/>
    <x v="0"/>
    <d v="2025-10-16T00:00:00"/>
    <x v="5"/>
    <x v="3"/>
    <d v="2025-10-28T00:00:00"/>
    <x v="0"/>
    <x v="0"/>
    <d v="2025-11-22T00:00:00"/>
    <n v="25"/>
    <n v="4"/>
    <n v="1"/>
    <n v="7"/>
    <n v="10"/>
    <x v="3"/>
  </r>
  <r>
    <s v="L1007"/>
    <x v="3"/>
    <x v="0"/>
    <x v="1"/>
    <d v="2025-10-04T00:00:00"/>
    <x v="6"/>
    <x v="5"/>
    <d v="2025-10-15T00:00:00"/>
    <x v="1"/>
    <x v="3"/>
    <m/>
    <s v=""/>
    <n v="1"/>
    <n v="3"/>
    <n v="7"/>
    <m/>
    <x v="2"/>
  </r>
  <r>
    <s v="L1008"/>
    <x v="0"/>
    <x v="2"/>
    <x v="0"/>
    <d v="2025-10-14T00:00:00"/>
    <x v="7"/>
    <x v="6"/>
    <d v="2025-10-25T00:00:00"/>
    <x v="0"/>
    <x v="0"/>
    <d v="2025-11-05T00:00:00"/>
    <n v="11"/>
    <n v="3"/>
    <n v="3"/>
    <n v="5"/>
    <n v="8"/>
    <x v="1"/>
  </r>
  <r>
    <s v="L1009"/>
    <x v="2"/>
    <x v="0"/>
    <x v="0"/>
    <d v="2025-10-31T00:00:00"/>
    <x v="8"/>
    <x v="7"/>
    <d v="2025-11-10T00:00:00"/>
    <x v="0"/>
    <x v="0"/>
    <d v="2025-11-22T00:00:00"/>
    <n v="12"/>
    <n v="4"/>
    <n v="1"/>
    <n v="5"/>
    <n v="6"/>
    <x v="0"/>
  </r>
  <r>
    <s v="L1010"/>
    <x v="0"/>
    <x v="1"/>
    <x v="1"/>
    <d v="2025-10-12T00:00:00"/>
    <x v="2"/>
    <x v="2"/>
    <m/>
    <x v="1"/>
    <x v="1"/>
    <m/>
    <s v=""/>
    <m/>
    <m/>
    <m/>
    <m/>
    <x v="2"/>
  </r>
  <r>
    <s v="L1011"/>
    <x v="1"/>
    <x v="0"/>
    <x v="0"/>
    <d v="2025-10-21T00:00:00"/>
    <x v="9"/>
    <x v="8"/>
    <d v="2025-10-30T00:00:00"/>
    <x v="0"/>
    <x v="0"/>
    <d v="2025-11-10T00:00:00"/>
    <n v="11"/>
    <n v="3"/>
    <n v="4"/>
    <n v="2"/>
    <n v="0"/>
    <x v="0"/>
  </r>
  <r>
    <s v="L1012"/>
    <x v="1"/>
    <x v="0"/>
    <x v="0"/>
    <d v="2025-10-29T00:00:00"/>
    <x v="10"/>
    <x v="9"/>
    <d v="2025-11-13T00:00:00"/>
    <x v="0"/>
    <x v="0"/>
    <d v="2025-11-30T00:00:00"/>
    <n v="17"/>
    <n v="3"/>
    <n v="5"/>
    <n v="7"/>
    <n v="10"/>
    <x v="3"/>
  </r>
  <r>
    <s v="L1013"/>
    <x v="3"/>
    <x v="0"/>
    <x v="0"/>
    <d v="2025-10-27T00:00:00"/>
    <x v="11"/>
    <x v="10"/>
    <d v="2025-11-08T00:00:00"/>
    <x v="0"/>
    <x v="0"/>
    <d v="2025-12-07T00:00:00"/>
    <n v="29"/>
    <n v="3"/>
    <n v="3"/>
    <n v="6"/>
    <n v="2"/>
    <x v="0"/>
  </r>
  <r>
    <s v="L1014"/>
    <x v="1"/>
    <x v="2"/>
    <x v="1"/>
    <d v="2025-10-15T00:00:00"/>
    <x v="7"/>
    <x v="11"/>
    <d v="2025-10-21T00:00:00"/>
    <x v="1"/>
    <x v="3"/>
    <m/>
    <s v=""/>
    <n v="2"/>
    <n v="1"/>
    <n v="3"/>
    <m/>
    <x v="2"/>
  </r>
  <r>
    <s v="L1015"/>
    <x v="1"/>
    <x v="0"/>
    <x v="0"/>
    <d v="2025-10-23T00:00:00"/>
    <x v="12"/>
    <x v="12"/>
    <d v="2025-11-06T00:00:00"/>
    <x v="0"/>
    <x v="0"/>
    <d v="2025-11-23T00:00:00"/>
    <n v="17"/>
    <n v="4"/>
    <n v="5"/>
    <n v="5"/>
    <n v="8"/>
    <x v="1"/>
  </r>
  <r>
    <s v="L1016"/>
    <x v="2"/>
    <x v="2"/>
    <x v="0"/>
    <d v="2025-10-05T00:00:00"/>
    <x v="13"/>
    <x v="13"/>
    <d v="2025-10-16T00:00:00"/>
    <x v="0"/>
    <x v="0"/>
    <d v="2025-10-26T00:00:00"/>
    <n v="10"/>
    <n v="1"/>
    <n v="4"/>
    <n v="6"/>
    <n v="2"/>
    <x v="0"/>
  </r>
  <r>
    <s v="L1017"/>
    <x v="0"/>
    <x v="2"/>
    <x v="0"/>
    <d v="2025-10-14T00:00:00"/>
    <x v="14"/>
    <x v="11"/>
    <d v="2025-10-23T00:00:00"/>
    <x v="0"/>
    <x v="0"/>
    <d v="2025-11-18T00:00:00"/>
    <n v="26"/>
    <n v="1"/>
    <n v="3"/>
    <n v="5"/>
    <n v="0"/>
    <x v="0"/>
  </r>
  <r>
    <s v="L1018"/>
    <x v="0"/>
    <x v="0"/>
    <x v="0"/>
    <d v="2025-10-06T00:00:00"/>
    <x v="15"/>
    <x v="14"/>
    <d v="2025-10-17T00:00:00"/>
    <x v="0"/>
    <x v="0"/>
    <d v="2025-11-11T00:00:00"/>
    <n v="25"/>
    <n v="1"/>
    <n v="5"/>
    <n v="5"/>
    <n v="5"/>
    <x v="0"/>
  </r>
  <r>
    <s v="L1019"/>
    <x v="2"/>
    <x v="0"/>
    <x v="0"/>
    <d v="2025-10-24T00:00:00"/>
    <x v="0"/>
    <x v="15"/>
    <d v="2025-11-01T00:00:00"/>
    <x v="0"/>
    <x v="0"/>
    <d v="2025-11-11T00:00:00"/>
    <n v="10"/>
    <n v="1"/>
    <n v="5"/>
    <n v="2"/>
    <n v="4"/>
    <x v="0"/>
  </r>
  <r>
    <s v="L1020"/>
    <x v="3"/>
    <x v="0"/>
    <x v="0"/>
    <d v="2025-10-17T00:00:00"/>
    <x v="16"/>
    <x v="16"/>
    <d v="2025-10-30T00:00:00"/>
    <x v="0"/>
    <x v="0"/>
    <d v="2025-11-19T00:00:00"/>
    <n v="20"/>
    <n v="4"/>
    <n v="2"/>
    <n v="7"/>
    <n v="6"/>
    <x v="0"/>
  </r>
  <r>
    <s v="L1021"/>
    <x v="0"/>
    <x v="2"/>
    <x v="0"/>
    <d v="2025-10-31T00:00:00"/>
    <x v="10"/>
    <x v="10"/>
    <d v="2025-11-05T00:00:00"/>
    <x v="0"/>
    <x v="0"/>
    <d v="2025-12-04T00:00:00"/>
    <n v="29"/>
    <n v="1"/>
    <n v="1"/>
    <n v="3"/>
    <n v="3"/>
    <x v="0"/>
  </r>
  <r>
    <s v="L1022"/>
    <x v="1"/>
    <x v="0"/>
    <x v="0"/>
    <d v="2025-10-21T00:00:00"/>
    <x v="9"/>
    <x v="0"/>
    <d v="2025-11-01T00:00:00"/>
    <x v="0"/>
    <x v="0"/>
    <d v="2025-11-17T00:00:00"/>
    <n v="16"/>
    <n v="3"/>
    <n v="5"/>
    <n v="3"/>
    <n v="8"/>
    <x v="1"/>
  </r>
  <r>
    <s v="L1023"/>
    <x v="0"/>
    <x v="0"/>
    <x v="0"/>
    <d v="2025-10-09T00:00:00"/>
    <x v="17"/>
    <x v="17"/>
    <d v="2025-10-19T00:00:00"/>
    <x v="0"/>
    <x v="0"/>
    <d v="2025-11-02T00:00:00"/>
    <n v="14"/>
    <n v="2"/>
    <n v="4"/>
    <n v="4"/>
    <n v="3"/>
    <x v="0"/>
  </r>
  <r>
    <s v="L1024"/>
    <x v="1"/>
    <x v="0"/>
    <x v="0"/>
    <d v="2025-10-20T00:00:00"/>
    <x v="0"/>
    <x v="18"/>
    <d v="2025-11-03T00:00:00"/>
    <x v="0"/>
    <x v="0"/>
    <d v="2025-11-23T00:00:00"/>
    <n v="20"/>
    <n v="5"/>
    <n v="2"/>
    <n v="7"/>
    <n v="1"/>
    <x v="0"/>
  </r>
  <r>
    <s v="L1025"/>
    <x v="3"/>
    <x v="0"/>
    <x v="0"/>
    <d v="2025-10-26T00:00:00"/>
    <x v="12"/>
    <x v="12"/>
    <d v="2025-11-03T00:00:00"/>
    <x v="0"/>
    <x v="0"/>
    <d v="2025-11-18T00:00:00"/>
    <n v="15"/>
    <n v="1"/>
    <n v="5"/>
    <n v="2"/>
    <n v="4"/>
    <x v="0"/>
  </r>
  <r>
    <s v="L1026"/>
    <x v="2"/>
    <x v="0"/>
    <x v="0"/>
    <d v="2025-10-30T00:00:00"/>
    <x v="8"/>
    <x v="19"/>
    <d v="2025-11-15T00:00:00"/>
    <x v="0"/>
    <x v="0"/>
    <d v="2025-12-05T00:00:00"/>
    <n v="20"/>
    <n v="5"/>
    <n v="5"/>
    <n v="6"/>
    <n v="1"/>
    <x v="0"/>
  </r>
  <r>
    <s v="L1027"/>
    <x v="0"/>
    <x v="0"/>
    <x v="0"/>
    <d v="2025-10-18T00:00:00"/>
    <x v="18"/>
    <x v="18"/>
    <d v="2025-10-29T00:00:00"/>
    <x v="0"/>
    <x v="0"/>
    <d v="2025-11-09T00:00:00"/>
    <n v="11"/>
    <n v="5"/>
    <n v="4"/>
    <n v="2"/>
    <n v="3"/>
    <x v="0"/>
  </r>
  <r>
    <s v="L1028"/>
    <x v="2"/>
    <x v="0"/>
    <x v="0"/>
    <d v="2025-10-25T00:00:00"/>
    <x v="11"/>
    <x v="12"/>
    <d v="2025-11-07T00:00:00"/>
    <x v="0"/>
    <x v="0"/>
    <d v="2025-11-17T00:00:00"/>
    <n v="10"/>
    <n v="5"/>
    <n v="2"/>
    <n v="6"/>
    <n v="3"/>
    <x v="0"/>
  </r>
  <r>
    <s v="L1029"/>
    <x v="0"/>
    <x v="1"/>
    <x v="1"/>
    <d v="2025-10-16T00:00:00"/>
    <x v="2"/>
    <x v="2"/>
    <m/>
    <x v="1"/>
    <x v="3"/>
    <m/>
    <s v=""/>
    <m/>
    <m/>
    <m/>
    <m/>
    <x v="2"/>
  </r>
  <r>
    <s v="L1030"/>
    <x v="1"/>
    <x v="0"/>
    <x v="0"/>
    <d v="2025-10-15T00:00:00"/>
    <x v="3"/>
    <x v="6"/>
    <d v="2025-10-23T00:00:00"/>
    <x v="0"/>
    <x v="0"/>
    <d v="2025-11-06T00:00:00"/>
    <n v="14"/>
    <n v="3"/>
    <n v="2"/>
    <n v="3"/>
    <n v="3"/>
    <x v="0"/>
  </r>
  <r>
    <s v="L1031"/>
    <x v="2"/>
    <x v="0"/>
    <x v="0"/>
    <d v="2025-10-14T00:00:00"/>
    <x v="14"/>
    <x v="20"/>
    <d v="2025-10-20T00:00:00"/>
    <x v="0"/>
    <x v="0"/>
    <d v="2025-11-17T00:00:00"/>
    <n v="28"/>
    <n v="1"/>
    <n v="1"/>
    <n v="4"/>
    <n v="5"/>
    <x v="0"/>
  </r>
  <r>
    <s v="L1032"/>
    <x v="0"/>
    <x v="0"/>
    <x v="0"/>
    <d v="2025-10-27T00:00:00"/>
    <x v="4"/>
    <x v="7"/>
    <d v="2025-11-09T00:00:00"/>
    <x v="0"/>
    <x v="0"/>
    <d v="2025-11-23T00:00:00"/>
    <n v="14"/>
    <n v="4"/>
    <n v="5"/>
    <n v="4"/>
    <n v="3"/>
    <x v="0"/>
  </r>
  <r>
    <s v="L1033"/>
    <x v="1"/>
    <x v="0"/>
    <x v="0"/>
    <d v="2025-10-24T00:00:00"/>
    <x v="12"/>
    <x v="8"/>
    <d v="2025-10-31T00:00:00"/>
    <x v="0"/>
    <x v="0"/>
    <d v="2025-11-13T00:00:00"/>
    <n v="13"/>
    <n v="3"/>
    <n v="1"/>
    <n v="3"/>
    <n v="3"/>
    <x v="0"/>
  </r>
  <r>
    <s v="L1034"/>
    <x v="2"/>
    <x v="1"/>
    <x v="1"/>
    <d v="2025-10-19T00:00:00"/>
    <x v="2"/>
    <x v="2"/>
    <m/>
    <x v="1"/>
    <x v="2"/>
    <m/>
    <s v=""/>
    <m/>
    <m/>
    <m/>
    <m/>
    <x v="2"/>
  </r>
  <r>
    <s v="L1035"/>
    <x v="2"/>
    <x v="0"/>
    <x v="0"/>
    <d v="2025-10-09T00:00:00"/>
    <x v="19"/>
    <x v="17"/>
    <d v="2025-10-20T00:00:00"/>
    <x v="0"/>
    <x v="0"/>
    <d v="2025-11-15T00:00:00"/>
    <n v="26"/>
    <n v="4"/>
    <n v="2"/>
    <n v="5"/>
    <n v="9"/>
    <x v="3"/>
  </r>
  <r>
    <s v="L1036"/>
    <x v="0"/>
    <x v="0"/>
    <x v="1"/>
    <d v="2025-10-11T00:00:00"/>
    <x v="20"/>
    <x v="21"/>
    <d v="2025-10-15T00:00:00"/>
    <x v="1"/>
    <x v="4"/>
    <m/>
    <s v=""/>
    <n v="1"/>
    <n v="1"/>
    <n v="2"/>
    <m/>
    <x v="2"/>
  </r>
  <r>
    <s v="L1037"/>
    <x v="0"/>
    <x v="0"/>
    <x v="0"/>
    <d v="2025-10-28T00:00:00"/>
    <x v="4"/>
    <x v="4"/>
    <d v="2025-11-08T00:00:00"/>
    <x v="0"/>
    <x v="0"/>
    <d v="2025-11-29T00:00:00"/>
    <n v="21"/>
    <n v="3"/>
    <n v="4"/>
    <n v="4"/>
    <n v="2"/>
    <x v="0"/>
  </r>
  <r>
    <s v="L1038"/>
    <x v="0"/>
    <x v="0"/>
    <x v="0"/>
    <d v="2025-10-08T00:00:00"/>
    <x v="19"/>
    <x v="20"/>
    <d v="2025-10-23T00:00:00"/>
    <x v="0"/>
    <x v="0"/>
    <d v="2025-11-04T00:00:00"/>
    <n v="12"/>
    <n v="5"/>
    <n v="3"/>
    <n v="7"/>
    <n v="9"/>
    <x v="3"/>
  </r>
  <r>
    <s v="L1039"/>
    <x v="1"/>
    <x v="0"/>
    <x v="1"/>
    <d v="2025-10-27T00:00:00"/>
    <x v="11"/>
    <x v="22"/>
    <d v="2025-11-08T00:00:00"/>
    <x v="1"/>
    <x v="1"/>
    <m/>
    <s v=""/>
    <n v="3"/>
    <n v="4"/>
    <n v="5"/>
    <m/>
    <x v="2"/>
  </r>
  <r>
    <s v="L1040"/>
    <x v="0"/>
    <x v="1"/>
    <x v="1"/>
    <d v="2025-10-30T00:00:00"/>
    <x v="2"/>
    <x v="2"/>
    <m/>
    <x v="1"/>
    <x v="2"/>
    <m/>
    <s v=""/>
    <m/>
    <m/>
    <m/>
    <m/>
    <x v="2"/>
  </r>
  <r>
    <s v="L1041"/>
    <x v="2"/>
    <x v="0"/>
    <x v="0"/>
    <d v="2025-10-03T00:00:00"/>
    <x v="13"/>
    <x v="5"/>
    <d v="2025-10-14T00:00:00"/>
    <x v="0"/>
    <x v="0"/>
    <d v="2025-11-04T00:00:00"/>
    <n v="21"/>
    <n v="3"/>
    <n v="2"/>
    <n v="6"/>
    <n v="6"/>
    <x v="0"/>
  </r>
  <r>
    <s v="L1042"/>
    <x v="2"/>
    <x v="0"/>
    <x v="0"/>
    <d v="2025-10-09T00:00:00"/>
    <x v="21"/>
    <x v="23"/>
    <d v="2025-10-21T00:00:00"/>
    <x v="0"/>
    <x v="0"/>
    <d v="2025-11-12T00:00:00"/>
    <n v="22"/>
    <n v="1"/>
    <n v="4"/>
    <n v="7"/>
    <n v="7"/>
    <x v="1"/>
  </r>
  <r>
    <s v="L1043"/>
    <x v="0"/>
    <x v="1"/>
    <x v="1"/>
    <d v="2025-10-29T00:00:00"/>
    <x v="2"/>
    <x v="2"/>
    <m/>
    <x v="1"/>
    <x v="3"/>
    <m/>
    <s v=""/>
    <m/>
    <m/>
    <m/>
    <m/>
    <x v="2"/>
  </r>
  <r>
    <s v="L1044"/>
    <x v="0"/>
    <x v="2"/>
    <x v="0"/>
    <d v="2025-10-15T00:00:00"/>
    <x v="5"/>
    <x v="24"/>
    <d v="2025-10-26T00:00:00"/>
    <x v="0"/>
    <x v="0"/>
    <d v="2025-11-23T00:00:00"/>
    <n v="28"/>
    <n v="5"/>
    <n v="2"/>
    <n v="4"/>
    <n v="8"/>
    <x v="1"/>
  </r>
  <r>
    <s v="L1045"/>
    <x v="3"/>
    <x v="2"/>
    <x v="0"/>
    <d v="2025-10-08T00:00:00"/>
    <x v="19"/>
    <x v="25"/>
    <d v="2025-10-23T00:00:00"/>
    <x v="0"/>
    <x v="0"/>
    <d v="2025-11-05T00:00:00"/>
    <n v="13"/>
    <n v="5"/>
    <n v="4"/>
    <n v="6"/>
    <n v="3"/>
    <x v="0"/>
  </r>
  <r>
    <s v="L1046"/>
    <x v="2"/>
    <x v="0"/>
    <x v="0"/>
    <d v="2025-10-25T00:00:00"/>
    <x v="12"/>
    <x v="12"/>
    <d v="2025-11-06T00:00:00"/>
    <x v="0"/>
    <x v="0"/>
    <d v="2025-11-26T00:00:00"/>
    <n v="20"/>
    <n v="2"/>
    <n v="5"/>
    <n v="5"/>
    <n v="5"/>
    <x v="0"/>
  </r>
  <r>
    <s v="L1047"/>
    <x v="1"/>
    <x v="1"/>
    <x v="1"/>
    <d v="2025-10-15T00:00:00"/>
    <x v="2"/>
    <x v="2"/>
    <m/>
    <x v="1"/>
    <x v="2"/>
    <m/>
    <s v=""/>
    <m/>
    <m/>
    <m/>
    <m/>
    <x v="2"/>
  </r>
  <r>
    <s v="L1048"/>
    <x v="3"/>
    <x v="2"/>
    <x v="0"/>
    <d v="2025-10-19T00:00:00"/>
    <x v="16"/>
    <x v="26"/>
    <d v="2025-11-01T00:00:00"/>
    <x v="0"/>
    <x v="0"/>
    <d v="2025-11-20T00:00:00"/>
    <n v="19"/>
    <n v="2"/>
    <n v="5"/>
    <n v="6"/>
    <n v="0"/>
    <x v="0"/>
  </r>
  <r>
    <s v="L1049"/>
    <x v="0"/>
    <x v="2"/>
    <x v="0"/>
    <d v="2025-10-20T00:00:00"/>
    <x v="9"/>
    <x v="8"/>
    <d v="2025-11-02T00:00:00"/>
    <x v="0"/>
    <x v="0"/>
    <d v="2025-11-22T00:00:00"/>
    <n v="20"/>
    <n v="4"/>
    <n v="4"/>
    <n v="5"/>
    <n v="6"/>
    <x v="0"/>
  </r>
  <r>
    <s v="L1050"/>
    <x v="0"/>
    <x v="2"/>
    <x v="0"/>
    <d v="2025-10-22T00:00:00"/>
    <x v="9"/>
    <x v="27"/>
    <d v="2025-10-31T00:00:00"/>
    <x v="0"/>
    <x v="0"/>
    <d v="2025-11-14T00:00:00"/>
    <n v="14"/>
    <n v="2"/>
    <n v="1"/>
    <n v="6"/>
    <n v="6"/>
    <x v="0"/>
  </r>
  <r>
    <s v="L1051"/>
    <x v="2"/>
    <x v="2"/>
    <x v="0"/>
    <d v="2025-10-13T00:00:00"/>
    <x v="1"/>
    <x v="20"/>
    <d v="2025-10-18T00:00:00"/>
    <x v="0"/>
    <x v="0"/>
    <d v="2025-11-02T00:00:00"/>
    <n v="15"/>
    <n v="1"/>
    <n v="2"/>
    <n v="2"/>
    <n v="6"/>
    <x v="0"/>
  </r>
  <r>
    <s v="L1052"/>
    <x v="0"/>
    <x v="2"/>
    <x v="0"/>
    <d v="2025-10-11T00:00:00"/>
    <x v="1"/>
    <x v="1"/>
    <d v="2025-10-23T00:00:00"/>
    <x v="0"/>
    <x v="0"/>
    <d v="2025-11-15T00:00:00"/>
    <n v="23"/>
    <n v="3"/>
    <n v="5"/>
    <n v="4"/>
    <n v="4"/>
    <x v="0"/>
  </r>
  <r>
    <s v="L1053"/>
    <x v="1"/>
    <x v="0"/>
    <x v="0"/>
    <d v="2025-10-01T00:00:00"/>
    <x v="13"/>
    <x v="5"/>
    <d v="2025-10-12T00:00:00"/>
    <x v="0"/>
    <x v="0"/>
    <d v="2025-11-11T00:00:00"/>
    <n v="30"/>
    <n v="5"/>
    <n v="2"/>
    <n v="4"/>
    <n v="4"/>
    <x v="0"/>
  </r>
  <r>
    <s v="L1054"/>
    <x v="2"/>
    <x v="0"/>
    <x v="0"/>
    <d v="2025-10-16T00:00:00"/>
    <x v="22"/>
    <x v="28"/>
    <d v="2025-10-29T00:00:00"/>
    <x v="0"/>
    <x v="0"/>
    <d v="2025-11-23T00:00:00"/>
    <n v="25"/>
    <n v="3"/>
    <n v="5"/>
    <n v="5"/>
    <n v="8"/>
    <x v="1"/>
  </r>
  <r>
    <s v="L1055"/>
    <x v="0"/>
    <x v="2"/>
    <x v="0"/>
    <d v="2025-10-28T00:00:00"/>
    <x v="23"/>
    <x v="12"/>
    <d v="2025-11-07T00:00:00"/>
    <x v="0"/>
    <x v="0"/>
    <d v="2025-12-07T00:00:00"/>
    <n v="30"/>
    <n v="1"/>
    <n v="3"/>
    <n v="6"/>
    <n v="3"/>
    <x v="0"/>
  </r>
  <r>
    <s v="L1056"/>
    <x v="2"/>
    <x v="0"/>
    <x v="0"/>
    <d v="2025-10-11T00:00:00"/>
    <x v="1"/>
    <x v="11"/>
    <d v="2025-10-21T00:00:00"/>
    <x v="0"/>
    <x v="0"/>
    <d v="2025-11-10T00:00:00"/>
    <n v="20"/>
    <n v="3"/>
    <n v="4"/>
    <n v="3"/>
    <n v="6"/>
    <x v="0"/>
  </r>
  <r>
    <s v="L1057"/>
    <x v="0"/>
    <x v="2"/>
    <x v="0"/>
    <d v="2025-10-06T00:00:00"/>
    <x v="17"/>
    <x v="20"/>
    <d v="2025-10-23T00:00:00"/>
    <x v="0"/>
    <x v="0"/>
    <d v="2025-11-07T00:00:00"/>
    <n v="15"/>
    <n v="5"/>
    <n v="5"/>
    <n v="7"/>
    <n v="1"/>
    <x v="0"/>
  </r>
  <r>
    <s v="L1058"/>
    <x v="0"/>
    <x v="0"/>
    <x v="1"/>
    <d v="2025-10-16T00:00:00"/>
    <x v="3"/>
    <x v="24"/>
    <d v="2025-10-29T00:00:00"/>
    <x v="1"/>
    <x v="4"/>
    <m/>
    <s v=""/>
    <n v="2"/>
    <n v="4"/>
    <n v="7"/>
    <m/>
    <x v="2"/>
  </r>
  <r>
    <s v="L1059"/>
    <x v="0"/>
    <x v="0"/>
    <x v="0"/>
    <d v="2025-10-07T00:00:00"/>
    <x v="17"/>
    <x v="23"/>
    <d v="2025-10-18T00:00:00"/>
    <x v="0"/>
    <x v="0"/>
    <d v="2025-11-14T00:00:00"/>
    <n v="27"/>
    <n v="4"/>
    <n v="3"/>
    <n v="4"/>
    <n v="2"/>
    <x v="0"/>
  </r>
  <r>
    <s v="L1060"/>
    <x v="1"/>
    <x v="0"/>
    <x v="0"/>
    <d v="2025-10-12T00:00:00"/>
    <x v="7"/>
    <x v="1"/>
    <d v="2025-10-25T00:00:00"/>
    <x v="0"/>
    <x v="0"/>
    <d v="2025-11-23T00:00:00"/>
    <n v="29"/>
    <n v="5"/>
    <n v="2"/>
    <n v="6"/>
    <n v="7"/>
    <x v="1"/>
  </r>
  <r>
    <s v="L1061"/>
    <x v="1"/>
    <x v="2"/>
    <x v="0"/>
    <d v="2025-10-26T00:00:00"/>
    <x v="4"/>
    <x v="4"/>
    <d v="2025-11-10T00:00:00"/>
    <x v="0"/>
    <x v="0"/>
    <d v="2025-12-01T00:00:00"/>
    <n v="21"/>
    <n v="5"/>
    <n v="4"/>
    <n v="6"/>
    <n v="9"/>
    <x v="3"/>
  </r>
  <r>
    <s v="L1062"/>
    <x v="2"/>
    <x v="0"/>
    <x v="0"/>
    <d v="2025-10-09T00:00:00"/>
    <x v="1"/>
    <x v="1"/>
    <d v="2025-10-21T00:00:00"/>
    <x v="0"/>
    <x v="0"/>
    <d v="2025-11-07T00:00:00"/>
    <n v="17"/>
    <n v="5"/>
    <n v="5"/>
    <n v="2"/>
    <n v="3"/>
    <x v="0"/>
  </r>
  <r>
    <s v="L1063"/>
    <x v="0"/>
    <x v="2"/>
    <x v="0"/>
    <d v="2025-10-11T00:00:00"/>
    <x v="24"/>
    <x v="1"/>
    <d v="2025-10-26T00:00:00"/>
    <x v="0"/>
    <x v="0"/>
    <d v="2025-11-23T00:00:00"/>
    <n v="28"/>
    <n v="5"/>
    <n v="3"/>
    <n v="7"/>
    <n v="3"/>
    <x v="0"/>
  </r>
  <r>
    <s v="L1064"/>
    <x v="0"/>
    <x v="1"/>
    <x v="1"/>
    <d v="2025-10-09T00:00:00"/>
    <x v="2"/>
    <x v="2"/>
    <m/>
    <x v="1"/>
    <x v="1"/>
    <m/>
    <s v=""/>
    <m/>
    <m/>
    <m/>
    <m/>
    <x v="2"/>
  </r>
  <r>
    <s v="L1065"/>
    <x v="1"/>
    <x v="0"/>
    <x v="0"/>
    <d v="2025-10-29T00:00:00"/>
    <x v="11"/>
    <x v="4"/>
    <d v="2025-11-07T00:00:00"/>
    <x v="0"/>
    <x v="0"/>
    <d v="2025-11-22T00:00:00"/>
    <n v="15"/>
    <n v="1"/>
    <n v="5"/>
    <n v="3"/>
    <n v="10"/>
    <x v="3"/>
  </r>
  <r>
    <s v="L1066"/>
    <x v="0"/>
    <x v="0"/>
    <x v="0"/>
    <d v="2025-10-20T00:00:00"/>
    <x v="0"/>
    <x v="8"/>
    <d v="2025-11-01T00:00:00"/>
    <x v="0"/>
    <x v="0"/>
    <d v="2025-11-23T00:00:00"/>
    <n v="22"/>
    <n v="5"/>
    <n v="3"/>
    <n v="4"/>
    <n v="4"/>
    <x v="0"/>
  </r>
  <r>
    <s v="L1067"/>
    <x v="1"/>
    <x v="2"/>
    <x v="0"/>
    <d v="2025-10-23T00:00:00"/>
    <x v="25"/>
    <x v="0"/>
    <d v="2025-10-31T00:00:00"/>
    <x v="0"/>
    <x v="0"/>
    <d v="2025-11-19T00:00:00"/>
    <n v="19"/>
    <n v="3"/>
    <n v="3"/>
    <n v="2"/>
    <n v="5"/>
    <x v="0"/>
  </r>
  <r>
    <s v="L1068"/>
    <x v="0"/>
    <x v="1"/>
    <x v="1"/>
    <d v="2025-10-29T00:00:00"/>
    <x v="2"/>
    <x v="2"/>
    <m/>
    <x v="1"/>
    <x v="4"/>
    <m/>
    <s v=""/>
    <m/>
    <m/>
    <m/>
    <m/>
    <x v="2"/>
  </r>
  <r>
    <s v="L1069"/>
    <x v="2"/>
    <x v="2"/>
    <x v="0"/>
    <d v="2025-10-09T00:00:00"/>
    <x v="21"/>
    <x v="17"/>
    <d v="2025-10-18T00:00:00"/>
    <x v="0"/>
    <x v="0"/>
    <d v="2025-11-06T00:00:00"/>
    <n v="19"/>
    <n v="1"/>
    <n v="5"/>
    <n v="3"/>
    <n v="1"/>
    <x v="0"/>
  </r>
  <r>
    <s v="L1070"/>
    <x v="0"/>
    <x v="2"/>
    <x v="0"/>
    <d v="2025-10-18T00:00:00"/>
    <x v="5"/>
    <x v="28"/>
    <d v="2025-10-28T00:00:00"/>
    <x v="0"/>
    <x v="0"/>
    <d v="2025-11-11T00:00:00"/>
    <n v="14"/>
    <n v="2"/>
    <n v="4"/>
    <n v="4"/>
    <n v="10"/>
    <x v="3"/>
  </r>
  <r>
    <s v="L1071"/>
    <x v="0"/>
    <x v="0"/>
    <x v="0"/>
    <d v="2025-10-01T00:00:00"/>
    <x v="26"/>
    <x v="29"/>
    <d v="2025-10-08T00:00:00"/>
    <x v="0"/>
    <x v="0"/>
    <d v="2025-10-23T00:00:00"/>
    <n v="15"/>
    <n v="3"/>
    <n v="2"/>
    <n v="2"/>
    <n v="7"/>
    <x v="1"/>
  </r>
  <r>
    <s v="L1072"/>
    <x v="3"/>
    <x v="2"/>
    <x v="0"/>
    <d v="2025-10-17T00:00:00"/>
    <x v="5"/>
    <x v="24"/>
    <d v="2025-10-25T00:00:00"/>
    <x v="0"/>
    <x v="0"/>
    <d v="2025-11-04T00:00:00"/>
    <n v="10"/>
    <n v="3"/>
    <n v="2"/>
    <n v="3"/>
    <n v="6"/>
    <x v="0"/>
  </r>
  <r>
    <s v="L1073"/>
    <x v="1"/>
    <x v="1"/>
    <x v="1"/>
    <d v="2025-10-31T00:00:00"/>
    <x v="2"/>
    <x v="2"/>
    <m/>
    <x v="1"/>
    <x v="5"/>
    <m/>
    <s v=""/>
    <m/>
    <m/>
    <m/>
    <m/>
    <x v="2"/>
  </r>
  <r>
    <s v="L1074"/>
    <x v="0"/>
    <x v="0"/>
    <x v="0"/>
    <d v="2025-10-07T00:00:00"/>
    <x v="21"/>
    <x v="21"/>
    <d v="2025-10-17T00:00:00"/>
    <x v="0"/>
    <x v="0"/>
    <d v="2025-11-14T00:00:00"/>
    <n v="28"/>
    <n v="3"/>
    <n v="3"/>
    <n v="4"/>
    <n v="0"/>
    <x v="0"/>
  </r>
  <r>
    <s v="L1075"/>
    <x v="0"/>
    <x v="2"/>
    <x v="0"/>
    <d v="2025-10-03T00:00:00"/>
    <x v="13"/>
    <x v="30"/>
    <d v="2025-10-18T00:00:00"/>
    <x v="0"/>
    <x v="0"/>
    <d v="2025-11-09T00:00:00"/>
    <n v="22"/>
    <n v="3"/>
    <n v="5"/>
    <n v="7"/>
    <n v="1"/>
    <x v="0"/>
  </r>
  <r>
    <s v="L1076"/>
    <x v="3"/>
    <x v="0"/>
    <x v="0"/>
    <d v="2025-10-08T00:00:00"/>
    <x v="27"/>
    <x v="14"/>
    <d v="2025-10-15T00:00:00"/>
    <x v="0"/>
    <x v="0"/>
    <d v="2025-11-12T00:00:00"/>
    <n v="28"/>
    <n v="1"/>
    <n v="3"/>
    <n v="3"/>
    <n v="8"/>
    <x v="1"/>
  </r>
  <r>
    <s v="L1077"/>
    <x v="3"/>
    <x v="1"/>
    <x v="1"/>
    <d v="2025-10-24T00:00:00"/>
    <x v="2"/>
    <x v="2"/>
    <m/>
    <x v="1"/>
    <x v="1"/>
    <m/>
    <s v=""/>
    <m/>
    <m/>
    <m/>
    <m/>
    <x v="2"/>
  </r>
  <r>
    <s v="L1078"/>
    <x v="1"/>
    <x v="1"/>
    <x v="1"/>
    <d v="2025-10-14T00:00:00"/>
    <x v="2"/>
    <x v="2"/>
    <m/>
    <x v="1"/>
    <x v="4"/>
    <m/>
    <s v=""/>
    <m/>
    <m/>
    <m/>
    <m/>
    <x v="2"/>
  </r>
  <r>
    <s v="L1079"/>
    <x v="3"/>
    <x v="0"/>
    <x v="1"/>
    <d v="2025-10-16T00:00:00"/>
    <x v="3"/>
    <x v="6"/>
    <d v="2025-10-26T00:00:00"/>
    <x v="1"/>
    <x v="3"/>
    <m/>
    <s v=""/>
    <n v="2"/>
    <n v="2"/>
    <n v="6"/>
    <m/>
    <x v="2"/>
  </r>
  <r>
    <s v="L1080"/>
    <x v="2"/>
    <x v="1"/>
    <x v="1"/>
    <d v="2025-10-18T00:00:00"/>
    <x v="2"/>
    <x v="2"/>
    <m/>
    <x v="1"/>
    <x v="1"/>
    <m/>
    <s v=""/>
    <m/>
    <m/>
    <m/>
    <m/>
    <x v="2"/>
  </r>
  <r>
    <s v="L1081"/>
    <x v="3"/>
    <x v="1"/>
    <x v="1"/>
    <d v="2025-10-25T00:00:00"/>
    <x v="2"/>
    <x v="2"/>
    <m/>
    <x v="1"/>
    <x v="1"/>
    <m/>
    <s v=""/>
    <m/>
    <m/>
    <m/>
    <m/>
    <x v="2"/>
  </r>
  <r>
    <s v="L1082"/>
    <x v="2"/>
    <x v="0"/>
    <x v="0"/>
    <d v="2025-10-08T00:00:00"/>
    <x v="21"/>
    <x v="21"/>
    <d v="2025-10-18T00:00:00"/>
    <x v="0"/>
    <x v="0"/>
    <d v="2025-10-29T00:00:00"/>
    <n v="11"/>
    <n v="2"/>
    <n v="3"/>
    <n v="5"/>
    <n v="5"/>
    <x v="0"/>
  </r>
  <r>
    <s v="L1083"/>
    <x v="1"/>
    <x v="2"/>
    <x v="0"/>
    <d v="2025-10-23T00:00:00"/>
    <x v="28"/>
    <x v="31"/>
    <d v="2025-11-05T00:00:00"/>
    <x v="0"/>
    <x v="0"/>
    <d v="2025-11-20T00:00:00"/>
    <n v="15"/>
    <n v="5"/>
    <n v="3"/>
    <n v="5"/>
    <n v="5"/>
    <x v="0"/>
  </r>
  <r>
    <s v="L1084"/>
    <x v="1"/>
    <x v="0"/>
    <x v="0"/>
    <d v="2025-10-16T00:00:00"/>
    <x v="5"/>
    <x v="24"/>
    <d v="2025-10-28T00:00:00"/>
    <x v="0"/>
    <x v="0"/>
    <d v="2025-11-26T00:00:00"/>
    <n v="29"/>
    <n v="4"/>
    <n v="2"/>
    <n v="6"/>
    <n v="4"/>
    <x v="0"/>
  </r>
  <r>
    <s v="L1085"/>
    <x v="1"/>
    <x v="1"/>
    <x v="1"/>
    <d v="2025-10-21T00:00:00"/>
    <x v="2"/>
    <x v="2"/>
    <m/>
    <x v="1"/>
    <x v="2"/>
    <m/>
    <s v=""/>
    <m/>
    <m/>
    <m/>
    <m/>
    <x v="2"/>
  </r>
  <r>
    <s v="L1086"/>
    <x v="1"/>
    <x v="2"/>
    <x v="0"/>
    <d v="2025-10-23T00:00:00"/>
    <x v="9"/>
    <x v="8"/>
    <d v="2025-10-31T00:00:00"/>
    <x v="0"/>
    <x v="0"/>
    <d v="2025-11-20T00:00:00"/>
    <n v="20"/>
    <n v="1"/>
    <n v="4"/>
    <n v="3"/>
    <n v="7"/>
    <x v="1"/>
  </r>
  <r>
    <s v="L1087"/>
    <x v="1"/>
    <x v="1"/>
    <x v="1"/>
    <d v="2025-10-16T00:00:00"/>
    <x v="2"/>
    <x v="2"/>
    <m/>
    <x v="1"/>
    <x v="3"/>
    <m/>
    <s v=""/>
    <m/>
    <m/>
    <m/>
    <m/>
    <x v="2"/>
  </r>
  <r>
    <s v="L1088"/>
    <x v="2"/>
    <x v="2"/>
    <x v="0"/>
    <d v="2025-10-15T00:00:00"/>
    <x v="7"/>
    <x v="6"/>
    <d v="2025-10-26T00:00:00"/>
    <x v="0"/>
    <x v="0"/>
    <d v="2025-11-24T00:00:00"/>
    <n v="29"/>
    <n v="2"/>
    <n v="3"/>
    <n v="6"/>
    <n v="5"/>
    <x v="0"/>
  </r>
  <r>
    <s v="L1089"/>
    <x v="2"/>
    <x v="2"/>
    <x v="0"/>
    <d v="2025-10-26T00:00:00"/>
    <x v="12"/>
    <x v="31"/>
    <d v="2025-11-05T00:00:00"/>
    <x v="0"/>
    <x v="0"/>
    <d v="2025-11-22T00:00:00"/>
    <n v="17"/>
    <n v="1"/>
    <n v="4"/>
    <n v="5"/>
    <n v="8"/>
    <x v="1"/>
  </r>
  <r>
    <s v="L1090"/>
    <x v="1"/>
    <x v="0"/>
    <x v="0"/>
    <d v="2025-10-01T00:00:00"/>
    <x v="29"/>
    <x v="32"/>
    <d v="2025-10-10T00:00:00"/>
    <x v="0"/>
    <x v="0"/>
    <d v="2025-11-09T00:00:00"/>
    <n v="30"/>
    <n v="1"/>
    <n v="3"/>
    <n v="5"/>
    <n v="0"/>
    <x v="0"/>
  </r>
  <r>
    <s v="L1091"/>
    <x v="3"/>
    <x v="2"/>
    <x v="0"/>
    <d v="2025-10-03T00:00:00"/>
    <x v="30"/>
    <x v="21"/>
    <d v="2025-10-16T00:00:00"/>
    <x v="0"/>
    <x v="0"/>
    <d v="2025-11-13T00:00:00"/>
    <n v="28"/>
    <n v="5"/>
    <n v="5"/>
    <n v="3"/>
    <n v="9"/>
    <x v="3"/>
  </r>
  <r>
    <s v="L1092"/>
    <x v="0"/>
    <x v="1"/>
    <x v="1"/>
    <d v="2025-10-10T00:00:00"/>
    <x v="2"/>
    <x v="2"/>
    <m/>
    <x v="1"/>
    <x v="5"/>
    <m/>
    <s v=""/>
    <m/>
    <m/>
    <m/>
    <m/>
    <x v="2"/>
  </r>
  <r>
    <s v="L1093"/>
    <x v="1"/>
    <x v="1"/>
    <x v="1"/>
    <d v="2025-10-08T00:00:00"/>
    <x v="2"/>
    <x v="2"/>
    <m/>
    <x v="1"/>
    <x v="4"/>
    <m/>
    <s v=""/>
    <m/>
    <m/>
    <m/>
    <m/>
    <x v="2"/>
  </r>
  <r>
    <s v="L1094"/>
    <x v="3"/>
    <x v="1"/>
    <x v="1"/>
    <d v="2025-10-13T00:00:00"/>
    <x v="2"/>
    <x v="2"/>
    <m/>
    <x v="1"/>
    <x v="2"/>
    <m/>
    <s v=""/>
    <m/>
    <m/>
    <m/>
    <m/>
    <x v="2"/>
  </r>
  <r>
    <s v="L1095"/>
    <x v="0"/>
    <x v="0"/>
    <x v="0"/>
    <d v="2025-10-23T00:00:00"/>
    <x v="0"/>
    <x v="8"/>
    <d v="2025-11-02T00:00:00"/>
    <x v="0"/>
    <x v="0"/>
    <d v="2025-11-15T00:00:00"/>
    <n v="13"/>
    <n v="2"/>
    <n v="3"/>
    <n v="5"/>
    <n v="9"/>
    <x v="3"/>
  </r>
  <r>
    <s v="L1096"/>
    <x v="1"/>
    <x v="2"/>
    <x v="1"/>
    <d v="2025-10-08T00:00:00"/>
    <x v="20"/>
    <x v="17"/>
    <d v="2025-10-22T00:00:00"/>
    <x v="1"/>
    <x v="4"/>
    <m/>
    <s v=""/>
    <n v="4"/>
    <n v="3"/>
    <n v="7"/>
    <m/>
    <x v="2"/>
  </r>
  <r>
    <s v="L1097"/>
    <x v="1"/>
    <x v="0"/>
    <x v="0"/>
    <d v="2025-10-10T00:00:00"/>
    <x v="1"/>
    <x v="17"/>
    <d v="2025-10-21T00:00:00"/>
    <x v="0"/>
    <x v="0"/>
    <d v="2025-11-15T00:00:00"/>
    <n v="25"/>
    <n v="4"/>
    <n v="1"/>
    <n v="6"/>
    <n v="6"/>
    <x v="0"/>
  </r>
  <r>
    <s v="L1098"/>
    <x v="2"/>
    <x v="0"/>
    <x v="0"/>
    <d v="2025-10-22T00:00:00"/>
    <x v="25"/>
    <x v="31"/>
    <d v="2025-11-07T00:00:00"/>
    <x v="0"/>
    <x v="0"/>
    <d v="2025-11-21T00:00:00"/>
    <n v="14"/>
    <n v="4"/>
    <n v="5"/>
    <n v="7"/>
    <n v="0"/>
    <x v="0"/>
  </r>
  <r>
    <s v="L1099"/>
    <x v="0"/>
    <x v="0"/>
    <x v="0"/>
    <d v="2025-10-19T00:00:00"/>
    <x v="31"/>
    <x v="18"/>
    <d v="2025-11-03T00:00:00"/>
    <x v="0"/>
    <x v="0"/>
    <d v="2025-11-23T00:00:00"/>
    <n v="20"/>
    <n v="3"/>
    <n v="5"/>
    <n v="7"/>
    <n v="10"/>
    <x v="3"/>
  </r>
  <r>
    <s v="L1100"/>
    <x v="0"/>
    <x v="2"/>
    <x v="0"/>
    <d v="2025-10-12T00:00:00"/>
    <x v="1"/>
    <x v="11"/>
    <d v="2025-10-21T00:00:00"/>
    <x v="0"/>
    <x v="0"/>
    <d v="2025-11-02T00:00:00"/>
    <n v="12"/>
    <n v="2"/>
    <n v="4"/>
    <n v="3"/>
    <n v="1"/>
    <x v="0"/>
  </r>
  <r>
    <s v="L1101"/>
    <x v="3"/>
    <x v="0"/>
    <x v="0"/>
    <d v="2025-10-16T00:00:00"/>
    <x v="22"/>
    <x v="16"/>
    <d v="2025-10-29T00:00:00"/>
    <x v="0"/>
    <x v="0"/>
    <d v="2025-11-15T00:00:00"/>
    <n v="17"/>
    <n v="3"/>
    <n v="4"/>
    <n v="6"/>
    <n v="1"/>
    <x v="0"/>
  </r>
  <r>
    <s v="L1102"/>
    <x v="2"/>
    <x v="0"/>
    <x v="0"/>
    <d v="2025-10-18T00:00:00"/>
    <x v="16"/>
    <x v="28"/>
    <d v="2025-10-27T00:00:00"/>
    <x v="0"/>
    <x v="0"/>
    <d v="2025-11-17T00:00:00"/>
    <n v="21"/>
    <n v="3"/>
    <n v="3"/>
    <n v="3"/>
    <n v="0"/>
    <x v="0"/>
  </r>
  <r>
    <s v="L1103"/>
    <x v="2"/>
    <x v="1"/>
    <x v="1"/>
    <d v="2025-10-17T00:00:00"/>
    <x v="2"/>
    <x v="2"/>
    <m/>
    <x v="1"/>
    <x v="5"/>
    <m/>
    <s v=""/>
    <m/>
    <m/>
    <m/>
    <m/>
    <x v="2"/>
  </r>
  <r>
    <s v="L1104"/>
    <x v="2"/>
    <x v="1"/>
    <x v="1"/>
    <d v="2025-10-12T00:00:00"/>
    <x v="2"/>
    <x v="2"/>
    <m/>
    <x v="1"/>
    <x v="5"/>
    <m/>
    <s v=""/>
    <m/>
    <m/>
    <m/>
    <m/>
    <x v="2"/>
  </r>
  <r>
    <s v="L1105"/>
    <x v="2"/>
    <x v="0"/>
    <x v="0"/>
    <d v="2025-10-14T00:00:00"/>
    <x v="7"/>
    <x v="1"/>
    <d v="2025-10-24T00:00:00"/>
    <x v="0"/>
    <x v="0"/>
    <d v="2025-11-13T00:00:00"/>
    <n v="20"/>
    <n v="3"/>
    <n v="2"/>
    <n v="5"/>
    <n v="2"/>
    <x v="0"/>
  </r>
  <r>
    <s v="L1106"/>
    <x v="0"/>
    <x v="0"/>
    <x v="1"/>
    <d v="2025-10-24T00:00:00"/>
    <x v="23"/>
    <x v="12"/>
    <d v="2025-11-05T00:00:00"/>
    <x v="1"/>
    <x v="1"/>
    <m/>
    <s v=""/>
    <n v="5"/>
    <n v="3"/>
    <n v="4"/>
    <m/>
    <x v="2"/>
  </r>
  <r>
    <s v="L1107"/>
    <x v="0"/>
    <x v="0"/>
    <x v="0"/>
    <d v="2025-10-18T00:00:00"/>
    <x v="18"/>
    <x v="28"/>
    <d v="2025-10-27T00:00:00"/>
    <x v="0"/>
    <x v="0"/>
    <d v="2025-11-11T00:00:00"/>
    <n v="15"/>
    <n v="5"/>
    <n v="1"/>
    <n v="3"/>
    <n v="10"/>
    <x v="3"/>
  </r>
  <r>
    <s v="L1108"/>
    <x v="1"/>
    <x v="2"/>
    <x v="0"/>
    <d v="2025-10-11T00:00:00"/>
    <x v="20"/>
    <x v="17"/>
    <d v="2025-10-18T00:00:00"/>
    <x v="0"/>
    <x v="0"/>
    <d v="2025-11-17T00:00:00"/>
    <n v="30"/>
    <n v="1"/>
    <n v="3"/>
    <n v="3"/>
    <n v="4"/>
    <x v="0"/>
  </r>
  <r>
    <s v="L1109"/>
    <x v="1"/>
    <x v="1"/>
    <x v="1"/>
    <d v="2025-10-12T00:00:00"/>
    <x v="2"/>
    <x v="2"/>
    <m/>
    <x v="1"/>
    <x v="5"/>
    <m/>
    <s v=""/>
    <m/>
    <m/>
    <m/>
    <m/>
    <x v="2"/>
  </r>
  <r>
    <s v="L1110"/>
    <x v="2"/>
    <x v="1"/>
    <x v="1"/>
    <d v="2025-10-23T00:00:00"/>
    <x v="2"/>
    <x v="2"/>
    <m/>
    <x v="1"/>
    <x v="4"/>
    <m/>
    <s v=""/>
    <m/>
    <m/>
    <m/>
    <m/>
    <x v="2"/>
  </r>
  <r>
    <s v="L1111"/>
    <x v="2"/>
    <x v="0"/>
    <x v="0"/>
    <d v="2025-10-15T00:00:00"/>
    <x v="24"/>
    <x v="25"/>
    <d v="2025-10-21T00:00:00"/>
    <x v="0"/>
    <x v="0"/>
    <d v="2025-11-02T00:00:00"/>
    <n v="12"/>
    <n v="1"/>
    <n v="1"/>
    <n v="4"/>
    <n v="2"/>
    <x v="0"/>
  </r>
  <r>
    <s v="L1112"/>
    <x v="2"/>
    <x v="0"/>
    <x v="1"/>
    <d v="2025-10-09T00:00:00"/>
    <x v="17"/>
    <x v="23"/>
    <d v="2025-10-19T00:00:00"/>
    <x v="1"/>
    <x v="3"/>
    <m/>
    <s v=""/>
    <n v="2"/>
    <n v="3"/>
    <n v="5"/>
    <m/>
    <x v="2"/>
  </r>
  <r>
    <s v="L1113"/>
    <x v="1"/>
    <x v="2"/>
    <x v="0"/>
    <d v="2025-10-10T00:00:00"/>
    <x v="20"/>
    <x v="20"/>
    <d v="2025-10-22T00:00:00"/>
    <x v="0"/>
    <x v="0"/>
    <d v="2025-11-21T00:00:00"/>
    <n v="30"/>
    <n v="2"/>
    <n v="4"/>
    <n v="6"/>
    <n v="6"/>
    <x v="0"/>
  </r>
  <r>
    <s v="L1114"/>
    <x v="3"/>
    <x v="0"/>
    <x v="0"/>
    <d v="2025-10-09T00:00:00"/>
    <x v="1"/>
    <x v="25"/>
    <d v="2025-10-19T00:00:00"/>
    <x v="0"/>
    <x v="0"/>
    <d v="2025-11-08T00:00:00"/>
    <n v="20"/>
    <n v="5"/>
    <n v="3"/>
    <n v="2"/>
    <n v="10"/>
    <x v="3"/>
  </r>
  <r>
    <s v="L1115"/>
    <x v="3"/>
    <x v="2"/>
    <x v="0"/>
    <d v="2025-10-08T00:00:00"/>
    <x v="27"/>
    <x v="21"/>
    <d v="2025-10-17T00:00:00"/>
    <x v="0"/>
    <x v="0"/>
    <d v="2025-11-10T00:00:00"/>
    <n v="24"/>
    <n v="1"/>
    <n v="4"/>
    <n v="4"/>
    <n v="8"/>
    <x v="1"/>
  </r>
  <r>
    <s v="L1116"/>
    <x v="1"/>
    <x v="1"/>
    <x v="1"/>
    <d v="2025-10-04T00:00:00"/>
    <x v="2"/>
    <x v="2"/>
    <m/>
    <x v="1"/>
    <x v="3"/>
    <m/>
    <s v=""/>
    <m/>
    <m/>
    <m/>
    <m/>
    <x v="2"/>
  </r>
  <r>
    <s v="L1117"/>
    <x v="1"/>
    <x v="2"/>
    <x v="0"/>
    <d v="2025-10-24T00:00:00"/>
    <x v="0"/>
    <x v="18"/>
    <d v="2025-10-29T00:00:00"/>
    <x v="0"/>
    <x v="0"/>
    <d v="2025-11-08T00:00:00"/>
    <n v="10"/>
    <n v="1"/>
    <n v="2"/>
    <n v="2"/>
    <n v="1"/>
    <x v="0"/>
  </r>
  <r>
    <s v="L1118"/>
    <x v="1"/>
    <x v="0"/>
    <x v="0"/>
    <d v="2025-10-07T00:00:00"/>
    <x v="21"/>
    <x v="14"/>
    <d v="2025-10-17T00:00:00"/>
    <x v="0"/>
    <x v="0"/>
    <d v="2025-11-04T00:00:00"/>
    <n v="18"/>
    <n v="3"/>
    <n v="2"/>
    <n v="5"/>
    <n v="5"/>
    <x v="0"/>
  </r>
  <r>
    <s v="L1119"/>
    <x v="1"/>
    <x v="1"/>
    <x v="1"/>
    <d v="2025-10-11T00:00:00"/>
    <x v="2"/>
    <x v="2"/>
    <m/>
    <x v="1"/>
    <x v="1"/>
    <m/>
    <s v=""/>
    <m/>
    <m/>
    <m/>
    <m/>
    <x v="2"/>
  </r>
  <r>
    <s v="L1120"/>
    <x v="1"/>
    <x v="0"/>
    <x v="0"/>
    <d v="2025-10-04T00:00:00"/>
    <x v="30"/>
    <x v="21"/>
    <d v="2025-10-16T00:00:00"/>
    <x v="0"/>
    <x v="0"/>
    <d v="2025-11-01T00:00:00"/>
    <n v="16"/>
    <n v="4"/>
    <n v="5"/>
    <n v="3"/>
    <n v="1"/>
    <x v="0"/>
  </r>
  <r>
    <s v="L1121"/>
    <x v="1"/>
    <x v="2"/>
    <x v="0"/>
    <d v="2025-10-24T00:00:00"/>
    <x v="28"/>
    <x v="31"/>
    <d v="2025-11-03T00:00:00"/>
    <x v="0"/>
    <x v="0"/>
    <d v="2025-11-20T00:00:00"/>
    <n v="17"/>
    <n v="4"/>
    <n v="3"/>
    <n v="3"/>
    <n v="2"/>
    <x v="0"/>
  </r>
  <r>
    <s v="L1122"/>
    <x v="2"/>
    <x v="2"/>
    <x v="0"/>
    <d v="2025-10-18T00:00:00"/>
    <x v="31"/>
    <x v="18"/>
    <d v="2025-11-01T00:00:00"/>
    <x v="0"/>
    <x v="0"/>
    <d v="2025-11-13T00:00:00"/>
    <n v="12"/>
    <n v="4"/>
    <n v="5"/>
    <n v="5"/>
    <n v="6"/>
    <x v="0"/>
  </r>
  <r>
    <s v="L1123"/>
    <x v="2"/>
    <x v="2"/>
    <x v="0"/>
    <d v="2025-10-31T00:00:00"/>
    <x v="32"/>
    <x v="33"/>
    <d v="2025-11-14T00:00:00"/>
    <x v="0"/>
    <x v="0"/>
    <d v="2025-12-05T00:00:00"/>
    <n v="21"/>
    <n v="5"/>
    <n v="3"/>
    <n v="6"/>
    <n v="5"/>
    <x v="0"/>
  </r>
  <r>
    <s v="L1124"/>
    <x v="2"/>
    <x v="0"/>
    <x v="0"/>
    <d v="2025-10-25T00:00:00"/>
    <x v="23"/>
    <x v="31"/>
    <d v="2025-11-06T00:00:00"/>
    <x v="0"/>
    <x v="0"/>
    <d v="2025-11-24T00:00:00"/>
    <n v="18"/>
    <n v="4"/>
    <n v="2"/>
    <n v="6"/>
    <n v="4"/>
    <x v="0"/>
  </r>
  <r>
    <s v="L1125"/>
    <x v="2"/>
    <x v="2"/>
    <x v="0"/>
    <d v="2025-10-23T00:00:00"/>
    <x v="12"/>
    <x v="8"/>
    <d v="2025-11-04T00:00:00"/>
    <x v="0"/>
    <x v="0"/>
    <d v="2025-11-17T00:00:00"/>
    <n v="13"/>
    <n v="4"/>
    <n v="1"/>
    <n v="7"/>
    <n v="0"/>
    <x v="0"/>
  </r>
  <r>
    <s v="L1126"/>
    <x v="1"/>
    <x v="0"/>
    <x v="0"/>
    <d v="2025-10-06T00:00:00"/>
    <x v="27"/>
    <x v="23"/>
    <d v="2025-10-19T00:00:00"/>
    <x v="0"/>
    <x v="0"/>
    <d v="2025-10-29T00:00:00"/>
    <n v="10"/>
    <n v="3"/>
    <n v="5"/>
    <n v="5"/>
    <n v="4"/>
    <x v="0"/>
  </r>
  <r>
    <s v="L1127"/>
    <x v="3"/>
    <x v="1"/>
    <x v="1"/>
    <d v="2025-10-07T00:00:00"/>
    <x v="2"/>
    <x v="2"/>
    <m/>
    <x v="1"/>
    <x v="4"/>
    <m/>
    <s v=""/>
    <m/>
    <m/>
    <m/>
    <m/>
    <x v="2"/>
  </r>
  <r>
    <s v="L1128"/>
    <x v="0"/>
    <x v="2"/>
    <x v="0"/>
    <d v="2025-10-07T00:00:00"/>
    <x v="27"/>
    <x v="23"/>
    <d v="2025-10-19T00:00:00"/>
    <x v="0"/>
    <x v="0"/>
    <d v="2025-10-30T00:00:00"/>
    <n v="11"/>
    <n v="2"/>
    <n v="5"/>
    <n v="5"/>
    <n v="4"/>
    <x v="0"/>
  </r>
  <r>
    <s v="L1129"/>
    <x v="1"/>
    <x v="1"/>
    <x v="1"/>
    <d v="2025-10-24T00:00:00"/>
    <x v="2"/>
    <x v="2"/>
    <m/>
    <x v="1"/>
    <x v="4"/>
    <m/>
    <s v=""/>
    <m/>
    <m/>
    <m/>
    <m/>
    <x v="2"/>
  </r>
  <r>
    <s v="L1130"/>
    <x v="0"/>
    <x v="1"/>
    <x v="1"/>
    <d v="2025-10-16T00:00:00"/>
    <x v="2"/>
    <x v="2"/>
    <m/>
    <x v="1"/>
    <x v="5"/>
    <m/>
    <s v=""/>
    <m/>
    <m/>
    <m/>
    <m/>
    <x v="2"/>
  </r>
  <r>
    <s v="L1131"/>
    <x v="3"/>
    <x v="2"/>
    <x v="0"/>
    <d v="2025-10-09T00:00:00"/>
    <x v="1"/>
    <x v="20"/>
    <d v="2025-10-23T00:00:00"/>
    <x v="0"/>
    <x v="0"/>
    <d v="2025-11-14T00:00:00"/>
    <n v="22"/>
    <n v="5"/>
    <n v="2"/>
    <n v="7"/>
    <n v="4"/>
    <x v="0"/>
  </r>
  <r>
    <s v="L1132"/>
    <x v="2"/>
    <x v="1"/>
    <x v="1"/>
    <d v="2025-10-24T00:00:00"/>
    <x v="2"/>
    <x v="2"/>
    <m/>
    <x v="1"/>
    <x v="4"/>
    <m/>
    <s v=""/>
    <m/>
    <m/>
    <m/>
    <m/>
    <x v="2"/>
  </r>
  <r>
    <s v="L1133"/>
    <x v="3"/>
    <x v="0"/>
    <x v="0"/>
    <d v="2025-10-19T00:00:00"/>
    <x v="5"/>
    <x v="24"/>
    <d v="2025-10-27T00:00:00"/>
    <x v="0"/>
    <x v="0"/>
    <d v="2025-11-20T00:00:00"/>
    <n v="24"/>
    <n v="1"/>
    <n v="2"/>
    <n v="5"/>
    <n v="2"/>
    <x v="0"/>
  </r>
  <r>
    <s v="L1134"/>
    <x v="1"/>
    <x v="1"/>
    <x v="1"/>
    <d v="2025-10-25T00:00:00"/>
    <x v="2"/>
    <x v="2"/>
    <m/>
    <x v="1"/>
    <x v="2"/>
    <m/>
    <s v=""/>
    <m/>
    <m/>
    <m/>
    <m/>
    <x v="2"/>
  </r>
  <r>
    <s v="L1135"/>
    <x v="2"/>
    <x v="0"/>
    <x v="0"/>
    <d v="2025-10-17T00:00:00"/>
    <x v="5"/>
    <x v="3"/>
    <d v="2025-10-26T00:00:00"/>
    <x v="0"/>
    <x v="0"/>
    <d v="2025-11-18T00:00:00"/>
    <n v="23"/>
    <n v="3"/>
    <n v="1"/>
    <n v="5"/>
    <n v="3"/>
    <x v="0"/>
  </r>
  <r>
    <s v="L1136"/>
    <x v="1"/>
    <x v="0"/>
    <x v="0"/>
    <d v="2025-10-20T00:00:00"/>
    <x v="9"/>
    <x v="0"/>
    <d v="2025-11-05T00:00:00"/>
    <x v="0"/>
    <x v="0"/>
    <d v="2025-11-20T00:00:00"/>
    <n v="15"/>
    <n v="4"/>
    <n v="5"/>
    <n v="7"/>
    <n v="0"/>
    <x v="0"/>
  </r>
  <r>
    <s v="L1137"/>
    <x v="2"/>
    <x v="0"/>
    <x v="1"/>
    <d v="2025-10-10T00:00:00"/>
    <x v="17"/>
    <x v="21"/>
    <d v="2025-10-18T00:00:00"/>
    <x v="1"/>
    <x v="5"/>
    <m/>
    <s v=""/>
    <n v="1"/>
    <n v="2"/>
    <n v="5"/>
    <m/>
    <x v="2"/>
  </r>
  <r>
    <s v="L1138"/>
    <x v="0"/>
    <x v="1"/>
    <x v="1"/>
    <d v="2025-10-04T00:00:00"/>
    <x v="2"/>
    <x v="2"/>
    <m/>
    <x v="1"/>
    <x v="2"/>
    <m/>
    <s v=""/>
    <m/>
    <m/>
    <m/>
    <m/>
    <x v="2"/>
  </r>
  <r>
    <s v="L1139"/>
    <x v="0"/>
    <x v="0"/>
    <x v="0"/>
    <d v="2025-10-27T00:00:00"/>
    <x v="11"/>
    <x v="12"/>
    <d v="2025-11-06T00:00:00"/>
    <x v="0"/>
    <x v="0"/>
    <d v="2025-11-29T00:00:00"/>
    <n v="23"/>
    <n v="3"/>
    <n v="2"/>
    <n v="5"/>
    <n v="5"/>
    <x v="0"/>
  </r>
  <r>
    <s v="L1140"/>
    <x v="0"/>
    <x v="0"/>
    <x v="0"/>
    <d v="2025-10-07T00:00:00"/>
    <x v="20"/>
    <x v="21"/>
    <d v="2025-10-16T00:00:00"/>
    <x v="0"/>
    <x v="0"/>
    <d v="2025-11-10T00:00:00"/>
    <n v="25"/>
    <n v="5"/>
    <n v="1"/>
    <n v="3"/>
    <n v="0"/>
    <x v="0"/>
  </r>
  <r>
    <s v="L1141"/>
    <x v="3"/>
    <x v="1"/>
    <x v="1"/>
    <d v="2025-10-10T00:00:00"/>
    <x v="2"/>
    <x v="2"/>
    <m/>
    <x v="1"/>
    <x v="1"/>
    <m/>
    <s v=""/>
    <m/>
    <m/>
    <m/>
    <m/>
    <x v="2"/>
  </r>
  <r>
    <s v="L1142"/>
    <x v="1"/>
    <x v="2"/>
    <x v="0"/>
    <d v="2025-10-08T00:00:00"/>
    <x v="20"/>
    <x v="21"/>
    <d v="2025-10-15T00:00:00"/>
    <x v="0"/>
    <x v="0"/>
    <d v="2025-11-06T00:00:00"/>
    <n v="22"/>
    <n v="4"/>
    <n v="1"/>
    <n v="2"/>
    <n v="4"/>
    <x v="0"/>
  </r>
  <r>
    <s v="L1143"/>
    <x v="3"/>
    <x v="2"/>
    <x v="0"/>
    <d v="2025-10-12T00:00:00"/>
    <x v="7"/>
    <x v="3"/>
    <d v="2025-10-27T00:00:00"/>
    <x v="0"/>
    <x v="0"/>
    <d v="2025-11-17T00:00:00"/>
    <n v="21"/>
    <n v="5"/>
    <n v="4"/>
    <n v="6"/>
    <n v="1"/>
    <x v="0"/>
  </r>
  <r>
    <s v="L1144"/>
    <x v="0"/>
    <x v="2"/>
    <x v="0"/>
    <d v="2025-10-06T00:00:00"/>
    <x v="27"/>
    <x v="14"/>
    <d v="2025-10-14T00:00:00"/>
    <x v="0"/>
    <x v="0"/>
    <d v="2025-11-10T00:00:00"/>
    <n v="27"/>
    <n v="3"/>
    <n v="3"/>
    <n v="2"/>
    <n v="6"/>
    <x v="0"/>
  </r>
  <r>
    <s v="L1145"/>
    <x v="1"/>
    <x v="0"/>
    <x v="0"/>
    <d v="2025-10-10T00:00:00"/>
    <x v="17"/>
    <x v="17"/>
    <d v="2025-10-18T00:00:00"/>
    <x v="0"/>
    <x v="0"/>
    <d v="2025-11-09T00:00:00"/>
    <n v="22"/>
    <n v="1"/>
    <n v="4"/>
    <n v="3"/>
    <n v="1"/>
    <x v="0"/>
  </r>
  <r>
    <s v="L1146"/>
    <x v="0"/>
    <x v="2"/>
    <x v="0"/>
    <d v="2025-10-01T00:00:00"/>
    <x v="33"/>
    <x v="34"/>
    <d v="2025-10-08T00:00:00"/>
    <x v="0"/>
    <x v="0"/>
    <d v="2025-10-21T00:00:00"/>
    <n v="13"/>
    <n v="2"/>
    <n v="1"/>
    <n v="4"/>
    <n v="6"/>
    <x v="0"/>
  </r>
  <r>
    <s v="L1147"/>
    <x v="3"/>
    <x v="1"/>
    <x v="1"/>
    <d v="2025-10-23T00:00:00"/>
    <x v="2"/>
    <x v="2"/>
    <m/>
    <x v="1"/>
    <x v="3"/>
    <m/>
    <s v=""/>
    <m/>
    <m/>
    <m/>
    <m/>
    <x v="2"/>
  </r>
  <r>
    <s v="L1148"/>
    <x v="3"/>
    <x v="2"/>
    <x v="0"/>
    <d v="2025-10-18T00:00:00"/>
    <x v="31"/>
    <x v="28"/>
    <d v="2025-10-26T00:00:00"/>
    <x v="0"/>
    <x v="0"/>
    <d v="2025-11-20T00:00:00"/>
    <n v="25"/>
    <n v="4"/>
    <n v="2"/>
    <n v="2"/>
    <n v="5"/>
    <x v="0"/>
  </r>
  <r>
    <s v="L1149"/>
    <x v="3"/>
    <x v="0"/>
    <x v="0"/>
    <d v="2025-10-05T00:00:00"/>
    <x v="21"/>
    <x v="30"/>
    <d v="2025-10-15T00:00:00"/>
    <x v="0"/>
    <x v="0"/>
    <d v="2025-11-12T00:00:00"/>
    <n v="28"/>
    <n v="5"/>
    <n v="1"/>
    <n v="4"/>
    <n v="4"/>
    <x v="0"/>
  </r>
  <r>
    <s v="L1150"/>
    <x v="0"/>
    <x v="2"/>
    <x v="0"/>
    <d v="2025-10-09T00:00:00"/>
    <x v="21"/>
    <x v="17"/>
    <d v="2025-10-18T00:00:00"/>
    <x v="0"/>
    <x v="0"/>
    <d v="2025-11-17T00:00:00"/>
    <n v="30"/>
    <n v="1"/>
    <n v="5"/>
    <n v="3"/>
    <n v="2"/>
    <x v="0"/>
  </r>
  <r>
    <s v="L1151"/>
    <x v="1"/>
    <x v="1"/>
    <x v="1"/>
    <d v="2025-10-02T00:00:00"/>
    <x v="2"/>
    <x v="2"/>
    <m/>
    <x v="1"/>
    <x v="1"/>
    <m/>
    <s v=""/>
    <m/>
    <m/>
    <m/>
    <m/>
    <x v="2"/>
  </r>
  <r>
    <s v="L1152"/>
    <x v="1"/>
    <x v="1"/>
    <x v="1"/>
    <d v="2025-10-02T00:00:00"/>
    <x v="2"/>
    <x v="2"/>
    <m/>
    <x v="1"/>
    <x v="3"/>
    <m/>
    <s v=""/>
    <m/>
    <m/>
    <m/>
    <m/>
    <x v="2"/>
  </r>
  <r>
    <s v="L1153"/>
    <x v="0"/>
    <x v="0"/>
    <x v="0"/>
    <d v="2025-10-18T00:00:00"/>
    <x v="22"/>
    <x v="3"/>
    <d v="2025-10-27T00:00:00"/>
    <x v="0"/>
    <x v="0"/>
    <d v="2025-11-13T00:00:00"/>
    <n v="17"/>
    <n v="1"/>
    <n v="2"/>
    <n v="6"/>
    <n v="7"/>
    <x v="1"/>
  </r>
  <r>
    <s v="L1154"/>
    <x v="1"/>
    <x v="1"/>
    <x v="1"/>
    <d v="2025-10-10T00:00:00"/>
    <x v="2"/>
    <x v="2"/>
    <m/>
    <x v="1"/>
    <x v="1"/>
    <m/>
    <s v=""/>
    <m/>
    <m/>
    <m/>
    <m/>
    <x v="2"/>
  </r>
  <r>
    <s v="L1155"/>
    <x v="0"/>
    <x v="2"/>
    <x v="0"/>
    <d v="2025-10-23T00:00:00"/>
    <x v="0"/>
    <x v="0"/>
    <d v="2025-11-02T00:00:00"/>
    <x v="0"/>
    <x v="0"/>
    <d v="2025-11-17T00:00:00"/>
    <n v="15"/>
    <n v="2"/>
    <n v="4"/>
    <n v="4"/>
    <n v="4"/>
    <x v="0"/>
  </r>
  <r>
    <s v="L1156"/>
    <x v="1"/>
    <x v="1"/>
    <x v="1"/>
    <d v="2025-10-31T00:00:00"/>
    <x v="2"/>
    <x v="2"/>
    <m/>
    <x v="1"/>
    <x v="4"/>
    <m/>
    <s v=""/>
    <m/>
    <m/>
    <m/>
    <m/>
    <x v="2"/>
  </r>
  <r>
    <s v="L1157"/>
    <x v="2"/>
    <x v="2"/>
    <x v="0"/>
    <d v="2025-10-05T00:00:00"/>
    <x v="30"/>
    <x v="14"/>
    <d v="2025-10-15T00:00:00"/>
    <x v="0"/>
    <x v="0"/>
    <d v="2025-11-08T00:00:00"/>
    <n v="24"/>
    <n v="3"/>
    <n v="4"/>
    <n v="3"/>
    <n v="8"/>
    <x v="1"/>
  </r>
  <r>
    <s v="L1158"/>
    <x v="2"/>
    <x v="1"/>
    <x v="1"/>
    <d v="2025-10-21T00:00:00"/>
    <x v="2"/>
    <x v="2"/>
    <m/>
    <x v="1"/>
    <x v="2"/>
    <m/>
    <s v=""/>
    <m/>
    <m/>
    <m/>
    <m/>
    <x v="2"/>
  </r>
  <r>
    <s v="L1159"/>
    <x v="3"/>
    <x v="2"/>
    <x v="0"/>
    <d v="2025-10-28T00:00:00"/>
    <x v="11"/>
    <x v="22"/>
    <d v="2025-11-08T00:00:00"/>
    <x v="0"/>
    <x v="0"/>
    <d v="2025-11-20T00:00:00"/>
    <n v="12"/>
    <n v="2"/>
    <n v="4"/>
    <n v="5"/>
    <n v="5"/>
    <x v="0"/>
  </r>
  <r>
    <s v="L1160"/>
    <x v="2"/>
    <x v="0"/>
    <x v="0"/>
    <d v="2025-10-25T00:00:00"/>
    <x v="12"/>
    <x v="0"/>
    <d v="2025-11-04T00:00:00"/>
    <x v="0"/>
    <x v="0"/>
    <d v="2025-11-15T00:00:00"/>
    <n v="11"/>
    <n v="2"/>
    <n v="2"/>
    <n v="6"/>
    <n v="3"/>
    <x v="0"/>
  </r>
  <r>
    <s v="L1161"/>
    <x v="2"/>
    <x v="0"/>
    <x v="0"/>
    <d v="2025-10-16T00:00:00"/>
    <x v="22"/>
    <x v="24"/>
    <d v="2025-10-29T00:00:00"/>
    <x v="0"/>
    <x v="0"/>
    <d v="2025-11-17T00:00:00"/>
    <n v="19"/>
    <n v="3"/>
    <n v="3"/>
    <n v="7"/>
    <n v="2"/>
    <x v="0"/>
  </r>
  <r>
    <s v="L1162"/>
    <x v="2"/>
    <x v="2"/>
    <x v="0"/>
    <d v="2025-10-04T00:00:00"/>
    <x v="15"/>
    <x v="13"/>
    <d v="2025-10-15T00:00:00"/>
    <x v="0"/>
    <x v="0"/>
    <d v="2025-10-25T00:00:00"/>
    <n v="10"/>
    <n v="3"/>
    <n v="3"/>
    <n v="5"/>
    <n v="7"/>
    <x v="1"/>
  </r>
  <r>
    <s v="L1163"/>
    <x v="0"/>
    <x v="2"/>
    <x v="0"/>
    <d v="2025-10-28T00:00:00"/>
    <x v="4"/>
    <x v="22"/>
    <d v="2025-11-09T00:00:00"/>
    <x v="0"/>
    <x v="0"/>
    <d v="2025-11-29T00:00:00"/>
    <n v="20"/>
    <n v="3"/>
    <n v="3"/>
    <n v="6"/>
    <n v="5"/>
    <x v="0"/>
  </r>
  <r>
    <s v="L1164"/>
    <x v="2"/>
    <x v="2"/>
    <x v="0"/>
    <d v="2025-10-01T00:00:00"/>
    <x v="29"/>
    <x v="35"/>
    <d v="2025-10-09T00:00:00"/>
    <x v="0"/>
    <x v="0"/>
    <d v="2025-10-27T00:00:00"/>
    <n v="18"/>
    <n v="1"/>
    <n v="1"/>
    <n v="6"/>
    <n v="6"/>
    <x v="0"/>
  </r>
  <r>
    <s v="L1165"/>
    <x v="2"/>
    <x v="0"/>
    <x v="0"/>
    <d v="2025-10-19T00:00:00"/>
    <x v="5"/>
    <x v="3"/>
    <d v="2025-10-23T00:00:00"/>
    <x v="0"/>
    <x v="0"/>
    <d v="2025-11-05T00:00:00"/>
    <n v="13"/>
    <n v="1"/>
    <n v="1"/>
    <n v="2"/>
    <n v="2"/>
    <x v="0"/>
  </r>
  <r>
    <s v="L1166"/>
    <x v="3"/>
    <x v="0"/>
    <x v="1"/>
    <d v="2025-10-10T00:00:00"/>
    <x v="1"/>
    <x v="1"/>
    <d v="2025-10-25T00:00:00"/>
    <x v="1"/>
    <x v="3"/>
    <m/>
    <s v=""/>
    <n v="4"/>
    <n v="5"/>
    <n v="6"/>
    <m/>
    <x v="2"/>
  </r>
  <r>
    <s v="L1167"/>
    <x v="2"/>
    <x v="2"/>
    <x v="1"/>
    <d v="2025-10-16T00:00:00"/>
    <x v="5"/>
    <x v="24"/>
    <d v="2025-10-24T00:00:00"/>
    <x v="1"/>
    <x v="5"/>
    <m/>
    <s v=""/>
    <n v="4"/>
    <n v="2"/>
    <n v="2"/>
    <m/>
    <x v="2"/>
  </r>
  <r>
    <s v="L1168"/>
    <x v="2"/>
    <x v="0"/>
    <x v="0"/>
    <d v="2025-10-16T00:00:00"/>
    <x v="3"/>
    <x v="16"/>
    <d v="2025-10-27T00:00:00"/>
    <x v="0"/>
    <x v="0"/>
    <d v="2025-11-08T00:00:00"/>
    <n v="12"/>
    <n v="2"/>
    <n v="5"/>
    <n v="4"/>
    <n v="5"/>
    <x v="0"/>
  </r>
  <r>
    <s v="L1169"/>
    <x v="1"/>
    <x v="2"/>
    <x v="0"/>
    <d v="2025-10-15T00:00:00"/>
    <x v="7"/>
    <x v="11"/>
    <d v="2025-10-24T00:00:00"/>
    <x v="0"/>
    <x v="0"/>
    <d v="2025-11-13T00:00:00"/>
    <n v="20"/>
    <n v="2"/>
    <n v="1"/>
    <n v="6"/>
    <n v="2"/>
    <x v="0"/>
  </r>
  <r>
    <s v="L1170"/>
    <x v="3"/>
    <x v="1"/>
    <x v="1"/>
    <d v="2025-10-11T00:00:00"/>
    <x v="2"/>
    <x v="2"/>
    <m/>
    <x v="1"/>
    <x v="2"/>
    <m/>
    <s v=""/>
    <m/>
    <m/>
    <m/>
    <m/>
    <x v="2"/>
  </r>
  <r>
    <s v="L1171"/>
    <x v="3"/>
    <x v="2"/>
    <x v="0"/>
    <d v="2025-10-06T00:00:00"/>
    <x v="21"/>
    <x v="14"/>
    <d v="2025-10-16T00:00:00"/>
    <x v="0"/>
    <x v="0"/>
    <d v="2025-10-31T00:00:00"/>
    <n v="15"/>
    <n v="4"/>
    <n v="2"/>
    <n v="4"/>
    <n v="1"/>
    <x v="0"/>
  </r>
  <r>
    <s v="L1172"/>
    <x v="3"/>
    <x v="2"/>
    <x v="0"/>
    <d v="2025-10-31T00:00:00"/>
    <x v="32"/>
    <x v="19"/>
    <d v="2025-11-15T00:00:00"/>
    <x v="0"/>
    <x v="0"/>
    <d v="2025-12-07T00:00:00"/>
    <n v="22"/>
    <n v="5"/>
    <n v="4"/>
    <n v="6"/>
    <n v="8"/>
    <x v="1"/>
  </r>
  <r>
    <s v="L1173"/>
    <x v="3"/>
    <x v="2"/>
    <x v="0"/>
    <d v="2025-10-02T00:00:00"/>
    <x v="26"/>
    <x v="29"/>
    <d v="2025-10-08T00:00:00"/>
    <x v="0"/>
    <x v="0"/>
    <d v="2025-10-23T00:00:00"/>
    <n v="15"/>
    <n v="2"/>
    <n v="2"/>
    <n v="2"/>
    <n v="6"/>
    <x v="0"/>
  </r>
  <r>
    <s v="L1174"/>
    <x v="3"/>
    <x v="0"/>
    <x v="0"/>
    <d v="2025-10-09T00:00:00"/>
    <x v="1"/>
    <x v="17"/>
    <d v="2025-10-22T00:00:00"/>
    <x v="0"/>
    <x v="0"/>
    <d v="2025-11-03T00:00:00"/>
    <n v="12"/>
    <n v="5"/>
    <n v="1"/>
    <n v="7"/>
    <n v="6"/>
    <x v="0"/>
  </r>
  <r>
    <s v="L1175"/>
    <x v="3"/>
    <x v="1"/>
    <x v="1"/>
    <d v="2025-10-31T00:00:00"/>
    <x v="2"/>
    <x v="2"/>
    <m/>
    <x v="1"/>
    <x v="5"/>
    <m/>
    <s v=""/>
    <m/>
    <m/>
    <m/>
    <m/>
    <x v="2"/>
  </r>
  <r>
    <s v="L1176"/>
    <x v="0"/>
    <x v="0"/>
    <x v="0"/>
    <d v="2025-10-28T00:00:00"/>
    <x v="34"/>
    <x v="9"/>
    <d v="2025-11-11T00:00:00"/>
    <x v="0"/>
    <x v="0"/>
    <d v="2025-12-08T00:00:00"/>
    <n v="27"/>
    <n v="5"/>
    <n v="4"/>
    <n v="5"/>
    <n v="3"/>
    <x v="0"/>
  </r>
  <r>
    <s v="L1177"/>
    <x v="2"/>
    <x v="2"/>
    <x v="0"/>
    <d v="2025-10-16T00:00:00"/>
    <x v="22"/>
    <x v="16"/>
    <d v="2025-10-29T00:00:00"/>
    <x v="0"/>
    <x v="0"/>
    <d v="2025-11-10T00:00:00"/>
    <n v="12"/>
    <n v="3"/>
    <n v="4"/>
    <n v="6"/>
    <n v="5"/>
    <x v="0"/>
  </r>
  <r>
    <s v="L1178"/>
    <x v="3"/>
    <x v="0"/>
    <x v="0"/>
    <d v="2025-10-04T00:00:00"/>
    <x v="6"/>
    <x v="36"/>
    <d v="2025-10-10T00:00:00"/>
    <x v="0"/>
    <x v="0"/>
    <d v="2025-10-30T00:00:00"/>
    <n v="20"/>
    <n v="1"/>
    <n v="2"/>
    <n v="3"/>
    <n v="9"/>
    <x v="3"/>
  </r>
  <r>
    <s v="L1179"/>
    <x v="2"/>
    <x v="0"/>
    <x v="0"/>
    <d v="2025-10-27T00:00:00"/>
    <x v="4"/>
    <x v="22"/>
    <d v="2025-11-08T00:00:00"/>
    <x v="0"/>
    <x v="0"/>
    <d v="2025-12-07T00:00:00"/>
    <n v="29"/>
    <n v="4"/>
    <n v="3"/>
    <n v="5"/>
    <n v="4"/>
    <x v="0"/>
  </r>
  <r>
    <s v="L1180"/>
    <x v="2"/>
    <x v="2"/>
    <x v="0"/>
    <d v="2025-10-03T00:00:00"/>
    <x v="26"/>
    <x v="32"/>
    <d v="2025-10-07T00:00:00"/>
    <x v="0"/>
    <x v="0"/>
    <d v="2025-11-05T00:00:00"/>
    <n v="29"/>
    <n v="1"/>
    <n v="1"/>
    <n v="2"/>
    <n v="1"/>
    <x v="0"/>
  </r>
  <r>
    <s v="L1181"/>
    <x v="0"/>
    <x v="0"/>
    <x v="0"/>
    <d v="2025-10-13T00:00:00"/>
    <x v="7"/>
    <x v="11"/>
    <d v="2025-10-25T00:00:00"/>
    <x v="0"/>
    <x v="0"/>
    <d v="2025-11-19T00:00:00"/>
    <n v="25"/>
    <n v="4"/>
    <n v="1"/>
    <n v="7"/>
    <n v="4"/>
    <x v="0"/>
  </r>
  <r>
    <s v="L1182"/>
    <x v="3"/>
    <x v="1"/>
    <x v="1"/>
    <d v="2025-10-16T00:00:00"/>
    <x v="2"/>
    <x v="2"/>
    <m/>
    <x v="1"/>
    <x v="2"/>
    <m/>
    <s v=""/>
    <m/>
    <m/>
    <m/>
    <m/>
    <x v="2"/>
  </r>
  <r>
    <s v="L1183"/>
    <x v="1"/>
    <x v="2"/>
    <x v="0"/>
    <d v="2025-10-03T00:00:00"/>
    <x v="26"/>
    <x v="36"/>
    <d v="2025-10-14T00:00:00"/>
    <x v="0"/>
    <x v="0"/>
    <d v="2025-10-24T00:00:00"/>
    <n v="10"/>
    <n v="1"/>
    <n v="3"/>
    <n v="7"/>
    <n v="6"/>
    <x v="0"/>
  </r>
  <r>
    <s v="L1184"/>
    <x v="0"/>
    <x v="0"/>
    <x v="0"/>
    <d v="2025-10-19T00:00:00"/>
    <x v="18"/>
    <x v="8"/>
    <d v="2025-10-31T00:00:00"/>
    <x v="0"/>
    <x v="0"/>
    <d v="2025-11-23T00:00:00"/>
    <n v="23"/>
    <n v="4"/>
    <n v="5"/>
    <n v="3"/>
    <n v="3"/>
    <x v="0"/>
  </r>
  <r>
    <s v="L1185"/>
    <x v="1"/>
    <x v="0"/>
    <x v="0"/>
    <d v="2025-10-21T00:00:00"/>
    <x v="31"/>
    <x v="18"/>
    <d v="2025-10-31T00:00:00"/>
    <x v="0"/>
    <x v="0"/>
    <d v="2025-11-30T00:00:00"/>
    <n v="30"/>
    <n v="1"/>
    <n v="5"/>
    <n v="4"/>
    <n v="2"/>
    <x v="0"/>
  </r>
  <r>
    <s v="L1186"/>
    <x v="2"/>
    <x v="0"/>
    <x v="0"/>
    <d v="2025-10-22T00:00:00"/>
    <x v="0"/>
    <x v="26"/>
    <d v="2025-10-28T00:00:00"/>
    <x v="0"/>
    <x v="0"/>
    <d v="2025-11-12T00:00:00"/>
    <n v="15"/>
    <n v="3"/>
    <n v="1"/>
    <n v="2"/>
    <n v="3"/>
    <x v="0"/>
  </r>
  <r>
    <s v="L1187"/>
    <x v="2"/>
    <x v="2"/>
    <x v="0"/>
    <d v="2025-10-02T00:00:00"/>
    <x v="15"/>
    <x v="13"/>
    <d v="2025-10-15T00:00:00"/>
    <x v="0"/>
    <x v="0"/>
    <d v="2025-11-13T00:00:00"/>
    <n v="29"/>
    <n v="5"/>
    <n v="3"/>
    <n v="5"/>
    <n v="7"/>
    <x v="1"/>
  </r>
  <r>
    <s v="L1188"/>
    <x v="0"/>
    <x v="2"/>
    <x v="0"/>
    <d v="2025-10-05T00:00:00"/>
    <x v="27"/>
    <x v="14"/>
    <d v="2025-10-16T00:00:00"/>
    <x v="0"/>
    <x v="0"/>
    <d v="2025-11-08T00:00:00"/>
    <n v="23"/>
    <n v="4"/>
    <n v="3"/>
    <n v="4"/>
    <n v="9"/>
    <x v="3"/>
  </r>
  <r>
    <s v="L1189"/>
    <x v="0"/>
    <x v="1"/>
    <x v="1"/>
    <d v="2025-10-05T00:00:00"/>
    <x v="2"/>
    <x v="2"/>
    <m/>
    <x v="1"/>
    <x v="2"/>
    <m/>
    <s v=""/>
    <m/>
    <m/>
    <m/>
    <m/>
    <x v="2"/>
  </r>
  <r>
    <s v="L1190"/>
    <x v="1"/>
    <x v="1"/>
    <x v="1"/>
    <d v="2025-10-26T00:00:00"/>
    <x v="2"/>
    <x v="2"/>
    <m/>
    <x v="1"/>
    <x v="1"/>
    <m/>
    <s v=""/>
    <m/>
    <m/>
    <m/>
    <m/>
    <x v="2"/>
  </r>
  <r>
    <s v="L1191"/>
    <x v="3"/>
    <x v="0"/>
    <x v="0"/>
    <d v="2025-10-19T00:00:00"/>
    <x v="9"/>
    <x v="8"/>
    <d v="2025-11-01T00:00:00"/>
    <x v="0"/>
    <x v="0"/>
    <d v="2025-11-16T00:00:00"/>
    <n v="15"/>
    <n v="5"/>
    <n v="4"/>
    <n v="4"/>
    <n v="10"/>
    <x v="3"/>
  </r>
  <r>
    <s v="L1192"/>
    <x v="1"/>
    <x v="0"/>
    <x v="1"/>
    <d v="2025-10-31T00:00:00"/>
    <x v="8"/>
    <x v="19"/>
    <d v="2025-11-11T00:00:00"/>
    <x v="1"/>
    <x v="3"/>
    <m/>
    <s v=""/>
    <n v="4"/>
    <n v="5"/>
    <n v="2"/>
    <m/>
    <x v="2"/>
  </r>
  <r>
    <s v="L1193"/>
    <x v="0"/>
    <x v="0"/>
    <x v="0"/>
    <d v="2025-10-10T00:00:00"/>
    <x v="1"/>
    <x v="1"/>
    <d v="2025-10-24T00:00:00"/>
    <x v="0"/>
    <x v="0"/>
    <d v="2025-11-04T00:00:00"/>
    <n v="11"/>
    <n v="4"/>
    <n v="5"/>
    <n v="5"/>
    <n v="5"/>
    <x v="0"/>
  </r>
  <r>
    <s v="L1194"/>
    <x v="1"/>
    <x v="0"/>
    <x v="0"/>
    <d v="2025-10-03T00:00:00"/>
    <x v="13"/>
    <x v="13"/>
    <d v="2025-10-12T00:00:00"/>
    <x v="0"/>
    <x v="0"/>
    <d v="2025-10-25T00:00:00"/>
    <n v="13"/>
    <n v="3"/>
    <n v="4"/>
    <n v="2"/>
    <n v="3"/>
    <x v="0"/>
  </r>
  <r>
    <s v="L1195"/>
    <x v="0"/>
    <x v="0"/>
    <x v="0"/>
    <d v="2025-10-08T00:00:00"/>
    <x v="27"/>
    <x v="30"/>
    <d v="2025-10-14T00:00:00"/>
    <x v="0"/>
    <x v="0"/>
    <d v="2025-11-03T00:00:00"/>
    <n v="20"/>
    <n v="1"/>
    <n v="2"/>
    <n v="3"/>
    <n v="9"/>
    <x v="3"/>
  </r>
  <r>
    <s v="L1196"/>
    <x v="1"/>
    <x v="2"/>
    <x v="0"/>
    <d v="2025-10-04T00:00:00"/>
    <x v="30"/>
    <x v="21"/>
    <d v="2025-10-16T00:00:00"/>
    <x v="0"/>
    <x v="0"/>
    <d v="2025-11-01T00:00:00"/>
    <n v="16"/>
    <n v="4"/>
    <n v="5"/>
    <n v="3"/>
    <n v="10"/>
    <x v="3"/>
  </r>
  <r>
    <s v="L1197"/>
    <x v="0"/>
    <x v="1"/>
    <x v="1"/>
    <d v="2025-10-18T00:00:00"/>
    <x v="2"/>
    <x v="2"/>
    <m/>
    <x v="1"/>
    <x v="3"/>
    <m/>
    <s v=""/>
    <m/>
    <m/>
    <m/>
    <m/>
    <x v="2"/>
  </r>
  <r>
    <s v="L1198"/>
    <x v="0"/>
    <x v="0"/>
    <x v="0"/>
    <d v="2025-10-25T00:00:00"/>
    <x v="25"/>
    <x v="15"/>
    <d v="2025-11-06T00:00:00"/>
    <x v="0"/>
    <x v="0"/>
    <d v="2025-11-22T00:00:00"/>
    <n v="16"/>
    <n v="1"/>
    <n v="4"/>
    <n v="7"/>
    <n v="8"/>
    <x v="1"/>
  </r>
  <r>
    <s v="L1199"/>
    <x v="0"/>
    <x v="1"/>
    <x v="1"/>
    <d v="2025-10-14T00:00:00"/>
    <x v="2"/>
    <x v="2"/>
    <m/>
    <x v="1"/>
    <x v="2"/>
    <m/>
    <s v=""/>
    <m/>
    <m/>
    <m/>
    <m/>
    <x v="2"/>
  </r>
  <r>
    <s v="L1200"/>
    <x v="3"/>
    <x v="2"/>
    <x v="0"/>
    <d v="2025-10-20T00:00:00"/>
    <x v="18"/>
    <x v="26"/>
    <d v="2025-11-01T00:00:00"/>
    <x v="0"/>
    <x v="0"/>
    <d v="2025-11-24T00:00:00"/>
    <n v="23"/>
    <n v="3"/>
    <n v="3"/>
    <n v="6"/>
    <n v="6"/>
    <x v="0"/>
  </r>
  <r>
    <s v="L1201"/>
    <x v="1"/>
    <x v="2"/>
    <x v="0"/>
    <d v="2025-10-20T00:00:00"/>
    <x v="31"/>
    <x v="28"/>
    <d v="2025-10-31T00:00:00"/>
    <x v="0"/>
    <x v="0"/>
    <d v="2025-11-27T00:00:00"/>
    <n v="27"/>
    <n v="2"/>
    <n v="2"/>
    <n v="7"/>
    <n v="2"/>
    <x v="0"/>
  </r>
  <r>
    <s v="L1202"/>
    <x v="1"/>
    <x v="2"/>
    <x v="0"/>
    <d v="2025-10-26T00:00:00"/>
    <x v="4"/>
    <x v="12"/>
    <d v="2025-11-05T00:00:00"/>
    <x v="0"/>
    <x v="0"/>
    <d v="2025-12-02T00:00:00"/>
    <n v="27"/>
    <n v="5"/>
    <n v="1"/>
    <n v="4"/>
    <n v="2"/>
    <x v="0"/>
  </r>
  <r>
    <s v="L1203"/>
    <x v="1"/>
    <x v="0"/>
    <x v="0"/>
    <d v="2025-10-20T00:00:00"/>
    <x v="9"/>
    <x v="18"/>
    <d v="2025-11-03T00:00:00"/>
    <x v="0"/>
    <x v="0"/>
    <d v="2025-11-21T00:00:00"/>
    <n v="18"/>
    <n v="4"/>
    <n v="3"/>
    <n v="7"/>
    <n v="9"/>
    <x v="3"/>
  </r>
  <r>
    <s v="L1204"/>
    <x v="0"/>
    <x v="1"/>
    <x v="1"/>
    <d v="2025-10-08T00:00:00"/>
    <x v="2"/>
    <x v="2"/>
    <m/>
    <x v="1"/>
    <x v="4"/>
    <m/>
    <s v=""/>
    <m/>
    <m/>
    <m/>
    <m/>
    <x v="2"/>
  </r>
  <r>
    <s v="L1205"/>
    <x v="1"/>
    <x v="2"/>
    <x v="0"/>
    <d v="2025-10-25T00:00:00"/>
    <x v="28"/>
    <x v="15"/>
    <d v="2025-11-05T00:00:00"/>
    <x v="0"/>
    <x v="0"/>
    <d v="2025-11-24T00:00:00"/>
    <n v="19"/>
    <n v="3"/>
    <n v="2"/>
    <n v="6"/>
    <n v="2"/>
    <x v="0"/>
  </r>
  <r>
    <s v="L1206"/>
    <x v="1"/>
    <x v="1"/>
    <x v="1"/>
    <d v="2025-10-17T00:00:00"/>
    <x v="2"/>
    <x v="2"/>
    <m/>
    <x v="1"/>
    <x v="4"/>
    <m/>
    <s v=""/>
    <m/>
    <m/>
    <m/>
    <m/>
    <x v="2"/>
  </r>
  <r>
    <s v="L1207"/>
    <x v="0"/>
    <x v="0"/>
    <x v="0"/>
    <d v="2025-10-13T00:00:00"/>
    <x v="1"/>
    <x v="11"/>
    <d v="2025-10-25T00:00:00"/>
    <x v="0"/>
    <x v="0"/>
    <d v="2025-11-13T00:00:00"/>
    <n v="19"/>
    <n v="1"/>
    <n v="4"/>
    <n v="7"/>
    <n v="7"/>
    <x v="1"/>
  </r>
  <r>
    <s v="L1208"/>
    <x v="2"/>
    <x v="1"/>
    <x v="1"/>
    <d v="2025-10-15T00:00:00"/>
    <x v="2"/>
    <x v="2"/>
    <m/>
    <x v="1"/>
    <x v="5"/>
    <m/>
    <s v=""/>
    <m/>
    <m/>
    <m/>
    <m/>
    <x v="2"/>
  </r>
  <r>
    <s v="L1209"/>
    <x v="0"/>
    <x v="2"/>
    <x v="0"/>
    <d v="2025-10-30T00:00:00"/>
    <x v="35"/>
    <x v="9"/>
    <d v="2025-11-11T00:00:00"/>
    <x v="0"/>
    <x v="0"/>
    <d v="2025-11-28T00:00:00"/>
    <n v="17"/>
    <n v="4"/>
    <n v="3"/>
    <n v="5"/>
    <n v="9"/>
    <x v="3"/>
  </r>
  <r>
    <s v="L1210"/>
    <x v="1"/>
    <x v="1"/>
    <x v="1"/>
    <d v="2025-10-15T00:00:00"/>
    <x v="2"/>
    <x v="2"/>
    <m/>
    <x v="1"/>
    <x v="5"/>
    <m/>
    <s v=""/>
    <m/>
    <m/>
    <m/>
    <m/>
    <x v="2"/>
  </r>
  <r>
    <s v="L1211"/>
    <x v="0"/>
    <x v="0"/>
    <x v="1"/>
    <d v="2025-10-10T00:00:00"/>
    <x v="17"/>
    <x v="21"/>
    <d v="2025-10-16T00:00:00"/>
    <x v="1"/>
    <x v="1"/>
    <m/>
    <s v=""/>
    <n v="1"/>
    <n v="2"/>
    <n v="3"/>
    <m/>
    <x v="2"/>
  </r>
  <r>
    <s v="L1212"/>
    <x v="2"/>
    <x v="2"/>
    <x v="0"/>
    <d v="2025-10-28T00:00:00"/>
    <x v="11"/>
    <x v="31"/>
    <d v="2025-11-06T00:00:00"/>
    <x v="0"/>
    <x v="0"/>
    <d v="2025-11-19T00:00:00"/>
    <n v="13"/>
    <n v="2"/>
    <n v="1"/>
    <n v="6"/>
    <n v="4"/>
    <x v="0"/>
  </r>
  <r>
    <s v="L1213"/>
    <x v="0"/>
    <x v="2"/>
    <x v="0"/>
    <d v="2025-10-19T00:00:00"/>
    <x v="18"/>
    <x v="26"/>
    <d v="2025-10-29T00:00:00"/>
    <x v="0"/>
    <x v="0"/>
    <d v="2025-11-09T00:00:00"/>
    <n v="11"/>
    <n v="4"/>
    <n v="3"/>
    <n v="3"/>
    <n v="2"/>
    <x v="0"/>
  </r>
  <r>
    <s v="L1214"/>
    <x v="1"/>
    <x v="1"/>
    <x v="1"/>
    <d v="2025-10-14T00:00:00"/>
    <x v="2"/>
    <x v="2"/>
    <m/>
    <x v="1"/>
    <x v="2"/>
    <m/>
    <s v=""/>
    <m/>
    <m/>
    <m/>
    <m/>
    <x v="2"/>
  </r>
  <r>
    <s v="L1215"/>
    <x v="2"/>
    <x v="1"/>
    <x v="1"/>
    <d v="2025-10-10T00:00:00"/>
    <x v="2"/>
    <x v="2"/>
    <m/>
    <x v="1"/>
    <x v="5"/>
    <m/>
    <s v=""/>
    <m/>
    <m/>
    <m/>
    <m/>
    <x v="2"/>
  </r>
  <r>
    <s v="L1216"/>
    <x v="3"/>
    <x v="2"/>
    <x v="0"/>
    <d v="2025-10-19T00:00:00"/>
    <x v="9"/>
    <x v="18"/>
    <d v="2025-10-30T00:00:00"/>
    <x v="0"/>
    <x v="0"/>
    <d v="2025-11-21T00:00:00"/>
    <n v="22"/>
    <n v="5"/>
    <n v="3"/>
    <n v="3"/>
    <n v="0"/>
    <x v="0"/>
  </r>
  <r>
    <s v="L1217"/>
    <x v="1"/>
    <x v="0"/>
    <x v="1"/>
    <d v="2025-10-20T00:00:00"/>
    <x v="9"/>
    <x v="0"/>
    <d v="2025-11-01T00:00:00"/>
    <x v="1"/>
    <x v="5"/>
    <m/>
    <s v=""/>
    <n v="4"/>
    <n v="5"/>
    <n v="3"/>
    <m/>
    <x v="2"/>
  </r>
  <r>
    <s v="L1218"/>
    <x v="2"/>
    <x v="1"/>
    <x v="1"/>
    <d v="2025-10-02T00:00:00"/>
    <x v="2"/>
    <x v="2"/>
    <m/>
    <x v="1"/>
    <x v="2"/>
    <m/>
    <s v=""/>
    <m/>
    <m/>
    <m/>
    <m/>
    <x v="2"/>
  </r>
  <r>
    <s v="L1219"/>
    <x v="2"/>
    <x v="1"/>
    <x v="1"/>
    <d v="2025-10-20T00:00:00"/>
    <x v="2"/>
    <x v="2"/>
    <m/>
    <x v="1"/>
    <x v="1"/>
    <m/>
    <s v=""/>
    <m/>
    <m/>
    <m/>
    <m/>
    <x v="2"/>
  </r>
  <r>
    <s v="L1220"/>
    <x v="3"/>
    <x v="1"/>
    <x v="1"/>
    <d v="2025-10-31T00:00:00"/>
    <x v="2"/>
    <x v="2"/>
    <m/>
    <x v="1"/>
    <x v="5"/>
    <m/>
    <s v=""/>
    <m/>
    <m/>
    <m/>
    <m/>
    <x v="2"/>
  </r>
  <r>
    <s v="L1221"/>
    <x v="0"/>
    <x v="0"/>
    <x v="0"/>
    <d v="2025-10-24T00:00:00"/>
    <x v="23"/>
    <x v="31"/>
    <d v="2025-11-02T00:00:00"/>
    <x v="0"/>
    <x v="0"/>
    <d v="2025-11-30T00:00:00"/>
    <n v="28"/>
    <n v="5"/>
    <n v="2"/>
    <n v="2"/>
    <n v="3"/>
    <x v="0"/>
  </r>
  <r>
    <s v="L1222"/>
    <x v="0"/>
    <x v="0"/>
    <x v="0"/>
    <d v="2025-10-04T00:00:00"/>
    <x v="6"/>
    <x v="36"/>
    <d v="2025-10-13T00:00:00"/>
    <x v="0"/>
    <x v="0"/>
    <d v="2025-11-09T00:00:00"/>
    <n v="27"/>
    <n v="1"/>
    <n v="2"/>
    <n v="6"/>
    <n v="1"/>
    <x v="0"/>
  </r>
  <r>
    <s v="L1223"/>
    <x v="1"/>
    <x v="0"/>
    <x v="0"/>
    <d v="2025-10-31T00:00:00"/>
    <x v="8"/>
    <x v="19"/>
    <d v="2025-11-13T00:00:00"/>
    <x v="0"/>
    <x v="0"/>
    <d v="2025-12-08T00:00:00"/>
    <n v="25"/>
    <n v="4"/>
    <n v="5"/>
    <n v="4"/>
    <n v="7"/>
    <x v="1"/>
  </r>
  <r>
    <s v="L1224"/>
    <x v="3"/>
    <x v="0"/>
    <x v="0"/>
    <d v="2025-10-25T00:00:00"/>
    <x v="28"/>
    <x v="12"/>
    <d v="2025-11-07T00:00:00"/>
    <x v="0"/>
    <x v="0"/>
    <d v="2025-11-21T00:00:00"/>
    <n v="14"/>
    <n v="3"/>
    <n v="4"/>
    <n v="6"/>
    <n v="3"/>
    <x v="0"/>
  </r>
  <r>
    <s v="L1225"/>
    <x v="0"/>
    <x v="0"/>
    <x v="1"/>
    <d v="2025-10-07T00:00:00"/>
    <x v="21"/>
    <x v="23"/>
    <d v="2025-10-18T00:00:00"/>
    <x v="1"/>
    <x v="1"/>
    <m/>
    <s v=""/>
    <n v="3"/>
    <n v="4"/>
    <n v="4"/>
    <m/>
    <x v="2"/>
  </r>
  <r>
    <s v="L1226"/>
    <x v="3"/>
    <x v="0"/>
    <x v="1"/>
    <d v="2025-10-21T00:00:00"/>
    <x v="18"/>
    <x v="8"/>
    <d v="2025-11-03T00:00:00"/>
    <x v="1"/>
    <x v="3"/>
    <m/>
    <s v=""/>
    <n v="2"/>
    <n v="5"/>
    <n v="6"/>
    <m/>
    <x v="2"/>
  </r>
  <r>
    <s v="L1227"/>
    <x v="0"/>
    <x v="2"/>
    <x v="0"/>
    <d v="2025-10-07T00:00:00"/>
    <x v="21"/>
    <x v="21"/>
    <d v="2025-10-19T00:00:00"/>
    <x v="0"/>
    <x v="0"/>
    <d v="2025-10-30T00:00:00"/>
    <n v="11"/>
    <n v="3"/>
    <n v="3"/>
    <n v="6"/>
    <n v="4"/>
    <x v="0"/>
  </r>
  <r>
    <s v="L1228"/>
    <x v="2"/>
    <x v="1"/>
    <x v="1"/>
    <d v="2025-10-09T00:00:00"/>
    <x v="2"/>
    <x v="2"/>
    <m/>
    <x v="1"/>
    <x v="1"/>
    <m/>
    <s v=""/>
    <m/>
    <m/>
    <m/>
    <m/>
    <x v="2"/>
  </r>
  <r>
    <s v="L1229"/>
    <x v="0"/>
    <x v="0"/>
    <x v="0"/>
    <d v="2025-10-22T00:00:00"/>
    <x v="9"/>
    <x v="27"/>
    <d v="2025-10-28T00:00:00"/>
    <x v="0"/>
    <x v="0"/>
    <d v="2025-11-18T00:00:00"/>
    <n v="21"/>
    <n v="2"/>
    <n v="1"/>
    <n v="3"/>
    <n v="2"/>
    <x v="0"/>
  </r>
  <r>
    <s v="L1230"/>
    <x v="3"/>
    <x v="0"/>
    <x v="0"/>
    <d v="2025-10-03T00:00:00"/>
    <x v="26"/>
    <x v="5"/>
    <d v="2025-10-12T00:00:00"/>
    <x v="0"/>
    <x v="0"/>
    <d v="2025-10-22T00:00:00"/>
    <n v="10"/>
    <n v="1"/>
    <n v="4"/>
    <n v="4"/>
    <n v="2"/>
    <x v="0"/>
  </r>
  <r>
    <s v="L1231"/>
    <x v="2"/>
    <x v="0"/>
    <x v="0"/>
    <d v="2025-10-06T00:00:00"/>
    <x v="17"/>
    <x v="14"/>
    <d v="2025-10-19T00:00:00"/>
    <x v="0"/>
    <x v="0"/>
    <d v="2025-11-11T00:00:00"/>
    <n v="23"/>
    <n v="5"/>
    <n v="1"/>
    <n v="7"/>
    <n v="8"/>
    <x v="1"/>
  </r>
  <r>
    <s v="L1232"/>
    <x v="2"/>
    <x v="0"/>
    <x v="1"/>
    <d v="2025-10-08T00:00:00"/>
    <x v="27"/>
    <x v="30"/>
    <d v="2025-10-15T00:00:00"/>
    <x v="1"/>
    <x v="4"/>
    <m/>
    <s v=""/>
    <n v="1"/>
    <n v="2"/>
    <n v="4"/>
    <m/>
    <x v="2"/>
  </r>
  <r>
    <s v="L1233"/>
    <x v="2"/>
    <x v="2"/>
    <x v="0"/>
    <d v="2025-10-06T00:00:00"/>
    <x v="17"/>
    <x v="21"/>
    <d v="2025-10-17T00:00:00"/>
    <x v="0"/>
    <x v="0"/>
    <d v="2025-10-29T00:00:00"/>
    <n v="12"/>
    <n v="5"/>
    <n v="2"/>
    <n v="4"/>
    <n v="9"/>
    <x v="3"/>
  </r>
  <r>
    <s v="L1234"/>
    <x v="3"/>
    <x v="2"/>
    <x v="0"/>
    <d v="2025-10-18T00:00:00"/>
    <x v="18"/>
    <x v="18"/>
    <d v="2025-11-02T00:00:00"/>
    <x v="0"/>
    <x v="0"/>
    <d v="2025-11-21T00:00:00"/>
    <n v="19"/>
    <n v="5"/>
    <n v="4"/>
    <n v="6"/>
    <n v="4"/>
    <x v="0"/>
  </r>
  <r>
    <s v="L1235"/>
    <x v="1"/>
    <x v="2"/>
    <x v="0"/>
    <d v="2025-10-03T00:00:00"/>
    <x v="6"/>
    <x v="5"/>
    <d v="2025-10-12T00:00:00"/>
    <x v="0"/>
    <x v="0"/>
    <d v="2025-11-11T00:00:00"/>
    <n v="30"/>
    <n v="2"/>
    <n v="3"/>
    <n v="4"/>
    <n v="7"/>
    <x v="1"/>
  </r>
  <r>
    <s v="L1236"/>
    <x v="1"/>
    <x v="2"/>
    <x v="0"/>
    <d v="2025-10-06T00:00:00"/>
    <x v="27"/>
    <x v="30"/>
    <d v="2025-10-17T00:00:00"/>
    <x v="0"/>
    <x v="0"/>
    <d v="2025-11-15T00:00:00"/>
    <n v="29"/>
    <n v="3"/>
    <n v="2"/>
    <n v="6"/>
    <n v="7"/>
    <x v="1"/>
  </r>
  <r>
    <s v="L1237"/>
    <x v="1"/>
    <x v="0"/>
    <x v="0"/>
    <d v="2025-10-01T00:00:00"/>
    <x v="26"/>
    <x v="32"/>
    <d v="2025-10-12T00:00:00"/>
    <x v="0"/>
    <x v="0"/>
    <d v="2025-11-06T00:00:00"/>
    <n v="25"/>
    <n v="3"/>
    <n v="1"/>
    <n v="7"/>
    <n v="0"/>
    <x v="0"/>
  </r>
  <r>
    <s v="L1238"/>
    <x v="3"/>
    <x v="0"/>
    <x v="0"/>
    <d v="2025-10-14T00:00:00"/>
    <x v="24"/>
    <x v="1"/>
    <d v="2025-10-21T00:00:00"/>
    <x v="0"/>
    <x v="0"/>
    <d v="2025-11-06T00:00:00"/>
    <n v="16"/>
    <n v="2"/>
    <n v="3"/>
    <n v="2"/>
    <n v="1"/>
    <x v="0"/>
  </r>
  <r>
    <s v="L1239"/>
    <x v="2"/>
    <x v="2"/>
    <x v="1"/>
    <d v="2025-10-15T00:00:00"/>
    <x v="7"/>
    <x v="3"/>
    <d v="2025-10-24T00:00:00"/>
    <x v="1"/>
    <x v="4"/>
    <m/>
    <s v=""/>
    <n v="2"/>
    <n v="4"/>
    <n v="3"/>
    <m/>
    <x v="2"/>
  </r>
  <r>
    <s v="L1240"/>
    <x v="1"/>
    <x v="0"/>
    <x v="0"/>
    <d v="2025-10-23T00:00:00"/>
    <x v="9"/>
    <x v="26"/>
    <d v="2025-10-31T00:00:00"/>
    <x v="0"/>
    <x v="0"/>
    <d v="2025-11-13T00:00:00"/>
    <n v="13"/>
    <n v="1"/>
    <n v="2"/>
    <n v="5"/>
    <n v="9"/>
    <x v="3"/>
  </r>
  <r>
    <s v="L1241"/>
    <x v="3"/>
    <x v="2"/>
    <x v="0"/>
    <d v="2025-10-20T00:00:00"/>
    <x v="31"/>
    <x v="26"/>
    <d v="2025-10-28T00:00:00"/>
    <x v="0"/>
    <x v="0"/>
    <d v="2025-11-07T00:00:00"/>
    <n v="10"/>
    <n v="2"/>
    <n v="4"/>
    <n v="2"/>
    <n v="1"/>
    <x v="0"/>
  </r>
  <r>
    <s v="L1242"/>
    <x v="1"/>
    <x v="1"/>
    <x v="1"/>
    <d v="2025-10-16T00:00:00"/>
    <x v="2"/>
    <x v="2"/>
    <m/>
    <x v="1"/>
    <x v="1"/>
    <m/>
    <s v=""/>
    <m/>
    <m/>
    <m/>
    <m/>
    <x v="2"/>
  </r>
  <r>
    <s v="L1243"/>
    <x v="0"/>
    <x v="1"/>
    <x v="1"/>
    <d v="2025-10-10T00:00:00"/>
    <x v="2"/>
    <x v="2"/>
    <m/>
    <x v="1"/>
    <x v="4"/>
    <m/>
    <s v=""/>
    <m/>
    <m/>
    <m/>
    <m/>
    <x v="2"/>
  </r>
  <r>
    <s v="L1244"/>
    <x v="1"/>
    <x v="2"/>
    <x v="0"/>
    <d v="2025-10-02T00:00:00"/>
    <x v="6"/>
    <x v="5"/>
    <d v="2025-10-12T00:00:00"/>
    <x v="0"/>
    <x v="0"/>
    <d v="2025-10-28T00:00:00"/>
    <n v="16"/>
    <n v="3"/>
    <n v="3"/>
    <n v="4"/>
    <n v="6"/>
    <x v="0"/>
  </r>
  <r>
    <s v="L1245"/>
    <x v="1"/>
    <x v="0"/>
    <x v="1"/>
    <d v="2025-10-08T00:00:00"/>
    <x v="21"/>
    <x v="21"/>
    <d v="2025-10-20T00:00:00"/>
    <x v="1"/>
    <x v="3"/>
    <m/>
    <s v=""/>
    <n v="2"/>
    <n v="3"/>
    <n v="7"/>
    <m/>
    <x v="2"/>
  </r>
  <r>
    <s v="L1246"/>
    <x v="2"/>
    <x v="2"/>
    <x v="0"/>
    <d v="2025-10-10T00:00:00"/>
    <x v="20"/>
    <x v="17"/>
    <d v="2025-10-18T00:00:00"/>
    <x v="0"/>
    <x v="0"/>
    <d v="2025-11-02T00:00:00"/>
    <n v="15"/>
    <n v="2"/>
    <n v="3"/>
    <n v="3"/>
    <n v="6"/>
    <x v="0"/>
  </r>
  <r>
    <s v="L1247"/>
    <x v="3"/>
    <x v="0"/>
    <x v="0"/>
    <d v="2025-10-23T00:00:00"/>
    <x v="28"/>
    <x v="10"/>
    <d v="2025-11-09T00:00:00"/>
    <x v="0"/>
    <x v="0"/>
    <d v="2025-12-09T00:00:00"/>
    <n v="30"/>
    <n v="5"/>
    <n v="5"/>
    <n v="7"/>
    <n v="4"/>
    <x v="0"/>
  </r>
  <r>
    <s v="L1248"/>
    <x v="2"/>
    <x v="0"/>
    <x v="0"/>
    <d v="2025-10-10T00:00:00"/>
    <x v="20"/>
    <x v="25"/>
    <d v="2025-10-20T00:00:00"/>
    <x v="0"/>
    <x v="0"/>
    <d v="2025-11-08T00:00:00"/>
    <n v="19"/>
    <n v="2"/>
    <n v="5"/>
    <n v="3"/>
    <n v="7"/>
    <x v="1"/>
  </r>
  <r>
    <s v="L1249"/>
    <x v="2"/>
    <x v="2"/>
    <x v="0"/>
    <d v="2025-10-23T00:00:00"/>
    <x v="9"/>
    <x v="27"/>
    <d v="2025-10-28T00:00:00"/>
    <x v="0"/>
    <x v="0"/>
    <d v="2025-11-09T00:00:00"/>
    <n v="12"/>
    <n v="1"/>
    <n v="1"/>
    <n v="3"/>
    <n v="3"/>
    <x v="0"/>
  </r>
  <r>
    <s v="L1250"/>
    <x v="2"/>
    <x v="0"/>
    <x v="0"/>
    <d v="2025-10-28T00:00:00"/>
    <x v="11"/>
    <x v="10"/>
    <d v="2025-11-05T00:00:00"/>
    <x v="0"/>
    <x v="0"/>
    <d v="2025-11-30T00:00:00"/>
    <n v="25"/>
    <n v="2"/>
    <n v="3"/>
    <n v="3"/>
    <n v="2"/>
    <x v="0"/>
  </r>
  <r>
    <s v="L1251"/>
    <x v="2"/>
    <x v="2"/>
    <x v="0"/>
    <d v="2025-10-15T00:00:00"/>
    <x v="22"/>
    <x v="24"/>
    <d v="2025-10-29T00:00:00"/>
    <x v="0"/>
    <x v="0"/>
    <d v="2025-11-11T00:00:00"/>
    <n v="13"/>
    <n v="4"/>
    <n v="3"/>
    <n v="7"/>
    <n v="6"/>
    <x v="0"/>
  </r>
  <r>
    <s v="L1252"/>
    <x v="2"/>
    <x v="2"/>
    <x v="0"/>
    <d v="2025-10-03T00:00:00"/>
    <x v="15"/>
    <x v="37"/>
    <d v="2025-10-13T00:00:00"/>
    <x v="0"/>
    <x v="0"/>
    <d v="2025-11-01T00:00:00"/>
    <n v="19"/>
    <n v="4"/>
    <n v="2"/>
    <n v="4"/>
    <n v="10"/>
    <x v="3"/>
  </r>
  <r>
    <s v="L1253"/>
    <x v="1"/>
    <x v="0"/>
    <x v="0"/>
    <d v="2025-10-22T00:00:00"/>
    <x v="12"/>
    <x v="8"/>
    <d v="2025-10-31T00:00:00"/>
    <x v="0"/>
    <x v="0"/>
    <d v="2025-11-22T00:00:00"/>
    <n v="22"/>
    <n v="5"/>
    <n v="1"/>
    <n v="3"/>
    <n v="4"/>
    <x v="0"/>
  </r>
  <r>
    <s v="L1254"/>
    <x v="2"/>
    <x v="0"/>
    <x v="0"/>
    <d v="2025-10-08T00:00:00"/>
    <x v="19"/>
    <x v="23"/>
    <d v="2025-10-21T00:00:00"/>
    <x v="0"/>
    <x v="0"/>
    <d v="2025-11-15T00:00:00"/>
    <n v="25"/>
    <n v="5"/>
    <n v="1"/>
    <n v="7"/>
    <n v="5"/>
    <x v="0"/>
  </r>
  <r>
    <s v="L1255"/>
    <x v="2"/>
    <x v="0"/>
    <x v="1"/>
    <d v="2025-10-30T00:00:00"/>
    <x v="35"/>
    <x v="38"/>
    <d v="2025-11-12T00:00:00"/>
    <x v="1"/>
    <x v="2"/>
    <m/>
    <s v=""/>
    <n v="4"/>
    <n v="4"/>
    <n v="5"/>
    <m/>
    <x v="2"/>
  </r>
  <r>
    <s v="L1256"/>
    <x v="3"/>
    <x v="0"/>
    <x v="0"/>
    <d v="2025-10-09T00:00:00"/>
    <x v="1"/>
    <x v="25"/>
    <d v="2025-10-22T00:00:00"/>
    <x v="0"/>
    <x v="0"/>
    <d v="2025-11-16T00:00:00"/>
    <n v="25"/>
    <n v="5"/>
    <n v="3"/>
    <n v="5"/>
    <n v="3"/>
    <x v="0"/>
  </r>
  <r>
    <s v="L1257"/>
    <x v="0"/>
    <x v="1"/>
    <x v="1"/>
    <d v="2025-10-26T00:00:00"/>
    <x v="2"/>
    <x v="2"/>
    <m/>
    <x v="1"/>
    <x v="4"/>
    <m/>
    <s v=""/>
    <m/>
    <m/>
    <m/>
    <m/>
    <x v="2"/>
  </r>
  <r>
    <s v="L1258"/>
    <x v="1"/>
    <x v="2"/>
    <x v="1"/>
    <d v="2025-10-26T00:00:00"/>
    <x v="4"/>
    <x v="10"/>
    <d v="2025-11-05T00:00:00"/>
    <x v="1"/>
    <x v="4"/>
    <m/>
    <s v=""/>
    <n v="5"/>
    <n v="2"/>
    <n v="3"/>
    <m/>
    <x v="2"/>
  </r>
  <r>
    <s v="L1259"/>
    <x v="1"/>
    <x v="0"/>
    <x v="0"/>
    <d v="2025-10-21T00:00:00"/>
    <x v="9"/>
    <x v="8"/>
    <d v="2025-11-03T00:00:00"/>
    <x v="0"/>
    <x v="0"/>
    <d v="2025-11-21T00:00:00"/>
    <n v="18"/>
    <n v="3"/>
    <n v="4"/>
    <n v="6"/>
    <n v="4"/>
    <x v="0"/>
  </r>
  <r>
    <s v="L1260"/>
    <x v="1"/>
    <x v="0"/>
    <x v="0"/>
    <d v="2025-10-19T00:00:00"/>
    <x v="31"/>
    <x v="18"/>
    <d v="2025-11-03T00:00:00"/>
    <x v="0"/>
    <x v="0"/>
    <d v="2025-11-15T00:00:00"/>
    <n v="12"/>
    <n v="3"/>
    <n v="5"/>
    <n v="7"/>
    <n v="2"/>
    <x v="0"/>
  </r>
  <r>
    <s v="L1261"/>
    <x v="2"/>
    <x v="0"/>
    <x v="0"/>
    <d v="2025-10-22T00:00:00"/>
    <x v="9"/>
    <x v="18"/>
    <d v="2025-10-31T00:00:00"/>
    <x v="0"/>
    <x v="0"/>
    <d v="2025-11-30T00:00:00"/>
    <n v="30"/>
    <n v="2"/>
    <n v="3"/>
    <n v="4"/>
    <n v="9"/>
    <x v="3"/>
  </r>
  <r>
    <s v="L1262"/>
    <x v="2"/>
    <x v="1"/>
    <x v="1"/>
    <d v="2025-10-26T00:00:00"/>
    <x v="2"/>
    <x v="2"/>
    <m/>
    <x v="1"/>
    <x v="1"/>
    <m/>
    <s v=""/>
    <m/>
    <m/>
    <m/>
    <m/>
    <x v="2"/>
  </r>
  <r>
    <s v="L1263"/>
    <x v="2"/>
    <x v="0"/>
    <x v="0"/>
    <d v="2025-10-30T00:00:00"/>
    <x v="35"/>
    <x v="4"/>
    <d v="2025-11-11T00:00:00"/>
    <x v="0"/>
    <x v="0"/>
    <d v="2025-12-08T00:00:00"/>
    <n v="27"/>
    <n v="4"/>
    <n v="1"/>
    <n v="7"/>
    <n v="5"/>
    <x v="0"/>
  </r>
  <r>
    <s v="L1264"/>
    <x v="3"/>
    <x v="0"/>
    <x v="0"/>
    <d v="2025-10-07T00:00:00"/>
    <x v="30"/>
    <x v="30"/>
    <d v="2025-10-16T00:00:00"/>
    <x v="0"/>
    <x v="0"/>
    <d v="2025-11-07T00:00:00"/>
    <n v="22"/>
    <n v="1"/>
    <n v="3"/>
    <n v="5"/>
    <n v="7"/>
    <x v="1"/>
  </r>
  <r>
    <s v="L1265"/>
    <x v="0"/>
    <x v="0"/>
    <x v="0"/>
    <d v="2025-10-14T00:00:00"/>
    <x v="3"/>
    <x v="3"/>
    <d v="2025-10-26T00:00:00"/>
    <x v="0"/>
    <x v="0"/>
    <d v="2025-11-10T00:00:00"/>
    <n v="15"/>
    <n v="4"/>
    <n v="3"/>
    <n v="5"/>
    <n v="5"/>
    <x v="0"/>
  </r>
  <r>
    <s v="L1266"/>
    <x v="2"/>
    <x v="1"/>
    <x v="1"/>
    <d v="2025-10-04T00:00:00"/>
    <x v="2"/>
    <x v="2"/>
    <m/>
    <x v="1"/>
    <x v="3"/>
    <m/>
    <s v=""/>
    <m/>
    <m/>
    <m/>
    <m/>
    <x v="2"/>
  </r>
  <r>
    <s v="L1267"/>
    <x v="0"/>
    <x v="1"/>
    <x v="1"/>
    <d v="2025-10-18T00:00:00"/>
    <x v="2"/>
    <x v="2"/>
    <m/>
    <x v="1"/>
    <x v="2"/>
    <m/>
    <s v=""/>
    <m/>
    <m/>
    <m/>
    <m/>
    <x v="2"/>
  </r>
  <r>
    <s v="L1268"/>
    <x v="3"/>
    <x v="0"/>
    <x v="0"/>
    <d v="2025-10-08T00:00:00"/>
    <x v="20"/>
    <x v="25"/>
    <d v="2025-10-22T00:00:00"/>
    <x v="0"/>
    <x v="0"/>
    <d v="2025-11-12T00:00:00"/>
    <n v="21"/>
    <n v="4"/>
    <n v="5"/>
    <n v="5"/>
    <n v="6"/>
    <x v="0"/>
  </r>
  <r>
    <s v="L1269"/>
    <x v="1"/>
    <x v="0"/>
    <x v="0"/>
    <d v="2025-10-21T00:00:00"/>
    <x v="9"/>
    <x v="26"/>
    <d v="2025-10-28T00:00:00"/>
    <x v="0"/>
    <x v="0"/>
    <d v="2025-11-19T00:00:00"/>
    <n v="22"/>
    <n v="3"/>
    <n v="2"/>
    <n v="2"/>
    <n v="1"/>
    <x v="0"/>
  </r>
  <r>
    <s v="L1270"/>
    <x v="2"/>
    <x v="2"/>
    <x v="0"/>
    <d v="2025-10-05T00:00:00"/>
    <x v="30"/>
    <x v="13"/>
    <d v="2025-10-17T00:00:00"/>
    <x v="0"/>
    <x v="0"/>
    <d v="2025-11-07T00:00:00"/>
    <n v="21"/>
    <n v="3"/>
    <n v="2"/>
    <n v="7"/>
    <n v="5"/>
    <x v="0"/>
  </r>
  <r>
    <s v="L1271"/>
    <x v="0"/>
    <x v="2"/>
    <x v="0"/>
    <d v="2025-10-30T00:00:00"/>
    <x v="8"/>
    <x v="9"/>
    <d v="2025-11-08T00:00:00"/>
    <x v="0"/>
    <x v="0"/>
    <d v="2025-11-23T00:00:00"/>
    <n v="15"/>
    <n v="5"/>
    <n v="2"/>
    <n v="2"/>
    <n v="6"/>
    <x v="0"/>
  </r>
  <r>
    <s v="L1272"/>
    <x v="0"/>
    <x v="0"/>
    <x v="0"/>
    <d v="2025-10-09T00:00:00"/>
    <x v="21"/>
    <x v="23"/>
    <d v="2025-10-19T00:00:00"/>
    <x v="0"/>
    <x v="0"/>
    <d v="2025-11-12T00:00:00"/>
    <n v="24"/>
    <n v="1"/>
    <n v="4"/>
    <n v="5"/>
    <n v="9"/>
    <x v="3"/>
  </r>
  <r>
    <s v="L1273"/>
    <x v="2"/>
    <x v="2"/>
    <x v="0"/>
    <d v="2025-10-27T00:00:00"/>
    <x v="11"/>
    <x v="12"/>
    <d v="2025-11-07T00:00:00"/>
    <x v="0"/>
    <x v="0"/>
    <d v="2025-11-18T00:00:00"/>
    <n v="11"/>
    <n v="3"/>
    <n v="2"/>
    <n v="6"/>
    <n v="2"/>
    <x v="0"/>
  </r>
  <r>
    <s v="L1274"/>
    <x v="1"/>
    <x v="0"/>
    <x v="0"/>
    <d v="2025-10-05T00:00:00"/>
    <x v="21"/>
    <x v="23"/>
    <d v="2025-10-21T00:00:00"/>
    <x v="0"/>
    <x v="0"/>
    <d v="2025-11-08T00:00:00"/>
    <n v="18"/>
    <n v="5"/>
    <n v="4"/>
    <n v="7"/>
    <n v="3"/>
    <x v="0"/>
  </r>
  <r>
    <s v="L1275"/>
    <x v="1"/>
    <x v="2"/>
    <x v="0"/>
    <d v="2025-10-03T00:00:00"/>
    <x v="26"/>
    <x v="37"/>
    <d v="2025-10-13T00:00:00"/>
    <x v="0"/>
    <x v="0"/>
    <d v="2025-11-06T00:00:00"/>
    <n v="24"/>
    <n v="1"/>
    <n v="5"/>
    <n v="4"/>
    <n v="10"/>
    <x v="3"/>
  </r>
  <r>
    <s v="L1276"/>
    <x v="1"/>
    <x v="0"/>
    <x v="0"/>
    <d v="2025-10-02T00:00:00"/>
    <x v="6"/>
    <x v="5"/>
    <d v="2025-10-15T00:00:00"/>
    <x v="0"/>
    <x v="0"/>
    <d v="2025-11-08T00:00:00"/>
    <n v="24"/>
    <n v="3"/>
    <n v="3"/>
    <n v="7"/>
    <n v="8"/>
    <x v="1"/>
  </r>
  <r>
    <s v="L1277"/>
    <x v="3"/>
    <x v="0"/>
    <x v="0"/>
    <d v="2025-10-06T00:00:00"/>
    <x v="21"/>
    <x v="23"/>
    <d v="2025-10-18T00:00:00"/>
    <x v="0"/>
    <x v="0"/>
    <d v="2025-11-05T00:00:00"/>
    <n v="18"/>
    <n v="4"/>
    <n v="4"/>
    <n v="4"/>
    <n v="1"/>
    <x v="0"/>
  </r>
  <r>
    <s v="L1278"/>
    <x v="0"/>
    <x v="1"/>
    <x v="1"/>
    <d v="2025-10-26T00:00:00"/>
    <x v="2"/>
    <x v="2"/>
    <m/>
    <x v="1"/>
    <x v="1"/>
    <m/>
    <s v=""/>
    <m/>
    <m/>
    <m/>
    <m/>
    <x v="2"/>
  </r>
  <r>
    <s v="L1279"/>
    <x v="0"/>
    <x v="2"/>
    <x v="1"/>
    <d v="2025-10-10T00:00:00"/>
    <x v="1"/>
    <x v="1"/>
    <d v="2025-10-24T00:00:00"/>
    <x v="1"/>
    <x v="1"/>
    <m/>
    <s v=""/>
    <n v="4"/>
    <n v="5"/>
    <n v="5"/>
    <m/>
    <x v="2"/>
  </r>
  <r>
    <s v="L1280"/>
    <x v="0"/>
    <x v="0"/>
    <x v="0"/>
    <d v="2025-10-20T00:00:00"/>
    <x v="16"/>
    <x v="27"/>
    <d v="2025-10-30T00:00:00"/>
    <x v="0"/>
    <x v="0"/>
    <d v="2025-11-16T00:00:00"/>
    <n v="17"/>
    <n v="1"/>
    <n v="4"/>
    <n v="5"/>
    <n v="8"/>
    <x v="1"/>
  </r>
  <r>
    <s v="L1281"/>
    <x v="3"/>
    <x v="1"/>
    <x v="1"/>
    <d v="2025-10-24T00:00:00"/>
    <x v="2"/>
    <x v="2"/>
    <m/>
    <x v="1"/>
    <x v="3"/>
    <m/>
    <s v=""/>
    <m/>
    <m/>
    <m/>
    <m/>
    <x v="2"/>
  </r>
  <r>
    <s v="L1282"/>
    <x v="0"/>
    <x v="2"/>
    <x v="1"/>
    <d v="2025-10-27T00:00:00"/>
    <x v="28"/>
    <x v="10"/>
    <d v="2025-11-06T00:00:00"/>
    <x v="1"/>
    <x v="2"/>
    <m/>
    <s v=""/>
    <n v="1"/>
    <n v="5"/>
    <n v="4"/>
    <m/>
    <x v="2"/>
  </r>
  <r>
    <s v="L1283"/>
    <x v="3"/>
    <x v="1"/>
    <x v="1"/>
    <d v="2025-10-19T00:00:00"/>
    <x v="2"/>
    <x v="2"/>
    <m/>
    <x v="1"/>
    <x v="3"/>
    <m/>
    <s v=""/>
    <m/>
    <m/>
    <m/>
    <m/>
    <x v="2"/>
  </r>
  <r>
    <s v="L1284"/>
    <x v="1"/>
    <x v="0"/>
    <x v="0"/>
    <d v="2025-10-30T00:00:00"/>
    <x v="34"/>
    <x v="4"/>
    <d v="2025-11-10T00:00:00"/>
    <x v="0"/>
    <x v="0"/>
    <d v="2025-11-28T00:00:00"/>
    <n v="18"/>
    <n v="3"/>
    <n v="2"/>
    <n v="6"/>
    <n v="4"/>
    <x v="0"/>
  </r>
  <r>
    <s v="L1285"/>
    <x v="2"/>
    <x v="0"/>
    <x v="0"/>
    <d v="2025-10-10T00:00:00"/>
    <x v="19"/>
    <x v="17"/>
    <d v="2025-10-17T00:00:00"/>
    <x v="0"/>
    <x v="0"/>
    <d v="2025-11-14T00:00:00"/>
    <n v="28"/>
    <n v="3"/>
    <n v="2"/>
    <n v="2"/>
    <n v="9"/>
    <x v="3"/>
  </r>
  <r>
    <s v="L1286"/>
    <x v="0"/>
    <x v="1"/>
    <x v="1"/>
    <d v="2025-10-15T00:00:00"/>
    <x v="2"/>
    <x v="2"/>
    <m/>
    <x v="1"/>
    <x v="2"/>
    <m/>
    <s v=""/>
    <m/>
    <m/>
    <m/>
    <m/>
    <x v="2"/>
  </r>
  <r>
    <s v="L1287"/>
    <x v="0"/>
    <x v="2"/>
    <x v="0"/>
    <d v="2025-10-04T00:00:00"/>
    <x v="6"/>
    <x v="13"/>
    <d v="2025-10-17T00:00:00"/>
    <x v="0"/>
    <x v="0"/>
    <d v="2025-10-28T00:00:00"/>
    <n v="11"/>
    <n v="1"/>
    <n v="5"/>
    <n v="7"/>
    <n v="2"/>
    <x v="0"/>
  </r>
  <r>
    <s v="L1288"/>
    <x v="1"/>
    <x v="0"/>
    <x v="1"/>
    <d v="2025-10-15T00:00:00"/>
    <x v="24"/>
    <x v="25"/>
    <d v="2025-10-19T00:00:00"/>
    <x v="1"/>
    <x v="3"/>
    <m/>
    <s v=""/>
    <n v="1"/>
    <n v="1"/>
    <n v="2"/>
    <m/>
    <x v="2"/>
  </r>
  <r>
    <s v="L1289"/>
    <x v="2"/>
    <x v="1"/>
    <x v="1"/>
    <d v="2025-10-23T00:00:00"/>
    <x v="2"/>
    <x v="2"/>
    <m/>
    <x v="1"/>
    <x v="1"/>
    <m/>
    <s v=""/>
    <m/>
    <m/>
    <m/>
    <m/>
    <x v="2"/>
  </r>
  <r>
    <s v="L1290"/>
    <x v="3"/>
    <x v="2"/>
    <x v="0"/>
    <d v="2025-10-10T00:00:00"/>
    <x v="14"/>
    <x v="6"/>
    <d v="2025-10-27T00:00:00"/>
    <x v="0"/>
    <x v="0"/>
    <d v="2025-11-10T00:00:00"/>
    <n v="14"/>
    <n v="5"/>
    <n v="5"/>
    <n v="7"/>
    <n v="4"/>
    <x v="0"/>
  </r>
  <r>
    <s v="L1291"/>
    <x v="2"/>
    <x v="0"/>
    <x v="0"/>
    <d v="2025-10-23T00:00:00"/>
    <x v="28"/>
    <x v="12"/>
    <d v="2025-11-06T00:00:00"/>
    <x v="0"/>
    <x v="0"/>
    <d v="2025-11-19T00:00:00"/>
    <n v="13"/>
    <n v="5"/>
    <n v="4"/>
    <n v="5"/>
    <n v="1"/>
    <x v="0"/>
  </r>
  <r>
    <s v="L1292"/>
    <x v="1"/>
    <x v="1"/>
    <x v="1"/>
    <d v="2025-10-13T00:00:00"/>
    <x v="2"/>
    <x v="2"/>
    <m/>
    <x v="1"/>
    <x v="1"/>
    <m/>
    <s v=""/>
    <m/>
    <m/>
    <m/>
    <m/>
    <x v="2"/>
  </r>
  <r>
    <s v="L1293"/>
    <x v="1"/>
    <x v="2"/>
    <x v="0"/>
    <d v="2025-10-31T00:00:00"/>
    <x v="32"/>
    <x v="39"/>
    <d v="2025-11-17T00:00:00"/>
    <x v="0"/>
    <x v="0"/>
    <d v="2025-11-29T00:00:00"/>
    <n v="12"/>
    <n v="5"/>
    <n v="5"/>
    <n v="7"/>
    <n v="6"/>
    <x v="0"/>
  </r>
  <r>
    <s v="L1294"/>
    <x v="2"/>
    <x v="1"/>
    <x v="1"/>
    <d v="2025-10-09T00:00:00"/>
    <x v="2"/>
    <x v="2"/>
    <m/>
    <x v="1"/>
    <x v="5"/>
    <m/>
    <s v=""/>
    <m/>
    <m/>
    <m/>
    <m/>
    <x v="2"/>
  </r>
  <r>
    <s v="L1295"/>
    <x v="3"/>
    <x v="0"/>
    <x v="1"/>
    <d v="2025-10-17T00:00:00"/>
    <x v="16"/>
    <x v="28"/>
    <d v="2025-10-31T00:00:00"/>
    <x v="1"/>
    <x v="4"/>
    <m/>
    <s v=""/>
    <n v="4"/>
    <n v="3"/>
    <n v="7"/>
    <m/>
    <x v="2"/>
  </r>
  <r>
    <s v="L1296"/>
    <x v="3"/>
    <x v="0"/>
    <x v="0"/>
    <d v="2025-10-18T00:00:00"/>
    <x v="31"/>
    <x v="16"/>
    <d v="2025-10-30T00:00:00"/>
    <x v="0"/>
    <x v="0"/>
    <d v="2025-11-20T00:00:00"/>
    <n v="21"/>
    <n v="4"/>
    <n v="1"/>
    <n v="7"/>
    <n v="6"/>
    <x v="0"/>
  </r>
  <r>
    <s v="L1297"/>
    <x v="0"/>
    <x v="0"/>
    <x v="0"/>
    <d v="2025-10-16T00:00:00"/>
    <x v="16"/>
    <x v="26"/>
    <d v="2025-10-30T00:00:00"/>
    <x v="0"/>
    <x v="0"/>
    <d v="2025-11-26T00:00:00"/>
    <n v="27"/>
    <n v="5"/>
    <n v="5"/>
    <n v="4"/>
    <n v="10"/>
    <x v="3"/>
  </r>
  <r>
    <s v="L1298"/>
    <x v="3"/>
    <x v="2"/>
    <x v="0"/>
    <d v="2025-10-15T00:00:00"/>
    <x v="5"/>
    <x v="3"/>
    <d v="2025-10-23T00:00:00"/>
    <x v="0"/>
    <x v="0"/>
    <d v="2025-11-15T00:00:00"/>
    <n v="23"/>
    <n v="5"/>
    <n v="1"/>
    <n v="2"/>
    <n v="10"/>
    <x v="3"/>
  </r>
  <r>
    <s v="L1299"/>
    <x v="2"/>
    <x v="1"/>
    <x v="1"/>
    <d v="2025-10-03T00:00:00"/>
    <x v="2"/>
    <x v="2"/>
    <m/>
    <x v="1"/>
    <x v="3"/>
    <m/>
    <s v=""/>
    <m/>
    <m/>
    <m/>
    <m/>
    <x v="2"/>
  </r>
  <r>
    <s v="L1300"/>
    <x v="1"/>
    <x v="1"/>
    <x v="1"/>
    <d v="2025-10-20T00:00:00"/>
    <x v="2"/>
    <x v="2"/>
    <m/>
    <x v="1"/>
    <x v="5"/>
    <m/>
    <s v=""/>
    <m/>
    <m/>
    <m/>
    <m/>
    <x v="2"/>
  </r>
  <r>
    <s v="L1301"/>
    <x v="0"/>
    <x v="0"/>
    <x v="0"/>
    <d v="2025-10-02T00:00:00"/>
    <x v="33"/>
    <x v="34"/>
    <d v="2025-10-10T00:00:00"/>
    <x v="0"/>
    <x v="0"/>
    <d v="2025-11-07T00:00:00"/>
    <n v="28"/>
    <n v="1"/>
    <n v="1"/>
    <n v="6"/>
    <n v="8"/>
    <x v="1"/>
  </r>
  <r>
    <s v="L1302"/>
    <x v="0"/>
    <x v="0"/>
    <x v="0"/>
    <d v="2025-10-29T00:00:00"/>
    <x v="34"/>
    <x v="38"/>
    <d v="2025-11-12T00:00:00"/>
    <x v="0"/>
    <x v="0"/>
    <d v="2025-11-29T00:00:00"/>
    <n v="17"/>
    <n v="4"/>
    <n v="5"/>
    <n v="5"/>
    <n v="5"/>
    <x v="0"/>
  </r>
  <r>
    <s v="L1303"/>
    <x v="1"/>
    <x v="0"/>
    <x v="0"/>
    <d v="2025-10-14T00:00:00"/>
    <x v="22"/>
    <x v="28"/>
    <d v="2025-10-27T00:00:00"/>
    <x v="0"/>
    <x v="0"/>
    <d v="2025-11-23T00:00:00"/>
    <n v="27"/>
    <n v="5"/>
    <n v="5"/>
    <n v="3"/>
    <n v="6"/>
    <x v="0"/>
  </r>
  <r>
    <s v="L1304"/>
    <x v="3"/>
    <x v="0"/>
    <x v="0"/>
    <d v="2025-10-24T00:00:00"/>
    <x v="25"/>
    <x v="8"/>
    <d v="2025-11-02T00:00:00"/>
    <x v="0"/>
    <x v="0"/>
    <d v="2025-11-13T00:00:00"/>
    <n v="11"/>
    <n v="2"/>
    <n v="2"/>
    <n v="5"/>
    <n v="1"/>
    <x v="0"/>
  </r>
  <r>
    <s v="L1305"/>
    <x v="1"/>
    <x v="0"/>
    <x v="0"/>
    <d v="2025-10-11T00:00:00"/>
    <x v="1"/>
    <x v="1"/>
    <d v="2025-10-22T00:00:00"/>
    <x v="0"/>
    <x v="0"/>
    <d v="2025-11-13T00:00:00"/>
    <n v="22"/>
    <n v="3"/>
    <n v="5"/>
    <n v="3"/>
    <n v="1"/>
    <x v="0"/>
  </r>
  <r>
    <s v="L1306"/>
    <x v="3"/>
    <x v="0"/>
    <x v="0"/>
    <d v="2025-10-20T00:00:00"/>
    <x v="0"/>
    <x v="15"/>
    <d v="2025-11-04T00:00:00"/>
    <x v="0"/>
    <x v="0"/>
    <d v="2025-11-30T00:00:00"/>
    <n v="26"/>
    <n v="5"/>
    <n v="5"/>
    <n v="5"/>
    <n v="8"/>
    <x v="1"/>
  </r>
  <r>
    <s v="L1307"/>
    <x v="1"/>
    <x v="0"/>
    <x v="0"/>
    <d v="2025-10-09T00:00:00"/>
    <x v="19"/>
    <x v="17"/>
    <d v="2025-10-19T00:00:00"/>
    <x v="0"/>
    <x v="0"/>
    <d v="2025-11-11T00:00:00"/>
    <n v="23"/>
    <n v="4"/>
    <n v="2"/>
    <n v="4"/>
    <n v="9"/>
    <x v="3"/>
  </r>
  <r>
    <s v="L1308"/>
    <x v="2"/>
    <x v="0"/>
    <x v="0"/>
    <d v="2025-10-01T00:00:00"/>
    <x v="13"/>
    <x v="5"/>
    <d v="2025-10-12T00:00:00"/>
    <x v="0"/>
    <x v="0"/>
    <d v="2025-11-08T00:00:00"/>
    <n v="27"/>
    <n v="5"/>
    <n v="2"/>
    <n v="4"/>
    <n v="6"/>
    <x v="0"/>
  </r>
  <r>
    <s v="L1309"/>
    <x v="3"/>
    <x v="0"/>
    <x v="0"/>
    <d v="2025-10-03T00:00:00"/>
    <x v="6"/>
    <x v="5"/>
    <d v="2025-10-12T00:00:00"/>
    <x v="0"/>
    <x v="0"/>
    <d v="2025-11-06T00:00:00"/>
    <n v="25"/>
    <n v="2"/>
    <n v="3"/>
    <n v="4"/>
    <n v="5"/>
    <x v="0"/>
  </r>
  <r>
    <s v="L1310"/>
    <x v="2"/>
    <x v="2"/>
    <x v="0"/>
    <d v="2025-10-08T00:00:00"/>
    <x v="27"/>
    <x v="23"/>
    <d v="2025-10-18T00:00:00"/>
    <x v="0"/>
    <x v="0"/>
    <d v="2025-11-15T00:00:00"/>
    <n v="28"/>
    <n v="1"/>
    <n v="5"/>
    <n v="4"/>
    <n v="3"/>
    <x v="0"/>
  </r>
  <r>
    <s v="L1311"/>
    <x v="0"/>
    <x v="2"/>
    <x v="0"/>
    <d v="2025-10-31T00:00:00"/>
    <x v="8"/>
    <x v="33"/>
    <d v="2025-11-14T00:00:00"/>
    <x v="0"/>
    <x v="0"/>
    <d v="2025-12-01T00:00:00"/>
    <n v="17"/>
    <n v="4"/>
    <n v="4"/>
    <n v="6"/>
    <n v="6"/>
    <x v="0"/>
  </r>
  <r>
    <s v="L1312"/>
    <x v="1"/>
    <x v="0"/>
    <x v="0"/>
    <d v="2025-10-22T00:00:00"/>
    <x v="18"/>
    <x v="28"/>
    <d v="2025-10-30T00:00:00"/>
    <x v="0"/>
    <x v="0"/>
    <d v="2025-11-24T00:00:00"/>
    <n v="25"/>
    <n v="1"/>
    <n v="1"/>
    <n v="6"/>
    <n v="6"/>
    <x v="0"/>
  </r>
  <r>
    <s v="L1313"/>
    <x v="0"/>
    <x v="0"/>
    <x v="0"/>
    <d v="2025-10-27T00:00:00"/>
    <x v="11"/>
    <x v="12"/>
    <d v="2025-11-04T00:00:00"/>
    <x v="0"/>
    <x v="0"/>
    <d v="2025-11-23T00:00:00"/>
    <n v="19"/>
    <n v="3"/>
    <n v="2"/>
    <n v="3"/>
    <n v="6"/>
    <x v="0"/>
  </r>
  <r>
    <s v="L1314"/>
    <x v="0"/>
    <x v="0"/>
    <x v="0"/>
    <d v="2025-10-28T00:00:00"/>
    <x v="23"/>
    <x v="22"/>
    <d v="2025-11-09T00:00:00"/>
    <x v="0"/>
    <x v="0"/>
    <d v="2025-11-21T00:00:00"/>
    <n v="12"/>
    <n v="1"/>
    <n v="5"/>
    <n v="6"/>
    <n v="4"/>
    <x v="0"/>
  </r>
  <r>
    <s v="L1315"/>
    <x v="0"/>
    <x v="0"/>
    <x v="0"/>
    <d v="2025-10-19T00:00:00"/>
    <x v="9"/>
    <x v="8"/>
    <d v="2025-11-02T00:00:00"/>
    <x v="0"/>
    <x v="0"/>
    <d v="2025-11-24T00:00:00"/>
    <n v="22"/>
    <n v="5"/>
    <n v="4"/>
    <n v="5"/>
    <n v="5"/>
    <x v="0"/>
  </r>
  <r>
    <s v="L1316"/>
    <x v="0"/>
    <x v="0"/>
    <x v="0"/>
    <d v="2025-10-19T00:00:00"/>
    <x v="16"/>
    <x v="24"/>
    <d v="2025-10-26T00:00:00"/>
    <x v="0"/>
    <x v="0"/>
    <d v="2025-11-06T00:00:00"/>
    <n v="11"/>
    <n v="2"/>
    <n v="1"/>
    <n v="4"/>
    <n v="9"/>
    <x v="3"/>
  </r>
  <r>
    <s v="L1317"/>
    <x v="1"/>
    <x v="0"/>
    <x v="1"/>
    <d v="2025-10-31T00:00:00"/>
    <x v="10"/>
    <x v="9"/>
    <d v="2025-11-13T00:00:00"/>
    <x v="1"/>
    <x v="4"/>
    <m/>
    <s v=""/>
    <n v="1"/>
    <n v="5"/>
    <n v="7"/>
    <m/>
    <x v="2"/>
  </r>
  <r>
    <s v="L1318"/>
    <x v="0"/>
    <x v="0"/>
    <x v="0"/>
    <d v="2025-10-01T00:00:00"/>
    <x v="33"/>
    <x v="36"/>
    <d v="2025-10-09T00:00:00"/>
    <x v="0"/>
    <x v="0"/>
    <d v="2025-11-04T00:00:00"/>
    <n v="26"/>
    <n v="2"/>
    <n v="4"/>
    <n v="2"/>
    <n v="6"/>
    <x v="0"/>
  </r>
  <r>
    <s v="L1319"/>
    <x v="1"/>
    <x v="0"/>
    <x v="1"/>
    <d v="2025-10-25T00:00:00"/>
    <x v="23"/>
    <x v="15"/>
    <d v="2025-11-01T00:00:00"/>
    <x v="1"/>
    <x v="3"/>
    <m/>
    <s v=""/>
    <n v="4"/>
    <n v="1"/>
    <n v="2"/>
    <m/>
    <x v="2"/>
  </r>
  <r>
    <s v="L1320"/>
    <x v="1"/>
    <x v="0"/>
    <x v="0"/>
    <d v="2025-10-22T00:00:00"/>
    <x v="25"/>
    <x v="15"/>
    <d v="2025-11-01T00:00:00"/>
    <x v="0"/>
    <x v="0"/>
    <d v="2025-11-29T00:00:00"/>
    <n v="28"/>
    <n v="4"/>
    <n v="4"/>
    <n v="2"/>
    <n v="4"/>
    <x v="0"/>
  </r>
  <r>
    <s v="L1321"/>
    <x v="2"/>
    <x v="1"/>
    <x v="1"/>
    <d v="2025-10-27T00:00:00"/>
    <x v="2"/>
    <x v="2"/>
    <m/>
    <x v="1"/>
    <x v="2"/>
    <m/>
    <s v=""/>
    <m/>
    <m/>
    <m/>
    <m/>
    <x v="2"/>
  </r>
  <r>
    <s v="L1322"/>
    <x v="3"/>
    <x v="0"/>
    <x v="1"/>
    <d v="2025-10-09T00:00:00"/>
    <x v="1"/>
    <x v="20"/>
    <d v="2025-10-23T00:00:00"/>
    <x v="1"/>
    <x v="4"/>
    <m/>
    <s v=""/>
    <n v="5"/>
    <n v="2"/>
    <n v="7"/>
    <m/>
    <x v="2"/>
  </r>
  <r>
    <s v="L1323"/>
    <x v="3"/>
    <x v="2"/>
    <x v="0"/>
    <d v="2025-10-19T00:00:00"/>
    <x v="9"/>
    <x v="0"/>
    <d v="2025-11-03T00:00:00"/>
    <x v="0"/>
    <x v="0"/>
    <d v="2025-11-29T00:00:00"/>
    <n v="26"/>
    <n v="5"/>
    <n v="5"/>
    <n v="5"/>
    <n v="2"/>
    <x v="0"/>
  </r>
  <r>
    <s v="L1324"/>
    <x v="1"/>
    <x v="2"/>
    <x v="1"/>
    <d v="2025-10-02T00:00:00"/>
    <x v="15"/>
    <x v="30"/>
    <d v="2025-10-13T00:00:00"/>
    <x v="1"/>
    <x v="1"/>
    <m/>
    <s v=""/>
    <n v="5"/>
    <n v="4"/>
    <n v="2"/>
    <m/>
    <x v="2"/>
  </r>
  <r>
    <s v="L1325"/>
    <x v="2"/>
    <x v="2"/>
    <x v="0"/>
    <d v="2025-10-25T00:00:00"/>
    <x v="12"/>
    <x v="31"/>
    <d v="2025-11-02T00:00:00"/>
    <x v="0"/>
    <x v="0"/>
    <d v="2025-11-30T00:00:00"/>
    <n v="28"/>
    <n v="2"/>
    <n v="4"/>
    <n v="2"/>
    <n v="10"/>
    <x v="3"/>
  </r>
  <r>
    <s v="L1326"/>
    <x v="1"/>
    <x v="0"/>
    <x v="0"/>
    <d v="2025-10-25T00:00:00"/>
    <x v="28"/>
    <x v="10"/>
    <d v="2025-11-05T00:00:00"/>
    <x v="0"/>
    <x v="0"/>
    <d v="2025-12-04T00:00:00"/>
    <n v="29"/>
    <n v="3"/>
    <n v="5"/>
    <n v="3"/>
    <n v="6"/>
    <x v="0"/>
  </r>
  <r>
    <s v="L1327"/>
    <x v="1"/>
    <x v="0"/>
    <x v="0"/>
    <d v="2025-10-06T00:00:00"/>
    <x v="27"/>
    <x v="13"/>
    <d v="2025-10-15T00:00:00"/>
    <x v="0"/>
    <x v="0"/>
    <d v="2025-10-29T00:00:00"/>
    <n v="14"/>
    <n v="3"/>
    <n v="1"/>
    <n v="5"/>
    <n v="7"/>
    <x v="1"/>
  </r>
  <r>
    <s v="L1328"/>
    <x v="1"/>
    <x v="0"/>
    <x v="0"/>
    <d v="2025-10-16T00:00:00"/>
    <x v="22"/>
    <x v="28"/>
    <d v="2025-10-29T00:00:00"/>
    <x v="0"/>
    <x v="0"/>
    <d v="2025-11-11T00:00:00"/>
    <n v="13"/>
    <n v="3"/>
    <n v="5"/>
    <n v="5"/>
    <n v="3"/>
    <x v="0"/>
  </r>
  <r>
    <s v="L1329"/>
    <x v="2"/>
    <x v="0"/>
    <x v="0"/>
    <d v="2025-10-17T00:00:00"/>
    <x v="16"/>
    <x v="27"/>
    <d v="2025-10-27T00:00:00"/>
    <x v="0"/>
    <x v="0"/>
    <d v="2025-11-20T00:00:00"/>
    <n v="24"/>
    <n v="4"/>
    <n v="4"/>
    <n v="2"/>
    <n v="2"/>
    <x v="0"/>
  </r>
  <r>
    <s v="L1330"/>
    <x v="3"/>
    <x v="2"/>
    <x v="0"/>
    <d v="2025-10-21T00:00:00"/>
    <x v="0"/>
    <x v="8"/>
    <d v="2025-11-02T00:00:00"/>
    <x v="0"/>
    <x v="0"/>
    <d v="2025-11-17T00:00:00"/>
    <n v="15"/>
    <n v="4"/>
    <n v="3"/>
    <n v="5"/>
    <n v="1"/>
    <x v="0"/>
  </r>
  <r>
    <s v="L1331"/>
    <x v="2"/>
    <x v="0"/>
    <x v="0"/>
    <d v="2025-10-15T00:00:00"/>
    <x v="3"/>
    <x v="1"/>
    <d v="2025-10-22T00:00:00"/>
    <x v="0"/>
    <x v="0"/>
    <d v="2025-11-06T00:00:00"/>
    <n v="15"/>
    <n v="3"/>
    <n v="1"/>
    <n v="3"/>
    <n v="0"/>
    <x v="0"/>
  </r>
  <r>
    <s v="L1332"/>
    <x v="0"/>
    <x v="2"/>
    <x v="0"/>
    <d v="2025-10-30T00:00:00"/>
    <x v="8"/>
    <x v="33"/>
    <d v="2025-11-15T00:00:00"/>
    <x v="0"/>
    <x v="0"/>
    <d v="2025-12-01T00:00:00"/>
    <n v="16"/>
    <n v="5"/>
    <n v="4"/>
    <n v="7"/>
    <n v="2"/>
    <x v="0"/>
  </r>
  <r>
    <s v="L1333"/>
    <x v="2"/>
    <x v="0"/>
    <x v="0"/>
    <d v="2025-10-09T00:00:00"/>
    <x v="21"/>
    <x v="21"/>
    <d v="2025-10-16T00:00:00"/>
    <x v="0"/>
    <x v="0"/>
    <d v="2025-11-01T00:00:00"/>
    <n v="16"/>
    <n v="1"/>
    <n v="3"/>
    <n v="3"/>
    <n v="2"/>
    <x v="0"/>
  </r>
  <r>
    <s v="L1334"/>
    <x v="2"/>
    <x v="2"/>
    <x v="0"/>
    <d v="2025-10-06T00:00:00"/>
    <x v="27"/>
    <x v="13"/>
    <d v="2025-10-17T00:00:00"/>
    <x v="0"/>
    <x v="0"/>
    <d v="2025-10-31T00:00:00"/>
    <n v="14"/>
    <n v="3"/>
    <n v="1"/>
    <n v="7"/>
    <n v="1"/>
    <x v="0"/>
  </r>
  <r>
    <s v="L1335"/>
    <x v="2"/>
    <x v="1"/>
    <x v="1"/>
    <d v="2025-10-19T00:00:00"/>
    <x v="2"/>
    <x v="2"/>
    <m/>
    <x v="1"/>
    <x v="5"/>
    <m/>
    <s v=""/>
    <m/>
    <m/>
    <m/>
    <m/>
    <x v="2"/>
  </r>
  <r>
    <s v="L1336"/>
    <x v="2"/>
    <x v="2"/>
    <x v="0"/>
    <d v="2025-10-14T00:00:00"/>
    <x v="14"/>
    <x v="25"/>
    <d v="2025-10-21T00:00:00"/>
    <x v="0"/>
    <x v="0"/>
    <d v="2025-11-01T00:00:00"/>
    <n v="11"/>
    <n v="1"/>
    <n v="2"/>
    <n v="4"/>
    <n v="7"/>
    <x v="1"/>
  </r>
  <r>
    <s v="L1337"/>
    <x v="3"/>
    <x v="1"/>
    <x v="1"/>
    <d v="2025-10-21T00:00:00"/>
    <x v="2"/>
    <x v="2"/>
    <m/>
    <x v="1"/>
    <x v="4"/>
    <m/>
    <s v=""/>
    <m/>
    <m/>
    <m/>
    <m/>
    <x v="2"/>
  </r>
  <r>
    <s v="L1338"/>
    <x v="0"/>
    <x v="0"/>
    <x v="0"/>
    <d v="2025-10-27T00:00:00"/>
    <x v="11"/>
    <x v="4"/>
    <d v="2025-11-07T00:00:00"/>
    <x v="0"/>
    <x v="0"/>
    <d v="2025-11-30T00:00:00"/>
    <n v="23"/>
    <n v="3"/>
    <n v="5"/>
    <n v="3"/>
    <n v="3"/>
    <x v="0"/>
  </r>
  <r>
    <s v="L1339"/>
    <x v="3"/>
    <x v="1"/>
    <x v="1"/>
    <d v="2025-10-16T00:00:00"/>
    <x v="2"/>
    <x v="2"/>
    <m/>
    <x v="1"/>
    <x v="4"/>
    <m/>
    <s v=""/>
    <m/>
    <m/>
    <m/>
    <m/>
    <x v="2"/>
  </r>
  <r>
    <s v="L1340"/>
    <x v="3"/>
    <x v="0"/>
    <x v="0"/>
    <d v="2025-10-03T00:00:00"/>
    <x v="26"/>
    <x v="32"/>
    <d v="2025-10-09T00:00:00"/>
    <x v="0"/>
    <x v="0"/>
    <d v="2025-10-21T00:00:00"/>
    <n v="12"/>
    <n v="1"/>
    <n v="1"/>
    <n v="4"/>
    <n v="10"/>
    <x v="3"/>
  </r>
  <r>
    <s v="L1341"/>
    <x v="2"/>
    <x v="0"/>
    <x v="0"/>
    <d v="2025-10-16T00:00:00"/>
    <x v="16"/>
    <x v="24"/>
    <d v="2025-10-24T00:00:00"/>
    <x v="0"/>
    <x v="0"/>
    <d v="2025-11-16T00:00:00"/>
    <n v="23"/>
    <n v="5"/>
    <n v="1"/>
    <n v="2"/>
    <n v="1"/>
    <x v="0"/>
  </r>
  <r>
    <s v="L1342"/>
    <x v="1"/>
    <x v="0"/>
    <x v="0"/>
    <d v="2025-10-12T00:00:00"/>
    <x v="24"/>
    <x v="6"/>
    <d v="2025-10-27T00:00:00"/>
    <x v="0"/>
    <x v="0"/>
    <d v="2025-11-12T00:00:00"/>
    <n v="16"/>
    <n v="4"/>
    <n v="4"/>
    <n v="7"/>
    <n v="4"/>
    <x v="0"/>
  </r>
  <r>
    <s v="L1343"/>
    <x v="1"/>
    <x v="0"/>
    <x v="0"/>
    <d v="2025-10-14T00:00:00"/>
    <x v="7"/>
    <x v="6"/>
    <d v="2025-10-24T00:00:00"/>
    <x v="0"/>
    <x v="0"/>
    <d v="2025-11-23T00:00:00"/>
    <n v="30"/>
    <n v="3"/>
    <n v="3"/>
    <n v="4"/>
    <n v="8"/>
    <x v="1"/>
  </r>
  <r>
    <s v="L1344"/>
    <x v="3"/>
    <x v="0"/>
    <x v="0"/>
    <d v="2025-10-11T00:00:00"/>
    <x v="1"/>
    <x v="17"/>
    <d v="2025-10-19T00:00:00"/>
    <x v="0"/>
    <x v="0"/>
    <d v="2025-11-02T00:00:00"/>
    <n v="14"/>
    <n v="3"/>
    <n v="1"/>
    <n v="4"/>
    <n v="3"/>
    <x v="0"/>
  </r>
  <r>
    <s v="L1345"/>
    <x v="3"/>
    <x v="0"/>
    <x v="0"/>
    <d v="2025-10-11T00:00:00"/>
    <x v="24"/>
    <x v="3"/>
    <d v="2025-10-23T00:00:00"/>
    <x v="0"/>
    <x v="0"/>
    <d v="2025-11-21T00:00:00"/>
    <n v="29"/>
    <n v="5"/>
    <n v="5"/>
    <n v="2"/>
    <n v="6"/>
    <x v="0"/>
  </r>
  <r>
    <s v="L1346"/>
    <x v="2"/>
    <x v="0"/>
    <x v="0"/>
    <d v="2025-10-22T00:00:00"/>
    <x v="9"/>
    <x v="27"/>
    <d v="2025-10-29T00:00:00"/>
    <x v="0"/>
    <x v="0"/>
    <d v="2025-11-16T00:00:00"/>
    <n v="18"/>
    <n v="2"/>
    <n v="1"/>
    <n v="4"/>
    <n v="4"/>
    <x v="0"/>
  </r>
  <r>
    <s v="L1347"/>
    <x v="3"/>
    <x v="2"/>
    <x v="0"/>
    <d v="2025-10-04T00:00:00"/>
    <x v="15"/>
    <x v="5"/>
    <d v="2025-10-15T00:00:00"/>
    <x v="0"/>
    <x v="0"/>
    <d v="2025-11-04T00:00:00"/>
    <n v="20"/>
    <n v="3"/>
    <n v="1"/>
    <n v="7"/>
    <n v="8"/>
    <x v="1"/>
  </r>
  <r>
    <s v="L1348"/>
    <x v="2"/>
    <x v="0"/>
    <x v="0"/>
    <d v="2025-10-28T00:00:00"/>
    <x v="23"/>
    <x v="10"/>
    <d v="2025-11-09T00:00:00"/>
    <x v="0"/>
    <x v="0"/>
    <d v="2025-11-21T00:00:00"/>
    <n v="12"/>
    <n v="1"/>
    <n v="4"/>
    <n v="7"/>
    <n v="4"/>
    <x v="0"/>
  </r>
  <r>
    <s v="L1349"/>
    <x v="1"/>
    <x v="0"/>
    <x v="0"/>
    <d v="2025-10-06T00:00:00"/>
    <x v="17"/>
    <x v="14"/>
    <d v="2025-10-15T00:00:00"/>
    <x v="0"/>
    <x v="0"/>
    <d v="2025-10-27T00:00:00"/>
    <n v="12"/>
    <n v="5"/>
    <n v="1"/>
    <n v="3"/>
    <n v="6"/>
    <x v="0"/>
  </r>
  <r>
    <s v="L1350"/>
    <x v="1"/>
    <x v="0"/>
    <x v="1"/>
    <d v="2025-10-11T00:00:00"/>
    <x v="19"/>
    <x v="20"/>
    <d v="2025-10-18T00:00:00"/>
    <x v="1"/>
    <x v="1"/>
    <m/>
    <s v=""/>
    <n v="2"/>
    <n v="3"/>
    <n v="2"/>
    <m/>
    <x v="2"/>
  </r>
  <r>
    <s v="L1351"/>
    <x v="0"/>
    <x v="0"/>
    <x v="1"/>
    <d v="2025-10-14T00:00:00"/>
    <x v="7"/>
    <x v="3"/>
    <d v="2025-10-26T00:00:00"/>
    <x v="1"/>
    <x v="3"/>
    <m/>
    <s v=""/>
    <n v="3"/>
    <n v="4"/>
    <n v="5"/>
    <m/>
    <x v="2"/>
  </r>
  <r>
    <s v="L1352"/>
    <x v="1"/>
    <x v="0"/>
    <x v="0"/>
    <d v="2025-10-23T00:00:00"/>
    <x v="25"/>
    <x v="8"/>
    <d v="2025-11-04T00:00:00"/>
    <x v="0"/>
    <x v="0"/>
    <d v="2025-11-26T00:00:00"/>
    <n v="22"/>
    <n v="3"/>
    <n v="2"/>
    <n v="7"/>
    <n v="5"/>
    <x v="0"/>
  </r>
  <r>
    <s v="L1353"/>
    <x v="3"/>
    <x v="1"/>
    <x v="1"/>
    <d v="2025-10-16T00:00:00"/>
    <x v="2"/>
    <x v="2"/>
    <m/>
    <x v="1"/>
    <x v="2"/>
    <m/>
    <s v=""/>
    <m/>
    <m/>
    <m/>
    <m/>
    <x v="2"/>
  </r>
  <r>
    <s v="L1354"/>
    <x v="1"/>
    <x v="2"/>
    <x v="0"/>
    <d v="2025-10-10T00:00:00"/>
    <x v="1"/>
    <x v="20"/>
    <d v="2025-10-20T00:00:00"/>
    <x v="0"/>
    <x v="0"/>
    <d v="2025-11-16T00:00:00"/>
    <n v="27"/>
    <n v="4"/>
    <n v="2"/>
    <n v="4"/>
    <n v="2"/>
    <x v="0"/>
  </r>
  <r>
    <s v="L1355"/>
    <x v="2"/>
    <x v="0"/>
    <x v="0"/>
    <d v="2025-10-22T00:00:00"/>
    <x v="9"/>
    <x v="8"/>
    <d v="2025-11-04T00:00:00"/>
    <x v="0"/>
    <x v="0"/>
    <d v="2025-11-26T00:00:00"/>
    <n v="22"/>
    <n v="2"/>
    <n v="4"/>
    <n v="7"/>
    <n v="3"/>
    <x v="0"/>
  </r>
  <r>
    <s v="L1356"/>
    <x v="1"/>
    <x v="0"/>
    <x v="0"/>
    <d v="2025-10-31T00:00:00"/>
    <x v="32"/>
    <x v="33"/>
    <d v="2025-11-15T00:00:00"/>
    <x v="0"/>
    <x v="0"/>
    <d v="2025-12-12T00:00:00"/>
    <n v="27"/>
    <n v="5"/>
    <n v="3"/>
    <n v="7"/>
    <n v="10"/>
    <x v="3"/>
  </r>
  <r>
    <s v="L1357"/>
    <x v="0"/>
    <x v="0"/>
    <x v="0"/>
    <d v="2025-10-13T00:00:00"/>
    <x v="1"/>
    <x v="11"/>
    <d v="2025-10-21T00:00:00"/>
    <x v="0"/>
    <x v="0"/>
    <d v="2025-11-10T00:00:00"/>
    <n v="20"/>
    <n v="1"/>
    <n v="4"/>
    <n v="3"/>
    <n v="3"/>
    <x v="0"/>
  </r>
  <r>
    <s v="L1358"/>
    <x v="1"/>
    <x v="1"/>
    <x v="1"/>
    <d v="2025-10-27T00:00:00"/>
    <x v="2"/>
    <x v="2"/>
    <m/>
    <x v="1"/>
    <x v="1"/>
    <m/>
    <s v=""/>
    <m/>
    <m/>
    <m/>
    <m/>
    <x v="2"/>
  </r>
  <r>
    <s v="L1359"/>
    <x v="2"/>
    <x v="2"/>
    <x v="0"/>
    <d v="2025-10-25T00:00:00"/>
    <x v="28"/>
    <x v="12"/>
    <d v="2025-11-06T00:00:00"/>
    <x v="0"/>
    <x v="0"/>
    <d v="2025-11-24T00:00:00"/>
    <n v="18"/>
    <n v="3"/>
    <n v="4"/>
    <n v="5"/>
    <n v="5"/>
    <x v="0"/>
  </r>
  <r>
    <s v="L1360"/>
    <x v="2"/>
    <x v="0"/>
    <x v="0"/>
    <d v="2025-10-18T00:00:00"/>
    <x v="18"/>
    <x v="18"/>
    <d v="2025-11-03T00:00:00"/>
    <x v="0"/>
    <x v="0"/>
    <d v="2025-11-29T00:00:00"/>
    <n v="26"/>
    <n v="5"/>
    <n v="4"/>
    <n v="7"/>
    <n v="8"/>
    <x v="1"/>
  </r>
  <r>
    <s v="L1361"/>
    <x v="3"/>
    <x v="0"/>
    <x v="0"/>
    <d v="2025-10-02T00:00:00"/>
    <x v="13"/>
    <x v="13"/>
    <d v="2025-10-12T00:00:00"/>
    <x v="0"/>
    <x v="0"/>
    <d v="2025-11-05T00:00:00"/>
    <n v="24"/>
    <n v="4"/>
    <n v="4"/>
    <n v="2"/>
    <n v="0"/>
    <x v="0"/>
  </r>
  <r>
    <s v="L1362"/>
    <x v="1"/>
    <x v="0"/>
    <x v="0"/>
    <d v="2025-10-15T00:00:00"/>
    <x v="3"/>
    <x v="1"/>
    <d v="2025-10-26T00:00:00"/>
    <x v="0"/>
    <x v="0"/>
    <d v="2025-11-05T00:00:00"/>
    <n v="10"/>
    <n v="3"/>
    <n v="1"/>
    <n v="7"/>
    <n v="1"/>
    <x v="0"/>
  </r>
  <r>
    <s v="L1363"/>
    <x v="2"/>
    <x v="0"/>
    <x v="0"/>
    <d v="2025-10-03T00:00:00"/>
    <x v="6"/>
    <x v="13"/>
    <d v="2025-10-12T00:00:00"/>
    <x v="0"/>
    <x v="0"/>
    <d v="2025-11-10T00:00:00"/>
    <n v="29"/>
    <n v="2"/>
    <n v="5"/>
    <n v="2"/>
    <n v="4"/>
    <x v="0"/>
  </r>
  <r>
    <s v="L1364"/>
    <x v="0"/>
    <x v="0"/>
    <x v="0"/>
    <d v="2025-10-11T00:00:00"/>
    <x v="24"/>
    <x v="11"/>
    <d v="2025-10-20T00:00:00"/>
    <x v="0"/>
    <x v="0"/>
    <d v="2025-11-17T00:00:00"/>
    <n v="28"/>
    <n v="5"/>
    <n v="2"/>
    <n v="2"/>
    <n v="5"/>
    <x v="0"/>
  </r>
  <r>
    <s v="L1365"/>
    <x v="3"/>
    <x v="0"/>
    <x v="0"/>
    <d v="2025-10-09T00:00:00"/>
    <x v="21"/>
    <x v="21"/>
    <d v="2025-10-16T00:00:00"/>
    <x v="0"/>
    <x v="0"/>
    <d v="2025-11-11T00:00:00"/>
    <n v="26"/>
    <n v="1"/>
    <n v="3"/>
    <n v="3"/>
    <n v="10"/>
    <x v="3"/>
  </r>
  <r>
    <s v="L1366"/>
    <x v="0"/>
    <x v="0"/>
    <x v="0"/>
    <d v="2025-10-11T00:00:00"/>
    <x v="14"/>
    <x v="20"/>
    <d v="2025-10-21T00:00:00"/>
    <x v="0"/>
    <x v="0"/>
    <d v="2025-11-13T00:00:00"/>
    <n v="23"/>
    <n v="4"/>
    <n v="1"/>
    <n v="5"/>
    <n v="3"/>
    <x v="0"/>
  </r>
  <r>
    <s v="L1367"/>
    <x v="1"/>
    <x v="2"/>
    <x v="1"/>
    <d v="2025-10-04T00:00:00"/>
    <x v="27"/>
    <x v="30"/>
    <d v="2025-10-13T00:00:00"/>
    <x v="1"/>
    <x v="2"/>
    <m/>
    <s v=""/>
    <n v="5"/>
    <n v="2"/>
    <n v="2"/>
    <m/>
    <x v="2"/>
  </r>
  <r>
    <s v="L1368"/>
    <x v="1"/>
    <x v="0"/>
    <x v="0"/>
    <d v="2025-10-25T00:00:00"/>
    <x v="28"/>
    <x v="10"/>
    <d v="2025-11-05T00:00:00"/>
    <x v="0"/>
    <x v="0"/>
    <d v="2025-11-18T00:00:00"/>
    <n v="13"/>
    <n v="3"/>
    <n v="5"/>
    <n v="3"/>
    <n v="10"/>
    <x v="3"/>
  </r>
  <r>
    <s v="L1369"/>
    <x v="1"/>
    <x v="2"/>
    <x v="0"/>
    <d v="2025-10-13T00:00:00"/>
    <x v="1"/>
    <x v="11"/>
    <d v="2025-10-24T00:00:00"/>
    <x v="0"/>
    <x v="0"/>
    <d v="2025-11-16T00:00:00"/>
    <n v="23"/>
    <n v="1"/>
    <n v="4"/>
    <n v="6"/>
    <n v="4"/>
    <x v="0"/>
  </r>
  <r>
    <s v="L1370"/>
    <x v="3"/>
    <x v="0"/>
    <x v="0"/>
    <d v="2025-10-28T00:00:00"/>
    <x v="4"/>
    <x v="7"/>
    <d v="2025-11-08T00:00:00"/>
    <x v="0"/>
    <x v="0"/>
    <d v="2025-11-22T00:00:00"/>
    <n v="14"/>
    <n v="3"/>
    <n v="5"/>
    <n v="3"/>
    <n v="7"/>
    <x v="1"/>
  </r>
  <r>
    <s v="L1371"/>
    <x v="2"/>
    <x v="0"/>
    <x v="0"/>
    <d v="2025-10-17T00:00:00"/>
    <x v="5"/>
    <x v="24"/>
    <d v="2025-10-28T00:00:00"/>
    <x v="0"/>
    <x v="0"/>
    <d v="2025-11-11T00:00:00"/>
    <n v="14"/>
    <n v="3"/>
    <n v="2"/>
    <n v="6"/>
    <n v="1"/>
    <x v="0"/>
  </r>
  <r>
    <s v="L1372"/>
    <x v="3"/>
    <x v="0"/>
    <x v="0"/>
    <d v="2025-10-27T00:00:00"/>
    <x v="23"/>
    <x v="31"/>
    <d v="2025-11-07T00:00:00"/>
    <x v="0"/>
    <x v="0"/>
    <d v="2025-12-05T00:00:00"/>
    <n v="28"/>
    <n v="2"/>
    <n v="2"/>
    <n v="7"/>
    <n v="5"/>
    <x v="0"/>
  </r>
  <r>
    <s v="L1373"/>
    <x v="0"/>
    <x v="0"/>
    <x v="0"/>
    <d v="2025-10-01T00:00:00"/>
    <x v="33"/>
    <x v="34"/>
    <d v="2025-10-09T00:00:00"/>
    <x v="0"/>
    <x v="0"/>
    <d v="2025-11-06T00:00:00"/>
    <n v="28"/>
    <n v="2"/>
    <n v="1"/>
    <n v="5"/>
    <n v="2"/>
    <x v="0"/>
  </r>
  <r>
    <s v="L1374"/>
    <x v="3"/>
    <x v="2"/>
    <x v="0"/>
    <d v="2025-10-22T00:00:00"/>
    <x v="0"/>
    <x v="26"/>
    <d v="2025-10-28T00:00:00"/>
    <x v="0"/>
    <x v="0"/>
    <d v="2025-11-25T00:00:00"/>
    <n v="28"/>
    <n v="3"/>
    <n v="1"/>
    <n v="2"/>
    <n v="9"/>
    <x v="3"/>
  </r>
  <r>
    <s v="L1375"/>
    <x v="0"/>
    <x v="0"/>
    <x v="1"/>
    <d v="2025-10-28T00:00:00"/>
    <x v="10"/>
    <x v="4"/>
    <d v="2025-11-06T00:00:00"/>
    <x v="1"/>
    <x v="3"/>
    <m/>
    <s v=""/>
    <n v="4"/>
    <n v="3"/>
    <n v="2"/>
    <m/>
    <x v="2"/>
  </r>
  <r>
    <s v="L1376"/>
    <x v="3"/>
    <x v="0"/>
    <x v="0"/>
    <d v="2025-10-18T00:00:00"/>
    <x v="5"/>
    <x v="28"/>
    <d v="2025-10-31T00:00:00"/>
    <x v="0"/>
    <x v="0"/>
    <d v="2025-11-13T00:00:00"/>
    <n v="13"/>
    <n v="2"/>
    <n v="4"/>
    <n v="7"/>
    <n v="3"/>
    <x v="0"/>
  </r>
  <r>
    <s v="L1377"/>
    <x v="2"/>
    <x v="0"/>
    <x v="0"/>
    <d v="2025-10-15T00:00:00"/>
    <x v="7"/>
    <x v="24"/>
    <d v="2025-10-26T00:00:00"/>
    <x v="0"/>
    <x v="0"/>
    <d v="2025-11-08T00:00:00"/>
    <n v="13"/>
    <n v="2"/>
    <n v="5"/>
    <n v="4"/>
    <n v="9"/>
    <x v="3"/>
  </r>
  <r>
    <s v="L1378"/>
    <x v="0"/>
    <x v="1"/>
    <x v="1"/>
    <d v="2025-10-14T00:00:00"/>
    <x v="2"/>
    <x v="2"/>
    <m/>
    <x v="1"/>
    <x v="4"/>
    <m/>
    <s v=""/>
    <m/>
    <m/>
    <m/>
    <m/>
    <x v="2"/>
  </r>
  <r>
    <s v="L1379"/>
    <x v="1"/>
    <x v="2"/>
    <x v="0"/>
    <d v="2025-10-02T00:00:00"/>
    <x v="26"/>
    <x v="5"/>
    <d v="2025-10-10T00:00:00"/>
    <x v="0"/>
    <x v="0"/>
    <d v="2025-11-07T00:00:00"/>
    <n v="28"/>
    <n v="2"/>
    <n v="4"/>
    <n v="2"/>
    <n v="10"/>
    <x v="3"/>
  </r>
  <r>
    <s v="L1380"/>
    <x v="1"/>
    <x v="0"/>
    <x v="0"/>
    <d v="2025-10-07T00:00:00"/>
    <x v="27"/>
    <x v="23"/>
    <d v="2025-10-19T00:00:00"/>
    <x v="0"/>
    <x v="0"/>
    <d v="2025-11-01T00:00:00"/>
    <n v="13"/>
    <n v="2"/>
    <n v="5"/>
    <n v="5"/>
    <n v="1"/>
    <x v="0"/>
  </r>
  <r>
    <s v="L1381"/>
    <x v="3"/>
    <x v="0"/>
    <x v="0"/>
    <d v="2025-10-17T00:00:00"/>
    <x v="3"/>
    <x v="24"/>
    <d v="2025-10-29T00:00:00"/>
    <x v="0"/>
    <x v="0"/>
    <d v="2025-11-17T00:00:00"/>
    <n v="19"/>
    <n v="1"/>
    <n v="4"/>
    <n v="7"/>
    <n v="8"/>
    <x v="1"/>
  </r>
  <r>
    <s v="L1382"/>
    <x v="1"/>
    <x v="0"/>
    <x v="0"/>
    <d v="2025-10-12T00:00:00"/>
    <x v="14"/>
    <x v="25"/>
    <d v="2025-10-20T00:00:00"/>
    <x v="0"/>
    <x v="0"/>
    <d v="2025-11-16T00:00:00"/>
    <n v="27"/>
    <n v="3"/>
    <n v="2"/>
    <n v="3"/>
    <n v="4"/>
    <x v="0"/>
  </r>
  <r>
    <s v="L1383"/>
    <x v="0"/>
    <x v="2"/>
    <x v="0"/>
    <d v="2025-10-20T00:00:00"/>
    <x v="16"/>
    <x v="16"/>
    <d v="2025-10-28T00:00:00"/>
    <x v="0"/>
    <x v="0"/>
    <d v="2025-11-18T00:00:00"/>
    <n v="21"/>
    <n v="1"/>
    <n v="2"/>
    <n v="5"/>
    <n v="9"/>
    <x v="3"/>
  </r>
  <r>
    <s v="L1384"/>
    <x v="1"/>
    <x v="2"/>
    <x v="1"/>
    <d v="2025-10-25T00:00:00"/>
    <x v="11"/>
    <x v="22"/>
    <d v="2025-11-05T00:00:00"/>
    <x v="1"/>
    <x v="2"/>
    <m/>
    <s v=""/>
    <n v="5"/>
    <n v="4"/>
    <n v="2"/>
    <m/>
    <x v="2"/>
  </r>
  <r>
    <s v="L1385"/>
    <x v="2"/>
    <x v="1"/>
    <x v="1"/>
    <d v="2025-10-16T00:00:00"/>
    <x v="2"/>
    <x v="2"/>
    <m/>
    <x v="1"/>
    <x v="5"/>
    <m/>
    <s v=""/>
    <m/>
    <m/>
    <m/>
    <m/>
    <x v="2"/>
  </r>
  <r>
    <s v="L1386"/>
    <x v="2"/>
    <x v="0"/>
    <x v="0"/>
    <d v="2025-10-21T00:00:00"/>
    <x v="25"/>
    <x v="0"/>
    <d v="2025-11-01T00:00:00"/>
    <x v="0"/>
    <x v="0"/>
    <d v="2025-11-24T00:00:00"/>
    <n v="23"/>
    <n v="5"/>
    <n v="3"/>
    <n v="3"/>
    <n v="5"/>
    <x v="0"/>
  </r>
  <r>
    <s v="L1387"/>
    <x v="3"/>
    <x v="0"/>
    <x v="1"/>
    <d v="2025-10-15T00:00:00"/>
    <x v="5"/>
    <x v="24"/>
    <d v="2025-10-27T00:00:00"/>
    <x v="1"/>
    <x v="5"/>
    <m/>
    <s v=""/>
    <n v="5"/>
    <n v="2"/>
    <n v="5"/>
    <m/>
    <x v="2"/>
  </r>
  <r>
    <s v="L1388"/>
    <x v="0"/>
    <x v="0"/>
    <x v="0"/>
    <d v="2025-10-25T00:00:00"/>
    <x v="25"/>
    <x v="0"/>
    <d v="2025-10-31T00:00:00"/>
    <x v="0"/>
    <x v="0"/>
    <d v="2025-11-18T00:00:00"/>
    <n v="18"/>
    <n v="1"/>
    <n v="3"/>
    <n v="2"/>
    <n v="3"/>
    <x v="0"/>
  </r>
  <r>
    <s v="L1389"/>
    <x v="2"/>
    <x v="0"/>
    <x v="0"/>
    <d v="2025-10-02T00:00:00"/>
    <x v="6"/>
    <x v="36"/>
    <d v="2025-10-14T00:00:00"/>
    <x v="0"/>
    <x v="0"/>
    <d v="2025-11-05T00:00:00"/>
    <n v="22"/>
    <n v="3"/>
    <n v="2"/>
    <n v="7"/>
    <n v="6"/>
    <x v="0"/>
  </r>
  <r>
    <s v="L1390"/>
    <x v="2"/>
    <x v="2"/>
    <x v="0"/>
    <d v="2025-10-07T00:00:00"/>
    <x v="20"/>
    <x v="21"/>
    <d v="2025-10-15T00:00:00"/>
    <x v="0"/>
    <x v="0"/>
    <d v="2025-11-14T00:00:00"/>
    <n v="30"/>
    <n v="5"/>
    <n v="1"/>
    <n v="2"/>
    <n v="1"/>
    <x v="0"/>
  </r>
  <r>
    <s v="L1391"/>
    <x v="0"/>
    <x v="0"/>
    <x v="0"/>
    <d v="2025-10-09T00:00:00"/>
    <x v="17"/>
    <x v="14"/>
    <d v="2025-10-14T00:00:00"/>
    <x v="0"/>
    <x v="0"/>
    <d v="2025-11-08T00:00:00"/>
    <n v="25"/>
    <n v="2"/>
    <n v="1"/>
    <n v="2"/>
    <n v="4"/>
    <x v="0"/>
  </r>
  <r>
    <s v="L1392"/>
    <x v="1"/>
    <x v="0"/>
    <x v="0"/>
    <d v="2025-10-18T00:00:00"/>
    <x v="18"/>
    <x v="18"/>
    <d v="2025-10-31T00:00:00"/>
    <x v="0"/>
    <x v="0"/>
    <d v="2025-11-28T00:00:00"/>
    <n v="28"/>
    <n v="5"/>
    <n v="4"/>
    <n v="4"/>
    <n v="6"/>
    <x v="0"/>
  </r>
  <r>
    <s v="L1393"/>
    <x v="1"/>
    <x v="1"/>
    <x v="1"/>
    <d v="2025-10-05T00:00:00"/>
    <x v="2"/>
    <x v="2"/>
    <m/>
    <x v="1"/>
    <x v="1"/>
    <m/>
    <s v=""/>
    <m/>
    <m/>
    <m/>
    <m/>
    <x v="2"/>
  </r>
  <r>
    <s v="L1394"/>
    <x v="3"/>
    <x v="2"/>
    <x v="0"/>
    <d v="2025-10-30T00:00:00"/>
    <x v="35"/>
    <x v="33"/>
    <d v="2025-11-12T00:00:00"/>
    <x v="0"/>
    <x v="0"/>
    <d v="2025-12-11T00:00:00"/>
    <n v="29"/>
    <n v="4"/>
    <n v="5"/>
    <n v="4"/>
    <n v="2"/>
    <x v="0"/>
  </r>
  <r>
    <s v="L1395"/>
    <x v="1"/>
    <x v="0"/>
    <x v="0"/>
    <d v="2025-10-10T00:00:00"/>
    <x v="20"/>
    <x v="21"/>
    <d v="2025-10-17T00:00:00"/>
    <x v="0"/>
    <x v="0"/>
    <d v="2025-11-11T00:00:00"/>
    <n v="25"/>
    <n v="2"/>
    <n v="1"/>
    <n v="4"/>
    <n v="8"/>
    <x v="1"/>
  </r>
  <r>
    <s v="L1396"/>
    <x v="0"/>
    <x v="0"/>
    <x v="0"/>
    <d v="2025-10-15T00:00:00"/>
    <x v="7"/>
    <x v="1"/>
    <d v="2025-10-22T00:00:00"/>
    <x v="0"/>
    <x v="0"/>
    <d v="2025-11-02T00:00:00"/>
    <n v="11"/>
    <n v="2"/>
    <n v="2"/>
    <n v="3"/>
    <n v="6"/>
    <x v="0"/>
  </r>
  <r>
    <s v="L1397"/>
    <x v="2"/>
    <x v="0"/>
    <x v="0"/>
    <d v="2025-10-29T00:00:00"/>
    <x v="4"/>
    <x v="10"/>
    <d v="2025-11-07T00:00:00"/>
    <x v="0"/>
    <x v="0"/>
    <d v="2025-11-22T00:00:00"/>
    <n v="15"/>
    <n v="2"/>
    <n v="2"/>
    <n v="5"/>
    <n v="2"/>
    <x v="0"/>
  </r>
  <r>
    <s v="L1398"/>
    <x v="1"/>
    <x v="0"/>
    <x v="0"/>
    <d v="2025-10-23T00:00:00"/>
    <x v="28"/>
    <x v="0"/>
    <d v="2025-11-01T00:00:00"/>
    <x v="0"/>
    <x v="0"/>
    <d v="2025-11-19T00:00:00"/>
    <n v="18"/>
    <n v="5"/>
    <n v="1"/>
    <n v="3"/>
    <n v="6"/>
    <x v="0"/>
  </r>
  <r>
    <s v="L1399"/>
    <x v="3"/>
    <x v="0"/>
    <x v="0"/>
    <d v="2025-10-16T00:00:00"/>
    <x v="3"/>
    <x v="1"/>
    <d v="2025-10-26T00:00:00"/>
    <x v="0"/>
    <x v="0"/>
    <d v="2025-11-17T00:00:00"/>
    <n v="22"/>
    <n v="2"/>
    <n v="1"/>
    <n v="7"/>
    <n v="7"/>
    <x v="1"/>
  </r>
  <r>
    <s v="L1400"/>
    <x v="1"/>
    <x v="0"/>
    <x v="0"/>
    <d v="2025-10-04T00:00:00"/>
    <x v="30"/>
    <x v="21"/>
    <d v="2025-10-20T00:00:00"/>
    <x v="0"/>
    <x v="0"/>
    <d v="2025-11-03T00:00:00"/>
    <n v="14"/>
    <n v="4"/>
    <n v="5"/>
    <n v="7"/>
    <n v="1"/>
    <x v="0"/>
  </r>
  <r>
    <s v="L1401"/>
    <x v="0"/>
    <x v="0"/>
    <x v="0"/>
    <d v="2025-10-01T00:00:00"/>
    <x v="29"/>
    <x v="35"/>
    <d v="2025-10-06T00:00:00"/>
    <x v="0"/>
    <x v="0"/>
    <d v="2025-11-04T00:00:00"/>
    <n v="29"/>
    <n v="1"/>
    <n v="1"/>
    <n v="3"/>
    <n v="8"/>
    <x v="1"/>
  </r>
  <r>
    <s v="L1402"/>
    <x v="3"/>
    <x v="0"/>
    <x v="0"/>
    <d v="2025-10-21T00:00:00"/>
    <x v="0"/>
    <x v="0"/>
    <d v="2025-10-31T00:00:00"/>
    <x v="0"/>
    <x v="0"/>
    <d v="2025-11-29T00:00:00"/>
    <n v="29"/>
    <n v="4"/>
    <n v="4"/>
    <n v="2"/>
    <n v="7"/>
    <x v="1"/>
  </r>
  <r>
    <s v="L1403"/>
    <x v="1"/>
    <x v="1"/>
    <x v="1"/>
    <d v="2025-10-20T00:00:00"/>
    <x v="2"/>
    <x v="2"/>
    <m/>
    <x v="1"/>
    <x v="3"/>
    <m/>
    <s v=""/>
    <m/>
    <m/>
    <m/>
    <m/>
    <x v="2"/>
  </r>
  <r>
    <s v="L1404"/>
    <x v="3"/>
    <x v="0"/>
    <x v="1"/>
    <d v="2025-10-26T00:00:00"/>
    <x v="23"/>
    <x v="22"/>
    <d v="2025-11-09T00:00:00"/>
    <x v="1"/>
    <x v="1"/>
    <m/>
    <s v=""/>
    <n v="3"/>
    <n v="5"/>
    <n v="6"/>
    <m/>
    <x v="2"/>
  </r>
  <r>
    <s v="L1405"/>
    <x v="0"/>
    <x v="0"/>
    <x v="0"/>
    <d v="2025-10-08T00:00:00"/>
    <x v="21"/>
    <x v="30"/>
    <d v="2025-10-17T00:00:00"/>
    <x v="0"/>
    <x v="0"/>
    <d v="2025-11-08T00:00:00"/>
    <n v="22"/>
    <n v="2"/>
    <n v="1"/>
    <n v="6"/>
    <n v="7"/>
    <x v="1"/>
  </r>
  <r>
    <s v="L1406"/>
    <x v="2"/>
    <x v="2"/>
    <x v="0"/>
    <d v="2025-10-23T00:00:00"/>
    <x v="12"/>
    <x v="0"/>
    <d v="2025-10-31T00:00:00"/>
    <x v="0"/>
    <x v="0"/>
    <d v="2025-11-11T00:00:00"/>
    <n v="11"/>
    <n v="4"/>
    <n v="2"/>
    <n v="2"/>
    <n v="7"/>
    <x v="1"/>
  </r>
  <r>
    <s v="L1407"/>
    <x v="0"/>
    <x v="1"/>
    <x v="1"/>
    <d v="2025-10-06T00:00:00"/>
    <x v="2"/>
    <x v="2"/>
    <m/>
    <x v="1"/>
    <x v="1"/>
    <m/>
    <s v=""/>
    <m/>
    <m/>
    <m/>
    <m/>
    <x v="2"/>
  </r>
  <r>
    <s v="L1408"/>
    <x v="0"/>
    <x v="2"/>
    <x v="1"/>
    <d v="2025-10-10T00:00:00"/>
    <x v="14"/>
    <x v="20"/>
    <d v="2025-10-22T00:00:00"/>
    <x v="1"/>
    <x v="1"/>
    <m/>
    <s v=""/>
    <n v="5"/>
    <n v="1"/>
    <n v="6"/>
    <m/>
    <x v="2"/>
  </r>
  <r>
    <s v="L1409"/>
    <x v="0"/>
    <x v="2"/>
    <x v="0"/>
    <d v="2025-10-18T00:00:00"/>
    <x v="16"/>
    <x v="27"/>
    <d v="2025-11-01T00:00:00"/>
    <x v="0"/>
    <x v="0"/>
    <d v="2025-11-23T00:00:00"/>
    <n v="22"/>
    <n v="3"/>
    <n v="4"/>
    <n v="7"/>
    <n v="1"/>
    <x v="0"/>
  </r>
  <r>
    <s v="L1410"/>
    <x v="0"/>
    <x v="2"/>
    <x v="0"/>
    <d v="2025-10-01T00:00:00"/>
    <x v="6"/>
    <x v="37"/>
    <d v="2025-10-12T00:00:00"/>
    <x v="0"/>
    <x v="0"/>
    <d v="2025-11-01T00:00:00"/>
    <n v="20"/>
    <n v="4"/>
    <n v="4"/>
    <n v="3"/>
    <n v="1"/>
    <x v="0"/>
  </r>
  <r>
    <s v="L1411"/>
    <x v="2"/>
    <x v="0"/>
    <x v="0"/>
    <d v="2025-10-18T00:00:00"/>
    <x v="5"/>
    <x v="24"/>
    <d v="2025-10-27T00:00:00"/>
    <x v="0"/>
    <x v="0"/>
    <d v="2025-11-13T00:00:00"/>
    <n v="17"/>
    <n v="2"/>
    <n v="2"/>
    <n v="5"/>
    <n v="10"/>
    <x v="3"/>
  </r>
  <r>
    <s v="L1412"/>
    <x v="2"/>
    <x v="2"/>
    <x v="0"/>
    <d v="2025-10-14T00:00:00"/>
    <x v="22"/>
    <x v="28"/>
    <d v="2025-10-28T00:00:00"/>
    <x v="0"/>
    <x v="0"/>
    <d v="2025-11-08T00:00:00"/>
    <n v="11"/>
    <n v="5"/>
    <n v="5"/>
    <n v="4"/>
    <n v="7"/>
    <x v="1"/>
  </r>
  <r>
    <s v="L1413"/>
    <x v="3"/>
    <x v="2"/>
    <x v="0"/>
    <d v="2025-10-03T00:00:00"/>
    <x v="6"/>
    <x v="36"/>
    <d v="2025-10-14T00:00:00"/>
    <x v="0"/>
    <x v="0"/>
    <d v="2025-11-08T00:00:00"/>
    <n v="25"/>
    <n v="2"/>
    <n v="2"/>
    <n v="7"/>
    <n v="3"/>
    <x v="0"/>
  </r>
  <r>
    <s v="L1414"/>
    <x v="1"/>
    <x v="2"/>
    <x v="1"/>
    <d v="2025-10-08T00:00:00"/>
    <x v="17"/>
    <x v="14"/>
    <d v="2025-10-15T00:00:00"/>
    <x v="1"/>
    <x v="5"/>
    <m/>
    <s v=""/>
    <n v="3"/>
    <n v="1"/>
    <n v="3"/>
    <m/>
    <x v="2"/>
  </r>
  <r>
    <s v="L1415"/>
    <x v="2"/>
    <x v="2"/>
    <x v="0"/>
    <d v="2025-10-27T00:00:00"/>
    <x v="4"/>
    <x v="10"/>
    <d v="2025-11-09T00:00:00"/>
    <x v="0"/>
    <x v="0"/>
    <d v="2025-11-27T00:00:00"/>
    <n v="18"/>
    <n v="4"/>
    <n v="2"/>
    <n v="7"/>
    <n v="0"/>
    <x v="0"/>
  </r>
  <r>
    <s v="L1416"/>
    <x v="2"/>
    <x v="0"/>
    <x v="0"/>
    <d v="2025-10-30T00:00:00"/>
    <x v="10"/>
    <x v="9"/>
    <d v="2025-11-13T00:00:00"/>
    <x v="0"/>
    <x v="0"/>
    <d v="2025-12-04T00:00:00"/>
    <n v="21"/>
    <n v="2"/>
    <n v="5"/>
    <n v="7"/>
    <n v="4"/>
    <x v="0"/>
  </r>
  <r>
    <s v="L1417"/>
    <x v="1"/>
    <x v="0"/>
    <x v="0"/>
    <d v="2025-10-04T00:00:00"/>
    <x v="15"/>
    <x v="13"/>
    <d v="2025-10-13T00:00:00"/>
    <x v="0"/>
    <x v="0"/>
    <d v="2025-10-23T00:00:00"/>
    <n v="10"/>
    <n v="3"/>
    <n v="3"/>
    <n v="3"/>
    <n v="10"/>
    <x v="3"/>
  </r>
  <r>
    <s v="L1418"/>
    <x v="2"/>
    <x v="0"/>
    <x v="0"/>
    <d v="2025-10-15T00:00:00"/>
    <x v="5"/>
    <x v="24"/>
    <d v="2025-10-27T00:00:00"/>
    <x v="0"/>
    <x v="0"/>
    <d v="2025-11-16T00:00:00"/>
    <n v="20"/>
    <n v="5"/>
    <n v="2"/>
    <n v="5"/>
    <n v="9"/>
    <x v="3"/>
  </r>
  <r>
    <s v="L1419"/>
    <x v="0"/>
    <x v="0"/>
    <x v="0"/>
    <d v="2025-10-31T00:00:00"/>
    <x v="8"/>
    <x v="19"/>
    <d v="2025-11-15T00:00:00"/>
    <x v="0"/>
    <x v="0"/>
    <d v="2025-12-04T00:00:00"/>
    <n v="19"/>
    <n v="4"/>
    <n v="5"/>
    <n v="6"/>
    <n v="5"/>
    <x v="0"/>
  </r>
  <r>
    <s v="L1420"/>
    <x v="0"/>
    <x v="0"/>
    <x v="0"/>
    <d v="2025-10-04T00:00:00"/>
    <x v="30"/>
    <x v="30"/>
    <d v="2025-10-18T00:00:00"/>
    <x v="0"/>
    <x v="0"/>
    <d v="2025-11-06T00:00:00"/>
    <n v="19"/>
    <n v="4"/>
    <n v="3"/>
    <n v="7"/>
    <n v="1"/>
    <x v="0"/>
  </r>
  <r>
    <s v="L1421"/>
    <x v="1"/>
    <x v="2"/>
    <x v="0"/>
    <d v="2025-10-21T00:00:00"/>
    <x v="9"/>
    <x v="0"/>
    <d v="2025-11-03T00:00:00"/>
    <x v="0"/>
    <x v="0"/>
    <d v="2025-11-21T00:00:00"/>
    <n v="18"/>
    <n v="3"/>
    <n v="5"/>
    <n v="5"/>
    <n v="7"/>
    <x v="1"/>
  </r>
  <r>
    <s v="L1422"/>
    <x v="3"/>
    <x v="0"/>
    <x v="0"/>
    <d v="2025-10-27T00:00:00"/>
    <x v="4"/>
    <x v="7"/>
    <d v="2025-11-08T00:00:00"/>
    <x v="0"/>
    <x v="0"/>
    <d v="2025-12-03T00:00:00"/>
    <n v="25"/>
    <n v="4"/>
    <n v="5"/>
    <n v="3"/>
    <n v="2"/>
    <x v="0"/>
  </r>
  <r>
    <s v="L1423"/>
    <x v="3"/>
    <x v="1"/>
    <x v="1"/>
    <d v="2025-10-05T00:00:00"/>
    <x v="2"/>
    <x v="2"/>
    <m/>
    <x v="1"/>
    <x v="5"/>
    <m/>
    <s v=""/>
    <m/>
    <m/>
    <m/>
    <m/>
    <x v="2"/>
  </r>
  <r>
    <s v="L1424"/>
    <x v="1"/>
    <x v="0"/>
    <x v="0"/>
    <d v="2025-10-16T00:00:00"/>
    <x v="16"/>
    <x v="28"/>
    <d v="2025-10-26T00:00:00"/>
    <x v="0"/>
    <x v="0"/>
    <d v="2025-11-08T00:00:00"/>
    <n v="13"/>
    <n v="5"/>
    <n v="3"/>
    <n v="2"/>
    <n v="3"/>
    <x v="0"/>
  </r>
  <r>
    <s v="L1425"/>
    <x v="1"/>
    <x v="2"/>
    <x v="0"/>
    <d v="2025-10-30T00:00:00"/>
    <x v="8"/>
    <x v="9"/>
    <d v="2025-11-08T00:00:00"/>
    <x v="0"/>
    <x v="0"/>
    <d v="2025-11-25T00:00:00"/>
    <n v="17"/>
    <n v="5"/>
    <n v="2"/>
    <n v="2"/>
    <n v="3"/>
    <x v="0"/>
  </r>
  <r>
    <s v="L1426"/>
    <x v="0"/>
    <x v="0"/>
    <x v="0"/>
    <d v="2025-10-23T00:00:00"/>
    <x v="12"/>
    <x v="15"/>
    <d v="2025-11-02T00:00:00"/>
    <x v="0"/>
    <x v="0"/>
    <d v="2025-11-16T00:00:00"/>
    <n v="14"/>
    <n v="4"/>
    <n v="3"/>
    <n v="3"/>
    <n v="6"/>
    <x v="0"/>
  </r>
  <r>
    <s v="L1427"/>
    <x v="3"/>
    <x v="0"/>
    <x v="0"/>
    <d v="2025-10-10T00:00:00"/>
    <x v="20"/>
    <x v="23"/>
    <d v="2025-10-16T00:00:00"/>
    <x v="0"/>
    <x v="0"/>
    <d v="2025-11-04T00:00:00"/>
    <n v="19"/>
    <n v="2"/>
    <n v="2"/>
    <n v="2"/>
    <n v="7"/>
    <x v="1"/>
  </r>
  <r>
    <s v="L1428"/>
    <x v="2"/>
    <x v="0"/>
    <x v="0"/>
    <d v="2025-10-17T00:00:00"/>
    <x v="22"/>
    <x v="28"/>
    <d v="2025-10-30T00:00:00"/>
    <x v="0"/>
    <x v="0"/>
    <d v="2025-11-23T00:00:00"/>
    <n v="24"/>
    <n v="2"/>
    <n v="5"/>
    <n v="6"/>
    <n v="8"/>
    <x v="1"/>
  </r>
  <r>
    <s v="L1429"/>
    <x v="0"/>
    <x v="2"/>
    <x v="0"/>
    <d v="2025-10-23T00:00:00"/>
    <x v="28"/>
    <x v="15"/>
    <d v="2025-11-06T00:00:00"/>
    <x v="0"/>
    <x v="0"/>
    <d v="2025-11-26T00:00:00"/>
    <n v="20"/>
    <n v="5"/>
    <n v="2"/>
    <n v="7"/>
    <n v="6"/>
    <x v="0"/>
  </r>
  <r>
    <s v="L1430"/>
    <x v="1"/>
    <x v="2"/>
    <x v="0"/>
    <d v="2025-10-09T00:00:00"/>
    <x v="17"/>
    <x v="17"/>
    <d v="2025-10-20T00:00:00"/>
    <x v="0"/>
    <x v="0"/>
    <d v="2025-11-07T00:00:00"/>
    <n v="18"/>
    <n v="2"/>
    <n v="4"/>
    <n v="5"/>
    <n v="10"/>
    <x v="3"/>
  </r>
  <r>
    <s v="L1431"/>
    <x v="3"/>
    <x v="2"/>
    <x v="0"/>
    <d v="2025-10-14T00:00:00"/>
    <x v="7"/>
    <x v="6"/>
    <d v="2025-10-24T00:00:00"/>
    <x v="0"/>
    <x v="0"/>
    <d v="2025-11-16T00:00:00"/>
    <n v="23"/>
    <n v="3"/>
    <n v="3"/>
    <n v="4"/>
    <n v="4"/>
    <x v="0"/>
  </r>
  <r>
    <s v="L1432"/>
    <x v="2"/>
    <x v="1"/>
    <x v="1"/>
    <d v="2025-10-27T00:00:00"/>
    <x v="2"/>
    <x v="2"/>
    <m/>
    <x v="1"/>
    <x v="1"/>
    <m/>
    <s v=""/>
    <m/>
    <m/>
    <m/>
    <m/>
    <x v="2"/>
  </r>
  <r>
    <s v="L1433"/>
    <x v="2"/>
    <x v="0"/>
    <x v="0"/>
    <d v="2025-10-16T00:00:00"/>
    <x v="7"/>
    <x v="6"/>
    <d v="2025-10-25T00:00:00"/>
    <x v="0"/>
    <x v="0"/>
    <d v="2025-11-23T00:00:00"/>
    <n v="29"/>
    <n v="1"/>
    <n v="3"/>
    <n v="5"/>
    <n v="1"/>
    <x v="0"/>
  </r>
  <r>
    <s v="L1434"/>
    <x v="0"/>
    <x v="2"/>
    <x v="0"/>
    <d v="2025-10-16T00:00:00"/>
    <x v="5"/>
    <x v="3"/>
    <d v="2025-10-25T00:00:00"/>
    <x v="0"/>
    <x v="0"/>
    <d v="2025-11-24T00:00:00"/>
    <n v="30"/>
    <n v="4"/>
    <n v="1"/>
    <n v="4"/>
    <n v="3"/>
    <x v="0"/>
  </r>
  <r>
    <s v="L1435"/>
    <x v="3"/>
    <x v="2"/>
    <x v="0"/>
    <d v="2025-10-08T00:00:00"/>
    <x v="17"/>
    <x v="20"/>
    <d v="2025-10-19T00:00:00"/>
    <x v="0"/>
    <x v="0"/>
    <d v="2025-10-31T00:00:00"/>
    <n v="12"/>
    <n v="3"/>
    <n v="5"/>
    <n v="3"/>
    <n v="7"/>
    <x v="1"/>
  </r>
  <r>
    <s v="L1436"/>
    <x v="3"/>
    <x v="0"/>
    <x v="0"/>
    <d v="2025-10-15T00:00:00"/>
    <x v="5"/>
    <x v="27"/>
    <d v="2025-10-28T00:00:00"/>
    <x v="0"/>
    <x v="0"/>
    <d v="2025-11-13T00:00:00"/>
    <n v="16"/>
    <n v="5"/>
    <n v="5"/>
    <n v="3"/>
    <n v="3"/>
    <x v="0"/>
  </r>
  <r>
    <s v="L1437"/>
    <x v="1"/>
    <x v="2"/>
    <x v="0"/>
    <d v="2025-10-18T00:00:00"/>
    <x v="22"/>
    <x v="3"/>
    <d v="2025-10-25T00:00:00"/>
    <x v="0"/>
    <x v="0"/>
    <d v="2025-11-18T00:00:00"/>
    <n v="24"/>
    <n v="1"/>
    <n v="2"/>
    <n v="4"/>
    <n v="8"/>
    <x v="1"/>
  </r>
  <r>
    <s v="L1438"/>
    <x v="3"/>
    <x v="2"/>
    <x v="0"/>
    <d v="2025-10-05T00:00:00"/>
    <x v="21"/>
    <x v="23"/>
    <d v="2025-10-21T00:00:00"/>
    <x v="0"/>
    <x v="0"/>
    <d v="2025-11-06T00:00:00"/>
    <n v="16"/>
    <n v="5"/>
    <n v="4"/>
    <n v="7"/>
    <n v="7"/>
    <x v="1"/>
  </r>
  <r>
    <s v="L1439"/>
    <x v="3"/>
    <x v="1"/>
    <x v="1"/>
    <d v="2025-10-13T00:00:00"/>
    <x v="2"/>
    <x v="2"/>
    <m/>
    <x v="1"/>
    <x v="5"/>
    <m/>
    <s v=""/>
    <m/>
    <m/>
    <m/>
    <m/>
    <x v="2"/>
  </r>
  <r>
    <s v="L1440"/>
    <x v="0"/>
    <x v="2"/>
    <x v="0"/>
    <d v="2025-10-07T00:00:00"/>
    <x v="30"/>
    <x v="21"/>
    <d v="2025-10-15T00:00:00"/>
    <x v="0"/>
    <x v="0"/>
    <d v="2025-11-07T00:00:00"/>
    <n v="23"/>
    <n v="1"/>
    <n v="5"/>
    <n v="2"/>
    <n v="1"/>
    <x v="0"/>
  </r>
  <r>
    <s v="L1441"/>
    <x v="3"/>
    <x v="0"/>
    <x v="0"/>
    <d v="2025-10-30T00:00:00"/>
    <x v="34"/>
    <x v="9"/>
    <d v="2025-11-09T00:00:00"/>
    <x v="0"/>
    <x v="0"/>
    <d v="2025-12-04T00:00:00"/>
    <n v="25"/>
    <n v="3"/>
    <n v="4"/>
    <n v="3"/>
    <n v="8"/>
    <x v="1"/>
  </r>
  <r>
    <s v="L1442"/>
    <x v="2"/>
    <x v="1"/>
    <x v="1"/>
    <d v="2025-10-20T00:00:00"/>
    <x v="2"/>
    <x v="2"/>
    <m/>
    <x v="1"/>
    <x v="3"/>
    <m/>
    <s v=""/>
    <m/>
    <m/>
    <m/>
    <m/>
    <x v="2"/>
  </r>
  <r>
    <s v="L1443"/>
    <x v="0"/>
    <x v="0"/>
    <x v="0"/>
    <d v="2025-10-17T00:00:00"/>
    <x v="3"/>
    <x v="1"/>
    <d v="2025-10-25T00:00:00"/>
    <x v="0"/>
    <x v="0"/>
    <d v="2025-11-20T00:00:00"/>
    <n v="26"/>
    <n v="1"/>
    <n v="1"/>
    <n v="6"/>
    <n v="6"/>
    <x v="0"/>
  </r>
  <r>
    <s v="L1444"/>
    <x v="0"/>
    <x v="2"/>
    <x v="1"/>
    <d v="2025-10-24T00:00:00"/>
    <x v="25"/>
    <x v="0"/>
    <d v="2025-11-04T00:00:00"/>
    <x v="1"/>
    <x v="1"/>
    <m/>
    <s v=""/>
    <n v="2"/>
    <n v="3"/>
    <n v="6"/>
    <m/>
    <x v="2"/>
  </r>
  <r>
    <s v="L1445"/>
    <x v="1"/>
    <x v="2"/>
    <x v="0"/>
    <d v="2025-10-29T00:00:00"/>
    <x v="10"/>
    <x v="7"/>
    <d v="2025-11-11T00:00:00"/>
    <x v="0"/>
    <x v="0"/>
    <d v="2025-12-02T00:00:00"/>
    <n v="21"/>
    <n v="3"/>
    <n v="4"/>
    <n v="6"/>
    <n v="3"/>
    <x v="0"/>
  </r>
  <r>
    <s v="L1446"/>
    <x v="3"/>
    <x v="1"/>
    <x v="1"/>
    <d v="2025-10-05T00:00:00"/>
    <x v="2"/>
    <x v="2"/>
    <m/>
    <x v="1"/>
    <x v="5"/>
    <m/>
    <s v=""/>
    <m/>
    <m/>
    <m/>
    <m/>
    <x v="2"/>
  </r>
  <r>
    <s v="L1447"/>
    <x v="1"/>
    <x v="1"/>
    <x v="1"/>
    <d v="2025-10-28T00:00:00"/>
    <x v="2"/>
    <x v="2"/>
    <m/>
    <x v="1"/>
    <x v="2"/>
    <m/>
    <s v=""/>
    <m/>
    <m/>
    <m/>
    <m/>
    <x v="2"/>
  </r>
  <r>
    <s v="L1448"/>
    <x v="2"/>
    <x v="0"/>
    <x v="0"/>
    <d v="2025-10-03T00:00:00"/>
    <x v="15"/>
    <x v="14"/>
    <d v="2025-10-19T00:00:00"/>
    <x v="0"/>
    <x v="0"/>
    <d v="2025-10-30T00:00:00"/>
    <n v="11"/>
    <n v="4"/>
    <n v="5"/>
    <n v="7"/>
    <n v="3"/>
    <x v="0"/>
  </r>
  <r>
    <s v="L1449"/>
    <x v="0"/>
    <x v="2"/>
    <x v="0"/>
    <d v="2025-10-09T00:00:00"/>
    <x v="1"/>
    <x v="25"/>
    <d v="2025-10-23T00:00:00"/>
    <x v="0"/>
    <x v="0"/>
    <d v="2025-11-18T00:00:00"/>
    <n v="26"/>
    <n v="5"/>
    <n v="3"/>
    <n v="6"/>
    <n v="3"/>
    <x v="0"/>
  </r>
  <r>
    <s v="L1450"/>
    <x v="0"/>
    <x v="0"/>
    <x v="0"/>
    <d v="2025-10-25T00:00:00"/>
    <x v="12"/>
    <x v="31"/>
    <d v="2025-11-04T00:00:00"/>
    <x v="0"/>
    <x v="0"/>
    <d v="2025-11-19T00:00:00"/>
    <n v="15"/>
    <n v="2"/>
    <n v="4"/>
    <n v="4"/>
    <n v="0"/>
    <x v="0"/>
  </r>
  <r>
    <s v="L1451"/>
    <x v="0"/>
    <x v="1"/>
    <x v="1"/>
    <d v="2025-10-26T00:00:00"/>
    <x v="2"/>
    <x v="2"/>
    <m/>
    <x v="1"/>
    <x v="1"/>
    <m/>
    <s v=""/>
    <m/>
    <m/>
    <m/>
    <m/>
    <x v="2"/>
  </r>
  <r>
    <s v="L1452"/>
    <x v="2"/>
    <x v="0"/>
    <x v="0"/>
    <d v="2025-10-28T00:00:00"/>
    <x v="10"/>
    <x v="7"/>
    <d v="2025-11-12T00:00:00"/>
    <x v="0"/>
    <x v="0"/>
    <d v="2025-11-24T00:00:00"/>
    <n v="12"/>
    <n v="4"/>
    <n v="4"/>
    <n v="7"/>
    <n v="4"/>
    <x v="0"/>
  </r>
  <r>
    <s v="L1453"/>
    <x v="2"/>
    <x v="1"/>
    <x v="1"/>
    <d v="2025-10-14T00:00:00"/>
    <x v="2"/>
    <x v="2"/>
    <m/>
    <x v="1"/>
    <x v="1"/>
    <m/>
    <s v=""/>
    <m/>
    <m/>
    <m/>
    <m/>
    <x v="2"/>
  </r>
  <r>
    <s v="L1454"/>
    <x v="1"/>
    <x v="1"/>
    <x v="1"/>
    <d v="2025-10-11T00:00:00"/>
    <x v="2"/>
    <x v="2"/>
    <m/>
    <x v="1"/>
    <x v="3"/>
    <m/>
    <s v=""/>
    <m/>
    <m/>
    <m/>
    <m/>
    <x v="2"/>
  </r>
  <r>
    <s v="L1455"/>
    <x v="1"/>
    <x v="0"/>
    <x v="0"/>
    <d v="2025-10-30T00:00:00"/>
    <x v="4"/>
    <x v="10"/>
    <d v="2025-11-04T00:00:00"/>
    <x v="0"/>
    <x v="0"/>
    <d v="2025-11-23T00:00:00"/>
    <n v="19"/>
    <n v="1"/>
    <n v="2"/>
    <n v="2"/>
    <n v="9"/>
    <x v="3"/>
  </r>
  <r>
    <s v="L1456"/>
    <x v="1"/>
    <x v="0"/>
    <x v="1"/>
    <d v="2025-10-26T00:00:00"/>
    <x v="28"/>
    <x v="31"/>
    <d v="2025-11-07T00:00:00"/>
    <x v="1"/>
    <x v="4"/>
    <m/>
    <s v=""/>
    <n v="2"/>
    <n v="3"/>
    <n v="7"/>
    <m/>
    <x v="2"/>
  </r>
  <r>
    <s v="L1457"/>
    <x v="3"/>
    <x v="0"/>
    <x v="0"/>
    <d v="2025-10-17T00:00:00"/>
    <x v="16"/>
    <x v="27"/>
    <d v="2025-10-29T00:00:00"/>
    <x v="0"/>
    <x v="0"/>
    <d v="2025-11-24T00:00:00"/>
    <n v="26"/>
    <n v="4"/>
    <n v="4"/>
    <n v="4"/>
    <n v="5"/>
    <x v="0"/>
  </r>
  <r>
    <s v="L1458"/>
    <x v="0"/>
    <x v="2"/>
    <x v="0"/>
    <d v="2025-10-09T00:00:00"/>
    <x v="20"/>
    <x v="23"/>
    <d v="2025-10-17T00:00:00"/>
    <x v="0"/>
    <x v="0"/>
    <d v="2025-11-08T00:00:00"/>
    <n v="22"/>
    <n v="3"/>
    <n v="2"/>
    <n v="3"/>
    <n v="5"/>
    <x v="0"/>
  </r>
  <r>
    <s v="L1459"/>
    <x v="0"/>
    <x v="0"/>
    <x v="0"/>
    <d v="2025-10-27T00:00:00"/>
    <x v="28"/>
    <x v="10"/>
    <d v="2025-11-08T00:00:00"/>
    <x v="0"/>
    <x v="0"/>
    <d v="2025-11-22T00:00:00"/>
    <n v="14"/>
    <n v="1"/>
    <n v="5"/>
    <n v="6"/>
    <n v="1"/>
    <x v="0"/>
  </r>
  <r>
    <s v="L1460"/>
    <x v="1"/>
    <x v="0"/>
    <x v="1"/>
    <d v="2025-10-01T00:00:00"/>
    <x v="6"/>
    <x v="37"/>
    <d v="2025-10-15T00:00:00"/>
    <x v="1"/>
    <x v="4"/>
    <m/>
    <s v=""/>
    <n v="4"/>
    <n v="4"/>
    <n v="6"/>
    <m/>
    <x v="2"/>
  </r>
  <r>
    <s v="L1461"/>
    <x v="0"/>
    <x v="1"/>
    <x v="1"/>
    <d v="2025-10-10T00:00:00"/>
    <x v="2"/>
    <x v="2"/>
    <m/>
    <x v="1"/>
    <x v="3"/>
    <m/>
    <s v=""/>
    <m/>
    <m/>
    <m/>
    <m/>
    <x v="2"/>
  </r>
  <r>
    <s v="L1462"/>
    <x v="1"/>
    <x v="1"/>
    <x v="1"/>
    <d v="2025-10-24T00:00:00"/>
    <x v="2"/>
    <x v="2"/>
    <m/>
    <x v="1"/>
    <x v="3"/>
    <m/>
    <s v=""/>
    <m/>
    <m/>
    <m/>
    <m/>
    <x v="2"/>
  </r>
  <r>
    <s v="L1463"/>
    <x v="3"/>
    <x v="0"/>
    <x v="0"/>
    <d v="2025-10-10T00:00:00"/>
    <x v="17"/>
    <x v="21"/>
    <d v="2025-10-19T00:00:00"/>
    <x v="0"/>
    <x v="0"/>
    <d v="2025-11-14T00:00:00"/>
    <n v="26"/>
    <n v="1"/>
    <n v="2"/>
    <n v="6"/>
    <n v="1"/>
    <x v="0"/>
  </r>
  <r>
    <s v="L1464"/>
    <x v="3"/>
    <x v="2"/>
    <x v="0"/>
    <d v="2025-10-27T00:00:00"/>
    <x v="4"/>
    <x v="10"/>
    <d v="2025-11-05T00:00:00"/>
    <x v="0"/>
    <x v="0"/>
    <d v="2025-12-03T00:00:00"/>
    <n v="28"/>
    <n v="4"/>
    <n v="2"/>
    <n v="3"/>
    <n v="4"/>
    <x v="0"/>
  </r>
  <r>
    <s v="L1465"/>
    <x v="2"/>
    <x v="2"/>
    <x v="0"/>
    <d v="2025-10-19T00:00:00"/>
    <x v="9"/>
    <x v="18"/>
    <d v="2025-11-03T00:00:00"/>
    <x v="0"/>
    <x v="0"/>
    <d v="2025-11-13T00:00:00"/>
    <n v="10"/>
    <n v="5"/>
    <n v="3"/>
    <n v="7"/>
    <n v="4"/>
    <x v="0"/>
  </r>
  <r>
    <s v="L1466"/>
    <x v="3"/>
    <x v="2"/>
    <x v="0"/>
    <d v="2025-10-19T00:00:00"/>
    <x v="31"/>
    <x v="28"/>
    <d v="2025-10-29T00:00:00"/>
    <x v="0"/>
    <x v="0"/>
    <d v="2025-11-13T00:00:00"/>
    <n v="15"/>
    <n v="3"/>
    <n v="2"/>
    <n v="5"/>
    <n v="1"/>
    <x v="0"/>
  </r>
  <r>
    <s v="L1467"/>
    <x v="1"/>
    <x v="0"/>
    <x v="0"/>
    <d v="2025-10-22T00:00:00"/>
    <x v="9"/>
    <x v="8"/>
    <d v="2025-11-01T00:00:00"/>
    <x v="0"/>
    <x v="0"/>
    <d v="2025-11-17T00:00:00"/>
    <n v="16"/>
    <n v="2"/>
    <n v="4"/>
    <n v="4"/>
    <n v="1"/>
    <x v="0"/>
  </r>
  <r>
    <s v="L1468"/>
    <x v="3"/>
    <x v="0"/>
    <x v="0"/>
    <d v="2025-10-16T00:00:00"/>
    <x v="5"/>
    <x v="3"/>
    <d v="2025-10-28T00:00:00"/>
    <x v="0"/>
    <x v="0"/>
    <d v="2025-11-13T00:00:00"/>
    <n v="16"/>
    <n v="4"/>
    <n v="1"/>
    <n v="7"/>
    <n v="0"/>
    <x v="0"/>
  </r>
  <r>
    <s v="L1469"/>
    <x v="2"/>
    <x v="1"/>
    <x v="1"/>
    <d v="2025-10-28T00:00:00"/>
    <x v="2"/>
    <x v="2"/>
    <m/>
    <x v="1"/>
    <x v="3"/>
    <m/>
    <s v=""/>
    <m/>
    <m/>
    <m/>
    <m/>
    <x v="2"/>
  </r>
  <r>
    <s v="L1470"/>
    <x v="0"/>
    <x v="0"/>
    <x v="0"/>
    <d v="2025-10-05T00:00:00"/>
    <x v="13"/>
    <x v="30"/>
    <d v="2025-10-13T00:00:00"/>
    <x v="0"/>
    <x v="0"/>
    <d v="2025-10-24T00:00:00"/>
    <n v="11"/>
    <n v="1"/>
    <n v="5"/>
    <n v="2"/>
    <n v="7"/>
    <x v="1"/>
  </r>
  <r>
    <s v="L1471"/>
    <x v="1"/>
    <x v="1"/>
    <x v="1"/>
    <d v="2025-10-15T00:00:00"/>
    <x v="2"/>
    <x v="2"/>
    <m/>
    <x v="1"/>
    <x v="4"/>
    <m/>
    <s v=""/>
    <m/>
    <m/>
    <m/>
    <m/>
    <x v="2"/>
  </r>
  <r>
    <s v="L1472"/>
    <x v="0"/>
    <x v="1"/>
    <x v="1"/>
    <d v="2025-10-18T00:00:00"/>
    <x v="2"/>
    <x v="2"/>
    <m/>
    <x v="1"/>
    <x v="3"/>
    <m/>
    <s v=""/>
    <m/>
    <m/>
    <m/>
    <m/>
    <x v="2"/>
  </r>
  <r>
    <s v="L1473"/>
    <x v="2"/>
    <x v="0"/>
    <x v="0"/>
    <d v="2025-10-16T00:00:00"/>
    <x v="22"/>
    <x v="16"/>
    <d v="2025-10-26T00:00:00"/>
    <x v="0"/>
    <x v="0"/>
    <d v="2025-11-12T00:00:00"/>
    <n v="17"/>
    <n v="3"/>
    <n v="4"/>
    <n v="3"/>
    <n v="8"/>
    <x v="1"/>
  </r>
  <r>
    <s v="L1474"/>
    <x v="2"/>
    <x v="1"/>
    <x v="1"/>
    <d v="2025-10-12T00:00:00"/>
    <x v="2"/>
    <x v="2"/>
    <m/>
    <x v="1"/>
    <x v="5"/>
    <m/>
    <s v=""/>
    <m/>
    <m/>
    <m/>
    <m/>
    <x v="2"/>
  </r>
  <r>
    <s v="L1475"/>
    <x v="2"/>
    <x v="0"/>
    <x v="1"/>
    <d v="2025-10-11T00:00:00"/>
    <x v="19"/>
    <x v="25"/>
    <d v="2025-10-22T00:00:00"/>
    <x v="1"/>
    <x v="1"/>
    <m/>
    <s v=""/>
    <n v="2"/>
    <n v="4"/>
    <n v="5"/>
    <m/>
    <x v="2"/>
  </r>
  <r>
    <s v="L1476"/>
    <x v="0"/>
    <x v="2"/>
    <x v="0"/>
    <d v="2025-10-18T00:00:00"/>
    <x v="22"/>
    <x v="28"/>
    <d v="2025-10-29T00:00:00"/>
    <x v="0"/>
    <x v="0"/>
    <d v="2025-11-09T00:00:00"/>
    <n v="11"/>
    <n v="1"/>
    <n v="5"/>
    <n v="5"/>
    <n v="2"/>
    <x v="0"/>
  </r>
  <r>
    <s v="L1477"/>
    <x v="0"/>
    <x v="0"/>
    <x v="1"/>
    <d v="2025-10-25T00:00:00"/>
    <x v="28"/>
    <x v="10"/>
    <d v="2025-11-04T00:00:00"/>
    <x v="1"/>
    <x v="1"/>
    <m/>
    <s v=""/>
    <n v="3"/>
    <n v="5"/>
    <n v="2"/>
    <m/>
    <x v="2"/>
  </r>
  <r>
    <s v="L1478"/>
    <x v="0"/>
    <x v="0"/>
    <x v="0"/>
    <d v="2025-10-18T00:00:00"/>
    <x v="22"/>
    <x v="3"/>
    <d v="2025-10-24T00:00:00"/>
    <x v="0"/>
    <x v="0"/>
    <d v="2025-11-17T00:00:00"/>
    <n v="24"/>
    <n v="1"/>
    <n v="2"/>
    <n v="3"/>
    <n v="7"/>
    <x v="1"/>
  </r>
  <r>
    <s v="L1479"/>
    <x v="0"/>
    <x v="0"/>
    <x v="1"/>
    <d v="2025-10-13T00:00:00"/>
    <x v="24"/>
    <x v="6"/>
    <d v="2025-10-25T00:00:00"/>
    <x v="1"/>
    <x v="2"/>
    <m/>
    <s v=""/>
    <n v="3"/>
    <n v="4"/>
    <n v="5"/>
    <m/>
    <x v="2"/>
  </r>
  <r>
    <s v="L1480"/>
    <x v="2"/>
    <x v="0"/>
    <x v="0"/>
    <d v="2025-10-15T00:00:00"/>
    <x v="7"/>
    <x v="1"/>
    <d v="2025-10-26T00:00:00"/>
    <x v="0"/>
    <x v="0"/>
    <d v="2025-11-06T00:00:00"/>
    <n v="11"/>
    <n v="2"/>
    <n v="2"/>
    <n v="7"/>
    <n v="2"/>
    <x v="0"/>
  </r>
  <r>
    <s v="L1481"/>
    <x v="2"/>
    <x v="0"/>
    <x v="0"/>
    <d v="2025-10-30T00:00:00"/>
    <x v="10"/>
    <x v="4"/>
    <d v="2025-11-10T00:00:00"/>
    <x v="0"/>
    <x v="0"/>
    <d v="2025-12-01T00:00:00"/>
    <n v="21"/>
    <n v="2"/>
    <n v="3"/>
    <n v="6"/>
    <n v="8"/>
    <x v="1"/>
  </r>
  <r>
    <s v="L1482"/>
    <x v="1"/>
    <x v="0"/>
    <x v="0"/>
    <d v="2025-10-11T00:00:00"/>
    <x v="20"/>
    <x v="23"/>
    <d v="2025-10-16T00:00:00"/>
    <x v="0"/>
    <x v="0"/>
    <d v="2025-11-01T00:00:00"/>
    <n v="16"/>
    <n v="1"/>
    <n v="2"/>
    <n v="2"/>
    <n v="5"/>
    <x v="0"/>
  </r>
  <r>
    <s v="L1483"/>
    <x v="1"/>
    <x v="0"/>
    <x v="0"/>
    <d v="2025-10-28T00:00:00"/>
    <x v="4"/>
    <x v="22"/>
    <d v="2025-11-09T00:00:00"/>
    <x v="0"/>
    <x v="0"/>
    <d v="2025-11-27T00:00:00"/>
    <n v="18"/>
    <n v="3"/>
    <n v="3"/>
    <n v="6"/>
    <n v="5"/>
    <x v="0"/>
  </r>
  <r>
    <s v="L1484"/>
    <x v="0"/>
    <x v="0"/>
    <x v="0"/>
    <d v="2025-10-07T00:00:00"/>
    <x v="17"/>
    <x v="14"/>
    <d v="2025-10-14T00:00:00"/>
    <x v="0"/>
    <x v="0"/>
    <d v="2025-11-04T00:00:00"/>
    <n v="21"/>
    <n v="4"/>
    <n v="1"/>
    <n v="2"/>
    <n v="6"/>
    <x v="0"/>
  </r>
  <r>
    <s v="L1485"/>
    <x v="3"/>
    <x v="0"/>
    <x v="1"/>
    <d v="2025-10-23T00:00:00"/>
    <x v="0"/>
    <x v="0"/>
    <d v="2025-11-02T00:00:00"/>
    <x v="1"/>
    <x v="2"/>
    <m/>
    <s v=""/>
    <n v="2"/>
    <n v="4"/>
    <n v="4"/>
    <m/>
    <x v="2"/>
  </r>
  <r>
    <s v="L1486"/>
    <x v="3"/>
    <x v="0"/>
    <x v="0"/>
    <d v="2025-10-08T00:00:00"/>
    <x v="20"/>
    <x v="17"/>
    <d v="2025-10-19T00:00:00"/>
    <x v="0"/>
    <x v="0"/>
    <d v="2025-11-12T00:00:00"/>
    <n v="24"/>
    <n v="4"/>
    <n v="3"/>
    <n v="4"/>
    <n v="9"/>
    <x v="3"/>
  </r>
  <r>
    <s v="L1487"/>
    <x v="2"/>
    <x v="2"/>
    <x v="0"/>
    <d v="2025-10-19T00:00:00"/>
    <x v="18"/>
    <x v="28"/>
    <d v="2025-10-27T00:00:00"/>
    <x v="0"/>
    <x v="0"/>
    <d v="2025-11-22T00:00:00"/>
    <n v="26"/>
    <n v="4"/>
    <n v="1"/>
    <n v="3"/>
    <n v="4"/>
    <x v="0"/>
  </r>
  <r>
    <s v="L1488"/>
    <x v="2"/>
    <x v="0"/>
    <x v="0"/>
    <d v="2025-10-13T00:00:00"/>
    <x v="3"/>
    <x v="16"/>
    <d v="2025-10-28T00:00:00"/>
    <x v="0"/>
    <x v="0"/>
    <d v="2025-11-19T00:00:00"/>
    <n v="22"/>
    <n v="5"/>
    <n v="5"/>
    <n v="5"/>
    <n v="5"/>
    <x v="0"/>
  </r>
  <r>
    <s v="L1489"/>
    <x v="2"/>
    <x v="2"/>
    <x v="0"/>
    <d v="2025-10-08T00:00:00"/>
    <x v="27"/>
    <x v="30"/>
    <d v="2025-10-17T00:00:00"/>
    <x v="0"/>
    <x v="0"/>
    <d v="2025-11-16T00:00:00"/>
    <n v="30"/>
    <n v="1"/>
    <n v="2"/>
    <n v="6"/>
    <n v="2"/>
    <x v="0"/>
  </r>
  <r>
    <s v="L1490"/>
    <x v="1"/>
    <x v="0"/>
    <x v="0"/>
    <d v="2025-10-28T00:00:00"/>
    <x v="23"/>
    <x v="15"/>
    <d v="2025-11-04T00:00:00"/>
    <x v="0"/>
    <x v="0"/>
    <d v="2025-11-17T00:00:00"/>
    <n v="13"/>
    <n v="1"/>
    <n v="1"/>
    <n v="5"/>
    <n v="9"/>
    <x v="3"/>
  </r>
  <r>
    <s v="L1491"/>
    <x v="1"/>
    <x v="0"/>
    <x v="1"/>
    <d v="2025-10-25T00:00:00"/>
    <x v="25"/>
    <x v="0"/>
    <d v="2025-11-02T00:00:00"/>
    <x v="1"/>
    <x v="1"/>
    <m/>
    <s v=""/>
    <n v="1"/>
    <n v="3"/>
    <n v="4"/>
    <m/>
    <x v="2"/>
  </r>
  <r>
    <s v="L1492"/>
    <x v="2"/>
    <x v="0"/>
    <x v="0"/>
    <d v="2025-10-14T00:00:00"/>
    <x v="7"/>
    <x v="3"/>
    <d v="2025-10-27T00:00:00"/>
    <x v="0"/>
    <x v="0"/>
    <d v="2025-11-06T00:00:00"/>
    <n v="10"/>
    <n v="3"/>
    <n v="4"/>
    <n v="6"/>
    <n v="3"/>
    <x v="0"/>
  </r>
  <r>
    <s v="L1493"/>
    <x v="2"/>
    <x v="0"/>
    <x v="0"/>
    <d v="2025-10-02T00:00:00"/>
    <x v="26"/>
    <x v="37"/>
    <d v="2025-10-16T00:00:00"/>
    <x v="0"/>
    <x v="0"/>
    <d v="2025-11-02T00:00:00"/>
    <n v="17"/>
    <n v="2"/>
    <n v="5"/>
    <n v="7"/>
    <n v="1"/>
    <x v="0"/>
  </r>
  <r>
    <s v="L1494"/>
    <x v="2"/>
    <x v="1"/>
    <x v="1"/>
    <d v="2025-10-11T00:00:00"/>
    <x v="2"/>
    <x v="2"/>
    <m/>
    <x v="1"/>
    <x v="5"/>
    <m/>
    <s v=""/>
    <m/>
    <m/>
    <m/>
    <m/>
    <x v="2"/>
  </r>
  <r>
    <s v="L1495"/>
    <x v="3"/>
    <x v="1"/>
    <x v="1"/>
    <d v="2025-10-24T00:00:00"/>
    <x v="2"/>
    <x v="2"/>
    <m/>
    <x v="1"/>
    <x v="4"/>
    <m/>
    <s v=""/>
    <m/>
    <m/>
    <m/>
    <m/>
    <x v="2"/>
  </r>
  <r>
    <s v="L1496"/>
    <x v="1"/>
    <x v="1"/>
    <x v="1"/>
    <d v="2025-10-16T00:00:00"/>
    <x v="2"/>
    <x v="2"/>
    <m/>
    <x v="1"/>
    <x v="4"/>
    <m/>
    <s v=""/>
    <m/>
    <m/>
    <m/>
    <m/>
    <x v="2"/>
  </r>
  <r>
    <s v="L1497"/>
    <x v="3"/>
    <x v="1"/>
    <x v="1"/>
    <d v="2025-10-23T00:00:00"/>
    <x v="2"/>
    <x v="2"/>
    <m/>
    <x v="1"/>
    <x v="5"/>
    <m/>
    <s v=""/>
    <m/>
    <m/>
    <m/>
    <m/>
    <x v="2"/>
  </r>
  <r>
    <s v="L1498"/>
    <x v="3"/>
    <x v="2"/>
    <x v="0"/>
    <d v="2025-10-30T00:00:00"/>
    <x v="10"/>
    <x v="9"/>
    <d v="2025-11-09T00:00:00"/>
    <x v="0"/>
    <x v="0"/>
    <d v="2025-11-30T00:00:00"/>
    <n v="21"/>
    <n v="2"/>
    <n v="5"/>
    <n v="3"/>
    <n v="8"/>
    <x v="1"/>
  </r>
  <r>
    <s v="L1499"/>
    <x v="2"/>
    <x v="2"/>
    <x v="0"/>
    <d v="2025-10-26T00:00:00"/>
    <x v="4"/>
    <x v="12"/>
    <d v="2025-11-06T00:00:00"/>
    <x v="0"/>
    <x v="0"/>
    <d v="2025-12-01T00:00:00"/>
    <n v="25"/>
    <n v="5"/>
    <n v="1"/>
    <n v="5"/>
    <n v="7"/>
    <x v="1"/>
  </r>
  <r>
    <s v="L1500"/>
    <x v="2"/>
    <x v="0"/>
    <x v="0"/>
    <d v="2025-10-13T00:00:00"/>
    <x v="3"/>
    <x v="1"/>
    <d v="2025-10-21T00:00:00"/>
    <x v="0"/>
    <x v="0"/>
    <d v="2025-11-19T00:00:00"/>
    <n v="29"/>
    <n v="5"/>
    <n v="1"/>
    <n v="2"/>
    <n v="9"/>
    <x v="3"/>
  </r>
  <r>
    <s v="L1501"/>
    <x v="0"/>
    <x v="2"/>
    <x v="0"/>
    <d v="2025-10-13T00:00:00"/>
    <x v="3"/>
    <x v="6"/>
    <d v="2025-10-22T00:00:00"/>
    <x v="0"/>
    <x v="0"/>
    <d v="2025-11-15T00:00:00"/>
    <n v="24"/>
    <n v="5"/>
    <n v="2"/>
    <n v="2"/>
    <n v="4"/>
    <x v="0"/>
  </r>
  <r>
    <s v="L1502"/>
    <x v="0"/>
    <x v="0"/>
    <x v="0"/>
    <d v="2025-10-22T00:00:00"/>
    <x v="25"/>
    <x v="31"/>
    <d v="2025-11-06T00:00:00"/>
    <x v="0"/>
    <x v="0"/>
    <d v="2025-11-21T00:00:00"/>
    <n v="15"/>
    <n v="4"/>
    <n v="5"/>
    <n v="6"/>
    <n v="5"/>
    <x v="0"/>
  </r>
  <r>
    <s v="L1503"/>
    <x v="3"/>
    <x v="0"/>
    <x v="0"/>
    <d v="2025-10-26T00:00:00"/>
    <x v="12"/>
    <x v="12"/>
    <d v="2025-11-03T00:00:00"/>
    <x v="0"/>
    <x v="0"/>
    <d v="2025-11-28T00:00:00"/>
    <n v="25"/>
    <n v="1"/>
    <n v="5"/>
    <n v="2"/>
    <n v="10"/>
    <x v="3"/>
  </r>
  <r>
    <s v="L1504"/>
    <x v="1"/>
    <x v="0"/>
    <x v="0"/>
    <d v="2025-10-27T00:00:00"/>
    <x v="11"/>
    <x v="12"/>
    <d v="2025-11-03T00:00:00"/>
    <x v="0"/>
    <x v="0"/>
    <d v="2025-12-01T00:00:00"/>
    <n v="28"/>
    <n v="3"/>
    <n v="2"/>
    <n v="2"/>
    <n v="1"/>
    <x v="0"/>
  </r>
  <r>
    <s v="L1505"/>
    <x v="2"/>
    <x v="0"/>
    <x v="0"/>
    <d v="2025-10-21T00:00:00"/>
    <x v="18"/>
    <x v="18"/>
    <d v="2025-10-31T00:00:00"/>
    <x v="0"/>
    <x v="0"/>
    <d v="2025-11-27T00:00:00"/>
    <n v="27"/>
    <n v="2"/>
    <n v="4"/>
    <n v="4"/>
    <n v="10"/>
    <x v="3"/>
  </r>
  <r>
    <s v="L1506"/>
    <x v="2"/>
    <x v="0"/>
    <x v="0"/>
    <d v="2025-10-05T00:00:00"/>
    <x v="30"/>
    <x v="13"/>
    <d v="2025-10-13T00:00:00"/>
    <x v="0"/>
    <x v="0"/>
    <d v="2025-11-03T00:00:00"/>
    <n v="21"/>
    <n v="3"/>
    <n v="2"/>
    <n v="3"/>
    <n v="5"/>
    <x v="0"/>
  </r>
  <r>
    <s v="L1507"/>
    <x v="3"/>
    <x v="0"/>
    <x v="0"/>
    <d v="2025-10-16T00:00:00"/>
    <x v="7"/>
    <x v="6"/>
    <d v="2025-10-22T00:00:00"/>
    <x v="0"/>
    <x v="0"/>
    <d v="2025-11-12T00:00:00"/>
    <n v="21"/>
    <n v="1"/>
    <n v="3"/>
    <n v="2"/>
    <n v="5"/>
    <x v="0"/>
  </r>
  <r>
    <s v="L1508"/>
    <x v="0"/>
    <x v="1"/>
    <x v="1"/>
    <d v="2025-10-31T00:00:00"/>
    <x v="2"/>
    <x v="2"/>
    <m/>
    <x v="1"/>
    <x v="4"/>
    <m/>
    <s v=""/>
    <m/>
    <m/>
    <m/>
    <m/>
    <x v="2"/>
  </r>
  <r>
    <s v="L1509"/>
    <x v="1"/>
    <x v="0"/>
    <x v="0"/>
    <d v="2025-10-02T00:00:00"/>
    <x v="33"/>
    <x v="29"/>
    <d v="2025-10-08T00:00:00"/>
    <x v="0"/>
    <x v="0"/>
    <d v="2025-10-23T00:00:00"/>
    <n v="15"/>
    <n v="1"/>
    <n v="3"/>
    <n v="2"/>
    <n v="7"/>
    <x v="1"/>
  </r>
  <r>
    <s v="L1510"/>
    <x v="0"/>
    <x v="1"/>
    <x v="1"/>
    <d v="2025-10-05T00:00:00"/>
    <x v="2"/>
    <x v="2"/>
    <m/>
    <x v="1"/>
    <x v="3"/>
    <m/>
    <s v=""/>
    <m/>
    <m/>
    <m/>
    <m/>
    <x v="2"/>
  </r>
  <r>
    <s v="L1511"/>
    <x v="0"/>
    <x v="2"/>
    <x v="0"/>
    <d v="2025-10-17T00:00:00"/>
    <x v="22"/>
    <x v="6"/>
    <d v="2025-10-25T00:00:00"/>
    <x v="0"/>
    <x v="0"/>
    <d v="2025-11-12T00:00:00"/>
    <n v="18"/>
    <n v="2"/>
    <n v="1"/>
    <n v="5"/>
    <n v="7"/>
    <x v="1"/>
  </r>
  <r>
    <s v="L1512"/>
    <x v="0"/>
    <x v="1"/>
    <x v="1"/>
    <d v="2025-10-31T00:00:00"/>
    <x v="2"/>
    <x v="2"/>
    <m/>
    <x v="1"/>
    <x v="1"/>
    <m/>
    <s v=""/>
    <m/>
    <m/>
    <m/>
    <m/>
    <x v="2"/>
  </r>
  <r>
    <s v="L1513"/>
    <x v="0"/>
    <x v="0"/>
    <x v="0"/>
    <d v="2025-10-19T00:00:00"/>
    <x v="18"/>
    <x v="27"/>
    <d v="2025-10-31T00:00:00"/>
    <x v="0"/>
    <x v="0"/>
    <d v="2025-11-12T00:00:00"/>
    <n v="12"/>
    <n v="4"/>
    <n v="2"/>
    <n v="6"/>
    <n v="3"/>
    <x v="0"/>
  </r>
  <r>
    <s v="L1514"/>
    <x v="2"/>
    <x v="0"/>
    <x v="0"/>
    <d v="2025-10-11T00:00:00"/>
    <x v="24"/>
    <x v="11"/>
    <d v="2025-10-22T00:00:00"/>
    <x v="0"/>
    <x v="0"/>
    <d v="2025-11-10T00:00:00"/>
    <n v="19"/>
    <n v="5"/>
    <n v="2"/>
    <n v="4"/>
    <n v="5"/>
    <x v="0"/>
  </r>
  <r>
    <s v="L1515"/>
    <x v="2"/>
    <x v="2"/>
    <x v="1"/>
    <d v="2025-10-28T00:00:00"/>
    <x v="10"/>
    <x v="10"/>
    <d v="2025-11-09T00:00:00"/>
    <x v="1"/>
    <x v="1"/>
    <m/>
    <s v=""/>
    <n v="4"/>
    <n v="1"/>
    <n v="7"/>
    <m/>
    <x v="2"/>
  </r>
  <r>
    <s v="L1516"/>
    <x v="0"/>
    <x v="0"/>
    <x v="0"/>
    <d v="2025-10-04T00:00:00"/>
    <x v="6"/>
    <x v="37"/>
    <d v="2025-10-16T00:00:00"/>
    <x v="0"/>
    <x v="0"/>
    <d v="2025-10-26T00:00:00"/>
    <n v="10"/>
    <n v="1"/>
    <n v="4"/>
    <n v="7"/>
    <n v="2"/>
    <x v="0"/>
  </r>
  <r>
    <s v="L1517"/>
    <x v="1"/>
    <x v="2"/>
    <x v="0"/>
    <d v="2025-10-28T00:00:00"/>
    <x v="23"/>
    <x v="31"/>
    <d v="2025-11-06T00:00:00"/>
    <x v="0"/>
    <x v="0"/>
    <d v="2025-11-28T00:00:00"/>
    <n v="22"/>
    <n v="1"/>
    <n v="2"/>
    <n v="6"/>
    <n v="1"/>
    <x v="0"/>
  </r>
  <r>
    <s v="L1518"/>
    <x v="3"/>
    <x v="2"/>
    <x v="0"/>
    <d v="2025-10-28T00:00:00"/>
    <x v="10"/>
    <x v="9"/>
    <d v="2025-11-11T00:00:00"/>
    <x v="0"/>
    <x v="0"/>
    <d v="2025-11-22T00:00:00"/>
    <n v="11"/>
    <n v="4"/>
    <n v="5"/>
    <n v="5"/>
    <n v="10"/>
    <x v="3"/>
  </r>
  <r>
    <s v="L1519"/>
    <x v="1"/>
    <x v="0"/>
    <x v="0"/>
    <d v="2025-10-15T00:00:00"/>
    <x v="5"/>
    <x v="24"/>
    <d v="2025-10-27T00:00:00"/>
    <x v="0"/>
    <x v="0"/>
    <d v="2025-11-11T00:00:00"/>
    <n v="15"/>
    <n v="5"/>
    <n v="2"/>
    <n v="5"/>
    <n v="6"/>
    <x v="0"/>
  </r>
  <r>
    <s v="L1520"/>
    <x v="1"/>
    <x v="0"/>
    <x v="0"/>
    <d v="2025-10-04T00:00:00"/>
    <x v="27"/>
    <x v="21"/>
    <d v="2025-10-20T00:00:00"/>
    <x v="0"/>
    <x v="0"/>
    <d v="2025-11-17T00:00:00"/>
    <n v="28"/>
    <n v="5"/>
    <n v="4"/>
    <n v="7"/>
    <n v="7"/>
    <x v="1"/>
  </r>
  <r>
    <s v="L1521"/>
    <x v="1"/>
    <x v="0"/>
    <x v="0"/>
    <d v="2025-10-17T00:00:00"/>
    <x v="3"/>
    <x v="6"/>
    <d v="2025-10-25T00:00:00"/>
    <x v="0"/>
    <x v="0"/>
    <d v="2025-11-10T00:00:00"/>
    <n v="16"/>
    <n v="1"/>
    <n v="2"/>
    <n v="5"/>
    <n v="4"/>
    <x v="0"/>
  </r>
  <r>
    <s v="L1522"/>
    <x v="0"/>
    <x v="1"/>
    <x v="1"/>
    <d v="2025-10-30T00:00:00"/>
    <x v="2"/>
    <x v="2"/>
    <m/>
    <x v="1"/>
    <x v="5"/>
    <m/>
    <s v=""/>
    <m/>
    <m/>
    <m/>
    <m/>
    <x v="2"/>
  </r>
  <r>
    <s v="L1523"/>
    <x v="2"/>
    <x v="0"/>
    <x v="0"/>
    <d v="2025-10-15T00:00:00"/>
    <x v="5"/>
    <x v="27"/>
    <d v="2025-10-27T00:00:00"/>
    <x v="0"/>
    <x v="0"/>
    <d v="2025-11-13T00:00:00"/>
    <n v="17"/>
    <n v="5"/>
    <n v="5"/>
    <n v="2"/>
    <n v="4"/>
    <x v="0"/>
  </r>
  <r>
    <s v="L1524"/>
    <x v="1"/>
    <x v="0"/>
    <x v="0"/>
    <d v="2025-10-01T00:00:00"/>
    <x v="13"/>
    <x v="37"/>
    <d v="2025-10-16T00:00:00"/>
    <x v="0"/>
    <x v="0"/>
    <d v="2025-11-15T00:00:00"/>
    <n v="30"/>
    <n v="5"/>
    <n v="3"/>
    <n v="7"/>
    <n v="8"/>
    <x v="1"/>
  </r>
  <r>
    <s v="L1525"/>
    <x v="0"/>
    <x v="2"/>
    <x v="0"/>
    <d v="2025-10-24T00:00:00"/>
    <x v="25"/>
    <x v="0"/>
    <d v="2025-11-04T00:00:00"/>
    <x v="0"/>
    <x v="0"/>
    <d v="2025-11-21T00:00:00"/>
    <n v="17"/>
    <n v="2"/>
    <n v="3"/>
    <n v="6"/>
    <n v="8"/>
    <x v="1"/>
  </r>
  <r>
    <s v="L1526"/>
    <x v="1"/>
    <x v="0"/>
    <x v="0"/>
    <d v="2025-10-05T00:00:00"/>
    <x v="15"/>
    <x v="30"/>
    <d v="2025-10-17T00:00:00"/>
    <x v="0"/>
    <x v="0"/>
    <d v="2025-11-02T00:00:00"/>
    <n v="16"/>
    <n v="2"/>
    <n v="4"/>
    <n v="6"/>
    <n v="6"/>
    <x v="0"/>
  </r>
  <r>
    <s v="L1527"/>
    <x v="1"/>
    <x v="0"/>
    <x v="0"/>
    <d v="2025-10-14T00:00:00"/>
    <x v="7"/>
    <x v="3"/>
    <d v="2025-10-27T00:00:00"/>
    <x v="0"/>
    <x v="0"/>
    <d v="2025-11-14T00:00:00"/>
    <n v="18"/>
    <n v="3"/>
    <n v="4"/>
    <n v="6"/>
    <n v="4"/>
    <x v="0"/>
  </r>
  <r>
    <s v="L1528"/>
    <x v="0"/>
    <x v="1"/>
    <x v="1"/>
    <d v="2025-10-28T00:00:00"/>
    <x v="2"/>
    <x v="2"/>
    <m/>
    <x v="1"/>
    <x v="4"/>
    <m/>
    <s v=""/>
    <m/>
    <m/>
    <m/>
    <m/>
    <x v="2"/>
  </r>
  <r>
    <s v="L1529"/>
    <x v="2"/>
    <x v="1"/>
    <x v="1"/>
    <d v="2025-10-21T00:00:00"/>
    <x v="2"/>
    <x v="2"/>
    <m/>
    <x v="1"/>
    <x v="2"/>
    <m/>
    <s v=""/>
    <m/>
    <m/>
    <m/>
    <m/>
    <x v="2"/>
  </r>
  <r>
    <s v="L1530"/>
    <x v="2"/>
    <x v="0"/>
    <x v="0"/>
    <d v="2025-10-05T00:00:00"/>
    <x v="27"/>
    <x v="23"/>
    <d v="2025-10-17T00:00:00"/>
    <x v="0"/>
    <x v="0"/>
    <d v="2025-11-16T00:00:00"/>
    <n v="30"/>
    <n v="4"/>
    <n v="5"/>
    <n v="3"/>
    <n v="2"/>
    <x v="0"/>
  </r>
  <r>
    <s v="L1531"/>
    <x v="3"/>
    <x v="2"/>
    <x v="0"/>
    <d v="2025-10-03T00:00:00"/>
    <x v="26"/>
    <x v="36"/>
    <d v="2025-10-11T00:00:00"/>
    <x v="0"/>
    <x v="0"/>
    <d v="2025-11-03T00:00:00"/>
    <n v="23"/>
    <n v="1"/>
    <n v="3"/>
    <n v="4"/>
    <n v="2"/>
    <x v="0"/>
  </r>
  <r>
    <s v="L1532"/>
    <x v="0"/>
    <x v="1"/>
    <x v="1"/>
    <d v="2025-10-16T00:00:00"/>
    <x v="2"/>
    <x v="2"/>
    <m/>
    <x v="1"/>
    <x v="2"/>
    <m/>
    <s v=""/>
    <m/>
    <m/>
    <m/>
    <m/>
    <x v="2"/>
  </r>
  <r>
    <s v="L1533"/>
    <x v="3"/>
    <x v="0"/>
    <x v="0"/>
    <d v="2025-10-26T00:00:00"/>
    <x v="4"/>
    <x v="22"/>
    <d v="2025-11-05T00:00:00"/>
    <x v="0"/>
    <x v="0"/>
    <d v="2025-12-01T00:00:00"/>
    <n v="26"/>
    <n v="5"/>
    <n v="3"/>
    <n v="2"/>
    <n v="1"/>
    <x v="0"/>
  </r>
  <r>
    <s v="L1534"/>
    <x v="3"/>
    <x v="2"/>
    <x v="0"/>
    <d v="2025-10-09T00:00:00"/>
    <x v="20"/>
    <x v="17"/>
    <d v="2025-10-19T00:00:00"/>
    <x v="0"/>
    <x v="0"/>
    <d v="2025-10-29T00:00:00"/>
    <n v="10"/>
    <n v="3"/>
    <n v="3"/>
    <n v="4"/>
    <n v="0"/>
    <x v="0"/>
  </r>
  <r>
    <s v="L1535"/>
    <x v="3"/>
    <x v="2"/>
    <x v="1"/>
    <d v="2025-10-11T00:00:00"/>
    <x v="19"/>
    <x v="20"/>
    <d v="2025-10-18T00:00:00"/>
    <x v="1"/>
    <x v="4"/>
    <m/>
    <s v=""/>
    <n v="2"/>
    <n v="3"/>
    <n v="2"/>
    <m/>
    <x v="2"/>
  </r>
  <r>
    <s v="L1536"/>
    <x v="2"/>
    <x v="0"/>
    <x v="0"/>
    <d v="2025-10-20T00:00:00"/>
    <x v="0"/>
    <x v="15"/>
    <d v="2025-11-05T00:00:00"/>
    <x v="0"/>
    <x v="0"/>
    <d v="2025-11-15T00:00:00"/>
    <n v="10"/>
    <n v="5"/>
    <n v="5"/>
    <n v="6"/>
    <n v="0"/>
    <x v="0"/>
  </r>
  <r>
    <s v="L1537"/>
    <x v="0"/>
    <x v="2"/>
    <x v="0"/>
    <d v="2025-10-23T00:00:00"/>
    <x v="12"/>
    <x v="31"/>
    <d v="2025-11-03T00:00:00"/>
    <x v="0"/>
    <x v="0"/>
    <d v="2025-11-28T00:00:00"/>
    <n v="25"/>
    <n v="4"/>
    <n v="4"/>
    <n v="3"/>
    <n v="3"/>
    <x v="0"/>
  </r>
  <r>
    <s v="L1538"/>
    <x v="3"/>
    <x v="1"/>
    <x v="1"/>
    <d v="2025-10-13T00:00:00"/>
    <x v="2"/>
    <x v="2"/>
    <m/>
    <x v="1"/>
    <x v="2"/>
    <m/>
    <s v=""/>
    <m/>
    <m/>
    <m/>
    <m/>
    <x v="2"/>
  </r>
  <r>
    <s v="L1539"/>
    <x v="0"/>
    <x v="0"/>
    <x v="1"/>
    <d v="2025-10-21T00:00:00"/>
    <x v="18"/>
    <x v="18"/>
    <d v="2025-10-30T00:00:00"/>
    <x v="1"/>
    <x v="5"/>
    <m/>
    <s v=""/>
    <n v="2"/>
    <n v="4"/>
    <n v="3"/>
    <m/>
    <x v="2"/>
  </r>
  <r>
    <s v="L1540"/>
    <x v="0"/>
    <x v="2"/>
    <x v="0"/>
    <d v="2025-10-03T00:00:00"/>
    <x v="26"/>
    <x v="32"/>
    <d v="2025-10-11T00:00:00"/>
    <x v="0"/>
    <x v="0"/>
    <d v="2025-10-25T00:00:00"/>
    <n v="14"/>
    <n v="1"/>
    <n v="1"/>
    <n v="6"/>
    <n v="9"/>
    <x v="3"/>
  </r>
  <r>
    <s v="L1541"/>
    <x v="2"/>
    <x v="1"/>
    <x v="1"/>
    <d v="2025-10-28T00:00:00"/>
    <x v="2"/>
    <x v="2"/>
    <m/>
    <x v="1"/>
    <x v="5"/>
    <m/>
    <s v=""/>
    <m/>
    <m/>
    <m/>
    <m/>
    <x v="2"/>
  </r>
  <r>
    <s v="L1542"/>
    <x v="3"/>
    <x v="0"/>
    <x v="0"/>
    <d v="2025-10-11T00:00:00"/>
    <x v="24"/>
    <x v="6"/>
    <d v="2025-10-24T00:00:00"/>
    <x v="0"/>
    <x v="0"/>
    <d v="2025-11-23T00:00:00"/>
    <n v="30"/>
    <n v="5"/>
    <n v="4"/>
    <n v="4"/>
    <n v="9"/>
    <x v="3"/>
  </r>
  <r>
    <s v="L1543"/>
    <x v="3"/>
    <x v="0"/>
    <x v="0"/>
    <d v="2025-10-28T00:00:00"/>
    <x v="4"/>
    <x v="22"/>
    <d v="2025-11-08T00:00:00"/>
    <x v="0"/>
    <x v="0"/>
    <d v="2025-11-23T00:00:00"/>
    <n v="15"/>
    <n v="3"/>
    <n v="3"/>
    <n v="5"/>
    <n v="4"/>
    <x v="0"/>
  </r>
  <r>
    <s v="L1544"/>
    <x v="0"/>
    <x v="2"/>
    <x v="0"/>
    <d v="2025-10-22T00:00:00"/>
    <x v="18"/>
    <x v="27"/>
    <d v="2025-10-31T00:00:00"/>
    <x v="0"/>
    <x v="0"/>
    <d v="2025-11-29T00:00:00"/>
    <n v="29"/>
    <n v="1"/>
    <n v="2"/>
    <n v="6"/>
    <n v="1"/>
    <x v="0"/>
  </r>
  <r>
    <s v="L1545"/>
    <x v="1"/>
    <x v="2"/>
    <x v="0"/>
    <d v="2025-10-28T00:00:00"/>
    <x v="34"/>
    <x v="7"/>
    <d v="2025-11-12T00:00:00"/>
    <x v="0"/>
    <x v="0"/>
    <d v="2025-11-22T00:00:00"/>
    <n v="10"/>
    <n v="5"/>
    <n v="3"/>
    <n v="7"/>
    <n v="6"/>
    <x v="0"/>
  </r>
  <r>
    <s v="L1546"/>
    <x v="2"/>
    <x v="0"/>
    <x v="0"/>
    <d v="2025-10-18T00:00:00"/>
    <x v="18"/>
    <x v="26"/>
    <d v="2025-11-02T00:00:00"/>
    <x v="0"/>
    <x v="0"/>
    <d v="2025-11-19T00:00:00"/>
    <n v="17"/>
    <n v="5"/>
    <n v="3"/>
    <n v="7"/>
    <n v="3"/>
    <x v="0"/>
  </r>
  <r>
    <s v="L1547"/>
    <x v="2"/>
    <x v="0"/>
    <x v="0"/>
    <d v="2025-10-13T00:00:00"/>
    <x v="3"/>
    <x v="24"/>
    <d v="2025-10-29T00:00:00"/>
    <x v="0"/>
    <x v="0"/>
    <d v="2025-11-16T00:00:00"/>
    <n v="18"/>
    <n v="5"/>
    <n v="4"/>
    <n v="7"/>
    <n v="4"/>
    <x v="0"/>
  </r>
  <r>
    <s v="L1548"/>
    <x v="2"/>
    <x v="0"/>
    <x v="0"/>
    <d v="2025-10-31T00:00:00"/>
    <x v="32"/>
    <x v="9"/>
    <d v="2025-11-13T00:00:00"/>
    <x v="0"/>
    <x v="0"/>
    <d v="2025-12-12T00:00:00"/>
    <n v="29"/>
    <n v="5"/>
    <n v="1"/>
    <n v="7"/>
    <n v="6"/>
    <x v="0"/>
  </r>
  <r>
    <s v="L1549"/>
    <x v="2"/>
    <x v="0"/>
    <x v="0"/>
    <d v="2025-10-11T00:00:00"/>
    <x v="24"/>
    <x v="3"/>
    <d v="2025-10-23T00:00:00"/>
    <x v="0"/>
    <x v="0"/>
    <d v="2025-11-11T00:00:00"/>
    <n v="19"/>
    <n v="5"/>
    <n v="5"/>
    <n v="2"/>
    <n v="5"/>
    <x v="0"/>
  </r>
  <r>
    <s v="L1550"/>
    <x v="3"/>
    <x v="0"/>
    <x v="0"/>
    <d v="2025-10-21T00:00:00"/>
    <x v="31"/>
    <x v="28"/>
    <d v="2025-10-28T00:00:00"/>
    <x v="0"/>
    <x v="0"/>
    <d v="2025-11-27T00:00:00"/>
    <n v="30"/>
    <n v="1"/>
    <n v="2"/>
    <n v="4"/>
    <n v="3"/>
    <x v="0"/>
  </r>
  <r>
    <s v="L1551"/>
    <x v="3"/>
    <x v="2"/>
    <x v="0"/>
    <d v="2025-10-23T00:00:00"/>
    <x v="12"/>
    <x v="0"/>
    <d v="2025-11-05T00:00:00"/>
    <x v="0"/>
    <x v="0"/>
    <d v="2025-11-23T00:00:00"/>
    <n v="18"/>
    <n v="4"/>
    <n v="2"/>
    <n v="7"/>
    <n v="3"/>
    <x v="0"/>
  </r>
  <r>
    <s v="L1552"/>
    <x v="1"/>
    <x v="0"/>
    <x v="0"/>
    <d v="2025-10-29T00:00:00"/>
    <x v="34"/>
    <x v="22"/>
    <d v="2025-11-08T00:00:00"/>
    <x v="0"/>
    <x v="0"/>
    <d v="2025-12-01T00:00:00"/>
    <n v="23"/>
    <n v="4"/>
    <n v="1"/>
    <n v="5"/>
    <n v="9"/>
    <x v="3"/>
  </r>
  <r>
    <s v="L1553"/>
    <x v="2"/>
    <x v="1"/>
    <x v="1"/>
    <d v="2025-10-25T00:00:00"/>
    <x v="2"/>
    <x v="2"/>
    <m/>
    <x v="1"/>
    <x v="4"/>
    <m/>
    <s v=""/>
    <m/>
    <m/>
    <m/>
    <m/>
    <x v="2"/>
  </r>
  <r>
    <s v="L1554"/>
    <x v="2"/>
    <x v="0"/>
    <x v="0"/>
    <d v="2025-10-16T00:00:00"/>
    <x v="7"/>
    <x v="6"/>
    <d v="2025-10-27T00:00:00"/>
    <x v="0"/>
    <x v="0"/>
    <d v="2025-11-18T00:00:00"/>
    <n v="22"/>
    <n v="1"/>
    <n v="3"/>
    <n v="7"/>
    <n v="2"/>
    <x v="0"/>
  </r>
  <r>
    <s v="L1555"/>
    <x v="0"/>
    <x v="0"/>
    <x v="0"/>
    <d v="2025-10-28T00:00:00"/>
    <x v="10"/>
    <x v="9"/>
    <d v="2025-11-09T00:00:00"/>
    <x v="0"/>
    <x v="0"/>
    <d v="2025-11-30T00:00:00"/>
    <n v="21"/>
    <n v="4"/>
    <n v="5"/>
    <n v="3"/>
    <n v="8"/>
    <x v="1"/>
  </r>
  <r>
    <s v="L1556"/>
    <x v="3"/>
    <x v="2"/>
    <x v="0"/>
    <d v="2025-10-18T00:00:00"/>
    <x v="16"/>
    <x v="26"/>
    <d v="2025-10-28T00:00:00"/>
    <x v="0"/>
    <x v="0"/>
    <d v="2025-11-21T00:00:00"/>
    <n v="24"/>
    <n v="3"/>
    <n v="5"/>
    <n v="2"/>
    <n v="1"/>
    <x v="0"/>
  </r>
  <r>
    <s v="L1557"/>
    <x v="2"/>
    <x v="0"/>
    <x v="0"/>
    <d v="2025-10-02T00:00:00"/>
    <x v="6"/>
    <x v="13"/>
    <d v="2025-10-13T00:00:00"/>
    <x v="0"/>
    <x v="0"/>
    <d v="2025-10-31T00:00:00"/>
    <n v="18"/>
    <n v="3"/>
    <n v="5"/>
    <n v="3"/>
    <n v="2"/>
    <x v="0"/>
  </r>
  <r>
    <s v="L1558"/>
    <x v="1"/>
    <x v="0"/>
    <x v="0"/>
    <d v="2025-10-20T00:00:00"/>
    <x v="16"/>
    <x v="27"/>
    <d v="2025-10-27T00:00:00"/>
    <x v="0"/>
    <x v="0"/>
    <d v="2025-11-12T00:00:00"/>
    <n v="16"/>
    <n v="1"/>
    <n v="4"/>
    <n v="2"/>
    <n v="6"/>
    <x v="0"/>
  </r>
  <r>
    <s v="L1559"/>
    <x v="1"/>
    <x v="1"/>
    <x v="1"/>
    <d v="2025-10-03T00:00:00"/>
    <x v="2"/>
    <x v="2"/>
    <m/>
    <x v="1"/>
    <x v="2"/>
    <m/>
    <s v=""/>
    <m/>
    <m/>
    <m/>
    <m/>
    <x v="2"/>
  </r>
  <r>
    <s v="L1560"/>
    <x v="3"/>
    <x v="0"/>
    <x v="0"/>
    <d v="2025-10-08T00:00:00"/>
    <x v="17"/>
    <x v="23"/>
    <d v="2025-10-19T00:00:00"/>
    <x v="0"/>
    <x v="0"/>
    <d v="2025-11-12T00:00:00"/>
    <n v="24"/>
    <n v="3"/>
    <n v="3"/>
    <n v="5"/>
    <n v="6"/>
    <x v="0"/>
  </r>
  <r>
    <s v="L1561"/>
    <x v="1"/>
    <x v="1"/>
    <x v="1"/>
    <d v="2025-10-21T00:00:00"/>
    <x v="2"/>
    <x v="2"/>
    <m/>
    <x v="1"/>
    <x v="5"/>
    <m/>
    <s v=""/>
    <m/>
    <m/>
    <m/>
    <m/>
    <x v="2"/>
  </r>
  <r>
    <s v="L1562"/>
    <x v="1"/>
    <x v="0"/>
    <x v="0"/>
    <d v="2025-10-22T00:00:00"/>
    <x v="18"/>
    <x v="27"/>
    <d v="2025-10-27T00:00:00"/>
    <x v="0"/>
    <x v="0"/>
    <d v="2025-11-15T00:00:00"/>
    <n v="19"/>
    <n v="1"/>
    <n v="2"/>
    <n v="2"/>
    <n v="1"/>
    <x v="0"/>
  </r>
  <r>
    <s v="L1563"/>
    <x v="3"/>
    <x v="2"/>
    <x v="0"/>
    <d v="2025-10-30T00:00:00"/>
    <x v="34"/>
    <x v="4"/>
    <d v="2025-11-09T00:00:00"/>
    <x v="0"/>
    <x v="0"/>
    <d v="2025-12-05T00:00:00"/>
    <n v="26"/>
    <n v="3"/>
    <n v="2"/>
    <n v="5"/>
    <n v="3"/>
    <x v="0"/>
  </r>
  <r>
    <s v="L1564"/>
    <x v="2"/>
    <x v="0"/>
    <x v="0"/>
    <d v="2025-10-10T00:00:00"/>
    <x v="20"/>
    <x v="17"/>
    <d v="2025-10-21T00:00:00"/>
    <x v="0"/>
    <x v="0"/>
    <d v="2025-11-19T00:00:00"/>
    <n v="29"/>
    <n v="2"/>
    <n v="3"/>
    <n v="6"/>
    <n v="4"/>
    <x v="0"/>
  </r>
  <r>
    <s v="L1565"/>
    <x v="2"/>
    <x v="2"/>
    <x v="0"/>
    <d v="2025-10-08T00:00:00"/>
    <x v="27"/>
    <x v="30"/>
    <d v="2025-10-17T00:00:00"/>
    <x v="0"/>
    <x v="0"/>
    <d v="2025-11-08T00:00:00"/>
    <n v="22"/>
    <n v="1"/>
    <n v="2"/>
    <n v="6"/>
    <n v="5"/>
    <x v="0"/>
  </r>
  <r>
    <s v="L1566"/>
    <x v="1"/>
    <x v="2"/>
    <x v="0"/>
    <d v="2025-10-24T00:00:00"/>
    <x v="23"/>
    <x v="10"/>
    <d v="2025-11-04T00:00:00"/>
    <x v="0"/>
    <x v="0"/>
    <d v="2025-12-02T00:00:00"/>
    <n v="28"/>
    <n v="5"/>
    <n v="4"/>
    <n v="2"/>
    <n v="3"/>
    <x v="0"/>
  </r>
  <r>
    <s v="L1567"/>
    <x v="1"/>
    <x v="1"/>
    <x v="1"/>
    <d v="2025-10-03T00:00:00"/>
    <x v="2"/>
    <x v="2"/>
    <m/>
    <x v="1"/>
    <x v="5"/>
    <m/>
    <s v=""/>
    <m/>
    <m/>
    <m/>
    <m/>
    <x v="2"/>
  </r>
  <r>
    <s v="L1568"/>
    <x v="2"/>
    <x v="0"/>
    <x v="0"/>
    <d v="2025-10-14T00:00:00"/>
    <x v="7"/>
    <x v="24"/>
    <d v="2025-10-26T00:00:00"/>
    <x v="0"/>
    <x v="0"/>
    <d v="2025-11-08T00:00:00"/>
    <n v="13"/>
    <n v="3"/>
    <n v="5"/>
    <n v="4"/>
    <n v="9"/>
    <x v="3"/>
  </r>
  <r>
    <s v="L1569"/>
    <x v="3"/>
    <x v="0"/>
    <x v="0"/>
    <d v="2025-10-04T00:00:00"/>
    <x v="13"/>
    <x v="5"/>
    <d v="2025-10-15T00:00:00"/>
    <x v="0"/>
    <x v="0"/>
    <d v="2025-10-25T00:00:00"/>
    <n v="10"/>
    <n v="2"/>
    <n v="2"/>
    <n v="7"/>
    <n v="4"/>
    <x v="0"/>
  </r>
  <r>
    <s v="L1570"/>
    <x v="1"/>
    <x v="2"/>
    <x v="0"/>
    <d v="2025-10-25T00:00:00"/>
    <x v="25"/>
    <x v="15"/>
    <d v="2025-11-06T00:00:00"/>
    <x v="0"/>
    <x v="0"/>
    <d v="2025-12-02T00:00:00"/>
    <n v="26"/>
    <n v="1"/>
    <n v="4"/>
    <n v="7"/>
    <n v="9"/>
    <x v="3"/>
  </r>
  <r>
    <s v="L1571"/>
    <x v="0"/>
    <x v="0"/>
    <x v="0"/>
    <d v="2025-10-21T00:00:00"/>
    <x v="9"/>
    <x v="0"/>
    <d v="2025-11-05T00:00:00"/>
    <x v="0"/>
    <x v="0"/>
    <d v="2025-11-26T00:00:00"/>
    <n v="21"/>
    <n v="3"/>
    <n v="5"/>
    <n v="7"/>
    <n v="2"/>
    <x v="0"/>
  </r>
  <r>
    <s v="L1572"/>
    <x v="3"/>
    <x v="2"/>
    <x v="0"/>
    <d v="2025-10-23T00:00:00"/>
    <x v="28"/>
    <x v="31"/>
    <d v="2025-11-07T00:00:00"/>
    <x v="0"/>
    <x v="0"/>
    <d v="2025-12-04T00:00:00"/>
    <n v="27"/>
    <n v="5"/>
    <n v="3"/>
    <n v="7"/>
    <n v="1"/>
    <x v="0"/>
  </r>
  <r>
    <s v="L1573"/>
    <x v="1"/>
    <x v="2"/>
    <x v="0"/>
    <d v="2025-10-28T00:00:00"/>
    <x v="4"/>
    <x v="22"/>
    <d v="2025-11-06T00:00:00"/>
    <x v="0"/>
    <x v="0"/>
    <d v="2025-12-06T00:00:00"/>
    <n v="30"/>
    <n v="3"/>
    <n v="3"/>
    <n v="3"/>
    <n v="7"/>
    <x v="1"/>
  </r>
  <r>
    <s v="L1574"/>
    <x v="1"/>
    <x v="0"/>
    <x v="0"/>
    <d v="2025-10-04T00:00:00"/>
    <x v="13"/>
    <x v="13"/>
    <d v="2025-10-12T00:00:00"/>
    <x v="0"/>
    <x v="0"/>
    <d v="2025-11-10T00:00:00"/>
    <n v="29"/>
    <n v="2"/>
    <n v="4"/>
    <n v="2"/>
    <n v="0"/>
    <x v="0"/>
  </r>
  <r>
    <s v="L1575"/>
    <x v="0"/>
    <x v="2"/>
    <x v="0"/>
    <d v="2025-10-15T00:00:00"/>
    <x v="22"/>
    <x v="16"/>
    <d v="2025-10-25T00:00:00"/>
    <x v="0"/>
    <x v="0"/>
    <d v="2025-11-23T00:00:00"/>
    <n v="29"/>
    <n v="4"/>
    <n v="4"/>
    <n v="2"/>
    <n v="10"/>
    <x v="3"/>
  </r>
  <r>
    <s v="L1576"/>
    <x v="0"/>
    <x v="0"/>
    <x v="0"/>
    <d v="2025-10-06T00:00:00"/>
    <x v="21"/>
    <x v="23"/>
    <d v="2025-10-21T00:00:00"/>
    <x v="0"/>
    <x v="0"/>
    <d v="2025-11-09T00:00:00"/>
    <n v="19"/>
    <n v="4"/>
    <n v="4"/>
    <n v="7"/>
    <n v="7"/>
    <x v="1"/>
  </r>
  <r>
    <s v="L1577"/>
    <x v="2"/>
    <x v="2"/>
    <x v="0"/>
    <d v="2025-10-23T00:00:00"/>
    <x v="0"/>
    <x v="18"/>
    <d v="2025-10-30T00:00:00"/>
    <x v="0"/>
    <x v="0"/>
    <d v="2025-11-18T00:00:00"/>
    <n v="19"/>
    <n v="2"/>
    <n v="2"/>
    <n v="3"/>
    <n v="3"/>
    <x v="0"/>
  </r>
  <r>
    <s v="L1578"/>
    <x v="3"/>
    <x v="2"/>
    <x v="0"/>
    <d v="2025-10-10T00:00:00"/>
    <x v="20"/>
    <x v="17"/>
    <d v="2025-10-22T00:00:00"/>
    <x v="0"/>
    <x v="0"/>
    <d v="2025-11-04T00:00:00"/>
    <n v="13"/>
    <n v="2"/>
    <n v="3"/>
    <n v="7"/>
    <n v="6"/>
    <x v="0"/>
  </r>
  <r>
    <s v="L1579"/>
    <x v="3"/>
    <x v="2"/>
    <x v="0"/>
    <d v="2025-10-29T00:00:00"/>
    <x v="11"/>
    <x v="12"/>
    <d v="2025-11-03T00:00:00"/>
    <x v="0"/>
    <x v="0"/>
    <d v="2025-11-28T00:00:00"/>
    <n v="25"/>
    <n v="1"/>
    <n v="2"/>
    <n v="2"/>
    <n v="9"/>
    <x v="3"/>
  </r>
  <r>
    <s v="L1580"/>
    <x v="2"/>
    <x v="0"/>
    <x v="0"/>
    <d v="2025-10-01T00:00:00"/>
    <x v="6"/>
    <x v="36"/>
    <d v="2025-10-10T00:00:00"/>
    <x v="0"/>
    <x v="0"/>
    <d v="2025-10-22T00:00:00"/>
    <n v="12"/>
    <n v="4"/>
    <n v="2"/>
    <n v="3"/>
    <n v="6"/>
    <x v="0"/>
  </r>
  <r>
    <s v="L1581"/>
    <x v="3"/>
    <x v="0"/>
    <x v="0"/>
    <d v="2025-10-02T00:00:00"/>
    <x v="33"/>
    <x v="5"/>
    <d v="2025-10-13T00:00:00"/>
    <x v="0"/>
    <x v="0"/>
    <d v="2025-11-02T00:00:00"/>
    <n v="20"/>
    <n v="1"/>
    <n v="5"/>
    <n v="5"/>
    <n v="3"/>
    <x v="0"/>
  </r>
  <r>
    <s v="L1582"/>
    <x v="3"/>
    <x v="0"/>
    <x v="0"/>
    <d v="2025-10-11T00:00:00"/>
    <x v="1"/>
    <x v="11"/>
    <d v="2025-10-22T00:00:00"/>
    <x v="0"/>
    <x v="0"/>
    <d v="2025-11-09T00:00:00"/>
    <n v="18"/>
    <n v="3"/>
    <n v="4"/>
    <n v="4"/>
    <n v="1"/>
    <x v="0"/>
  </r>
  <r>
    <s v="L1583"/>
    <x v="3"/>
    <x v="0"/>
    <x v="0"/>
    <d v="2025-10-26T00:00:00"/>
    <x v="28"/>
    <x v="15"/>
    <d v="2025-11-05T00:00:00"/>
    <x v="0"/>
    <x v="0"/>
    <d v="2025-12-05T00:00:00"/>
    <n v="30"/>
    <n v="2"/>
    <n v="2"/>
    <n v="6"/>
    <n v="5"/>
    <x v="0"/>
  </r>
  <r>
    <s v="L1584"/>
    <x v="3"/>
    <x v="0"/>
    <x v="1"/>
    <d v="2025-10-02T00:00:00"/>
    <x v="33"/>
    <x v="5"/>
    <d v="2025-10-14T00:00:00"/>
    <x v="1"/>
    <x v="3"/>
    <m/>
    <s v=""/>
    <n v="1"/>
    <n v="5"/>
    <n v="6"/>
    <m/>
    <x v="2"/>
  </r>
  <r>
    <s v="L1585"/>
    <x v="3"/>
    <x v="2"/>
    <x v="0"/>
    <d v="2025-10-10T00:00:00"/>
    <x v="20"/>
    <x v="21"/>
    <d v="2025-10-20T00:00:00"/>
    <x v="0"/>
    <x v="0"/>
    <d v="2025-11-09T00:00:00"/>
    <n v="20"/>
    <n v="2"/>
    <n v="1"/>
    <n v="7"/>
    <n v="5"/>
    <x v="0"/>
  </r>
  <r>
    <s v="L1586"/>
    <x v="0"/>
    <x v="0"/>
    <x v="0"/>
    <d v="2025-10-12T00:00:00"/>
    <x v="19"/>
    <x v="11"/>
    <d v="2025-10-22T00:00:00"/>
    <x v="0"/>
    <x v="0"/>
    <d v="2025-11-09T00:00:00"/>
    <n v="18"/>
    <n v="1"/>
    <n v="5"/>
    <n v="4"/>
    <n v="8"/>
    <x v="1"/>
  </r>
  <r>
    <s v="L1587"/>
    <x v="3"/>
    <x v="1"/>
    <x v="1"/>
    <d v="2025-10-12T00:00:00"/>
    <x v="2"/>
    <x v="2"/>
    <m/>
    <x v="1"/>
    <x v="3"/>
    <m/>
    <s v=""/>
    <m/>
    <m/>
    <m/>
    <m/>
    <x v="2"/>
  </r>
  <r>
    <s v="L1588"/>
    <x v="0"/>
    <x v="0"/>
    <x v="1"/>
    <d v="2025-10-14T00:00:00"/>
    <x v="7"/>
    <x v="11"/>
    <d v="2025-10-21T00:00:00"/>
    <x v="1"/>
    <x v="5"/>
    <m/>
    <s v=""/>
    <n v="3"/>
    <n v="1"/>
    <n v="3"/>
    <m/>
    <x v="2"/>
  </r>
  <r>
    <s v="L1589"/>
    <x v="3"/>
    <x v="0"/>
    <x v="0"/>
    <d v="2025-10-05T00:00:00"/>
    <x v="30"/>
    <x v="37"/>
    <d v="2025-10-13T00:00:00"/>
    <x v="0"/>
    <x v="0"/>
    <d v="2025-10-31T00:00:00"/>
    <n v="18"/>
    <n v="3"/>
    <n v="1"/>
    <n v="4"/>
    <n v="9"/>
    <x v="3"/>
  </r>
  <r>
    <s v="L1590"/>
    <x v="2"/>
    <x v="1"/>
    <x v="1"/>
    <d v="2025-10-08T00:00:00"/>
    <x v="2"/>
    <x v="2"/>
    <m/>
    <x v="1"/>
    <x v="4"/>
    <m/>
    <s v=""/>
    <m/>
    <m/>
    <m/>
    <m/>
    <x v="2"/>
  </r>
  <r>
    <s v="L1591"/>
    <x v="1"/>
    <x v="0"/>
    <x v="0"/>
    <d v="2025-10-17T00:00:00"/>
    <x v="31"/>
    <x v="16"/>
    <d v="2025-10-26T00:00:00"/>
    <x v="0"/>
    <x v="0"/>
    <d v="2025-11-25T00:00:00"/>
    <n v="30"/>
    <n v="5"/>
    <n v="1"/>
    <n v="3"/>
    <n v="0"/>
    <x v="0"/>
  </r>
  <r>
    <s v="L1592"/>
    <x v="0"/>
    <x v="2"/>
    <x v="1"/>
    <d v="2025-10-14T00:00:00"/>
    <x v="3"/>
    <x v="1"/>
    <d v="2025-10-26T00:00:00"/>
    <x v="1"/>
    <x v="1"/>
    <m/>
    <s v=""/>
    <n v="4"/>
    <n v="1"/>
    <n v="7"/>
    <m/>
    <x v="2"/>
  </r>
  <r>
    <s v="L1593"/>
    <x v="3"/>
    <x v="0"/>
    <x v="0"/>
    <d v="2025-10-19T00:00:00"/>
    <x v="9"/>
    <x v="8"/>
    <d v="2025-11-01T00:00:00"/>
    <x v="0"/>
    <x v="0"/>
    <d v="2025-12-01T00:00:00"/>
    <n v="30"/>
    <n v="5"/>
    <n v="4"/>
    <n v="4"/>
    <n v="7"/>
    <x v="1"/>
  </r>
  <r>
    <s v="L1594"/>
    <x v="2"/>
    <x v="0"/>
    <x v="0"/>
    <d v="2025-10-22T00:00:00"/>
    <x v="25"/>
    <x v="8"/>
    <d v="2025-11-04T00:00:00"/>
    <x v="0"/>
    <x v="0"/>
    <d v="2025-11-23T00:00:00"/>
    <n v="19"/>
    <n v="4"/>
    <n v="2"/>
    <n v="7"/>
    <n v="2"/>
    <x v="0"/>
  </r>
  <r>
    <s v="L1595"/>
    <x v="1"/>
    <x v="0"/>
    <x v="0"/>
    <d v="2025-10-26T00:00:00"/>
    <x v="23"/>
    <x v="31"/>
    <d v="2025-11-02T00:00:00"/>
    <x v="0"/>
    <x v="0"/>
    <d v="2025-11-18T00:00:00"/>
    <n v="16"/>
    <n v="3"/>
    <n v="2"/>
    <n v="2"/>
    <n v="8"/>
    <x v="1"/>
  </r>
  <r>
    <s v="L1596"/>
    <x v="0"/>
    <x v="0"/>
    <x v="1"/>
    <d v="2025-10-06T00:00:00"/>
    <x v="15"/>
    <x v="5"/>
    <d v="2025-10-10T00:00:00"/>
    <x v="1"/>
    <x v="1"/>
    <m/>
    <s v=""/>
    <n v="1"/>
    <n v="1"/>
    <n v="2"/>
    <m/>
    <x v="2"/>
  </r>
  <r>
    <s v="L1597"/>
    <x v="1"/>
    <x v="0"/>
    <x v="0"/>
    <d v="2025-10-06T00:00:00"/>
    <x v="30"/>
    <x v="13"/>
    <d v="2025-10-14T00:00:00"/>
    <x v="0"/>
    <x v="0"/>
    <d v="2025-10-28T00:00:00"/>
    <n v="14"/>
    <n v="2"/>
    <n v="2"/>
    <n v="4"/>
    <n v="3"/>
    <x v="0"/>
  </r>
  <r>
    <s v="L1598"/>
    <x v="2"/>
    <x v="0"/>
    <x v="0"/>
    <d v="2025-10-06T00:00:00"/>
    <x v="27"/>
    <x v="13"/>
    <d v="2025-10-15T00:00:00"/>
    <x v="0"/>
    <x v="0"/>
    <d v="2025-11-10T00:00:00"/>
    <n v="26"/>
    <n v="3"/>
    <n v="1"/>
    <n v="5"/>
    <n v="1"/>
    <x v="0"/>
  </r>
  <r>
    <s v="L1599"/>
    <x v="0"/>
    <x v="0"/>
    <x v="0"/>
    <d v="2025-10-03T00:00:00"/>
    <x v="13"/>
    <x v="5"/>
    <d v="2025-10-12T00:00:00"/>
    <x v="0"/>
    <x v="0"/>
    <d v="2025-10-29T00:00:00"/>
    <n v="17"/>
    <n v="3"/>
    <n v="2"/>
    <n v="4"/>
    <n v="4"/>
    <x v="0"/>
  </r>
  <r>
    <s v="L1600"/>
    <x v="1"/>
    <x v="1"/>
    <x v="1"/>
    <d v="2025-10-20T00:00:00"/>
    <x v="2"/>
    <x v="2"/>
    <m/>
    <x v="1"/>
    <x v="5"/>
    <m/>
    <s v=""/>
    <m/>
    <m/>
    <m/>
    <m/>
    <x v="2"/>
  </r>
  <r>
    <s v="L1601"/>
    <x v="3"/>
    <x v="0"/>
    <x v="0"/>
    <d v="2025-10-28T00:00:00"/>
    <x v="23"/>
    <x v="22"/>
    <d v="2025-11-09T00:00:00"/>
    <x v="0"/>
    <x v="0"/>
    <d v="2025-11-20T00:00:00"/>
    <n v="11"/>
    <n v="1"/>
    <n v="5"/>
    <n v="6"/>
    <n v="3"/>
    <x v="0"/>
  </r>
  <r>
    <s v="L1602"/>
    <x v="0"/>
    <x v="2"/>
    <x v="0"/>
    <d v="2025-10-13T00:00:00"/>
    <x v="24"/>
    <x v="6"/>
    <d v="2025-10-22T00:00:00"/>
    <x v="0"/>
    <x v="0"/>
    <d v="2025-11-20T00:00:00"/>
    <n v="29"/>
    <n v="3"/>
    <n v="4"/>
    <n v="2"/>
    <n v="8"/>
    <x v="1"/>
  </r>
  <r>
    <s v="L1603"/>
    <x v="1"/>
    <x v="0"/>
    <x v="0"/>
    <d v="2025-10-20T00:00:00"/>
    <x v="18"/>
    <x v="26"/>
    <d v="2025-10-30T00:00:00"/>
    <x v="0"/>
    <x v="0"/>
    <d v="2025-11-21T00:00:00"/>
    <n v="22"/>
    <n v="3"/>
    <n v="3"/>
    <n v="4"/>
    <n v="6"/>
    <x v="0"/>
  </r>
  <r>
    <s v="L1604"/>
    <x v="2"/>
    <x v="2"/>
    <x v="0"/>
    <d v="2025-10-22T00:00:00"/>
    <x v="18"/>
    <x v="28"/>
    <d v="2025-10-31T00:00:00"/>
    <x v="0"/>
    <x v="0"/>
    <d v="2025-11-20T00:00:00"/>
    <n v="20"/>
    <n v="1"/>
    <n v="1"/>
    <n v="7"/>
    <n v="9"/>
    <x v="3"/>
  </r>
  <r>
    <s v="L1605"/>
    <x v="2"/>
    <x v="0"/>
    <x v="0"/>
    <d v="2025-10-08T00:00:00"/>
    <x v="17"/>
    <x v="20"/>
    <d v="2025-10-22T00:00:00"/>
    <x v="0"/>
    <x v="0"/>
    <d v="2025-11-05T00:00:00"/>
    <n v="14"/>
    <n v="3"/>
    <n v="5"/>
    <n v="6"/>
    <n v="3"/>
    <x v="0"/>
  </r>
  <r>
    <s v="L1606"/>
    <x v="0"/>
    <x v="0"/>
    <x v="0"/>
    <d v="2025-10-16T00:00:00"/>
    <x v="5"/>
    <x v="27"/>
    <d v="2025-11-01T00:00:00"/>
    <x v="0"/>
    <x v="0"/>
    <d v="2025-11-11T00:00:00"/>
    <n v="10"/>
    <n v="4"/>
    <n v="5"/>
    <n v="7"/>
    <n v="2"/>
    <x v="0"/>
  </r>
  <r>
    <s v="L1607"/>
    <x v="1"/>
    <x v="2"/>
    <x v="0"/>
    <d v="2025-10-30T00:00:00"/>
    <x v="35"/>
    <x v="38"/>
    <d v="2025-11-09T00:00:00"/>
    <x v="0"/>
    <x v="0"/>
    <d v="2025-12-09T00:00:00"/>
    <n v="30"/>
    <n v="4"/>
    <n v="4"/>
    <n v="2"/>
    <n v="4"/>
    <x v="0"/>
  </r>
  <r>
    <s v="L1608"/>
    <x v="0"/>
    <x v="0"/>
    <x v="0"/>
    <d v="2025-10-19T00:00:00"/>
    <x v="18"/>
    <x v="18"/>
    <d v="2025-11-01T00:00:00"/>
    <x v="0"/>
    <x v="0"/>
    <d v="2025-11-26T00:00:00"/>
    <n v="25"/>
    <n v="4"/>
    <n v="4"/>
    <n v="5"/>
    <n v="0"/>
    <x v="0"/>
  </r>
  <r>
    <s v="L1609"/>
    <x v="0"/>
    <x v="2"/>
    <x v="0"/>
    <d v="2025-10-05T00:00:00"/>
    <x v="27"/>
    <x v="13"/>
    <d v="2025-10-15T00:00:00"/>
    <x v="0"/>
    <x v="0"/>
    <d v="2025-11-03T00:00:00"/>
    <n v="19"/>
    <n v="4"/>
    <n v="1"/>
    <n v="5"/>
    <n v="1"/>
    <x v="0"/>
  </r>
  <r>
    <s v="L1610"/>
    <x v="1"/>
    <x v="2"/>
    <x v="0"/>
    <d v="2025-10-08T00:00:00"/>
    <x v="17"/>
    <x v="14"/>
    <d v="2025-10-18T00:00:00"/>
    <x v="0"/>
    <x v="0"/>
    <d v="2025-11-05T00:00:00"/>
    <n v="18"/>
    <n v="3"/>
    <n v="1"/>
    <n v="6"/>
    <n v="1"/>
    <x v="0"/>
  </r>
  <r>
    <s v="L1611"/>
    <x v="1"/>
    <x v="0"/>
    <x v="0"/>
    <d v="2025-10-15T00:00:00"/>
    <x v="7"/>
    <x v="24"/>
    <d v="2025-10-26T00:00:00"/>
    <x v="0"/>
    <x v="0"/>
    <d v="2025-11-18T00:00:00"/>
    <n v="23"/>
    <n v="2"/>
    <n v="5"/>
    <n v="4"/>
    <n v="2"/>
    <x v="0"/>
  </r>
  <r>
    <s v="L1612"/>
    <x v="3"/>
    <x v="0"/>
    <x v="0"/>
    <d v="2025-10-21T00:00:00"/>
    <x v="0"/>
    <x v="15"/>
    <d v="2025-11-01T00:00:00"/>
    <x v="0"/>
    <x v="0"/>
    <d v="2025-11-23T00:00:00"/>
    <n v="22"/>
    <n v="4"/>
    <n v="5"/>
    <n v="2"/>
    <n v="8"/>
    <x v="1"/>
  </r>
  <r>
    <s v="L1613"/>
    <x v="1"/>
    <x v="1"/>
    <x v="1"/>
    <d v="2025-10-09T00:00:00"/>
    <x v="2"/>
    <x v="2"/>
    <m/>
    <x v="1"/>
    <x v="5"/>
    <m/>
    <s v=""/>
    <m/>
    <m/>
    <m/>
    <m/>
    <x v="2"/>
  </r>
  <r>
    <s v="L1614"/>
    <x v="2"/>
    <x v="0"/>
    <x v="0"/>
    <d v="2025-10-15T00:00:00"/>
    <x v="22"/>
    <x v="16"/>
    <d v="2025-10-28T00:00:00"/>
    <x v="0"/>
    <x v="0"/>
    <d v="2025-11-19T00:00:00"/>
    <n v="22"/>
    <n v="4"/>
    <n v="4"/>
    <n v="5"/>
    <n v="6"/>
    <x v="0"/>
  </r>
  <r>
    <s v="L1615"/>
    <x v="0"/>
    <x v="0"/>
    <x v="0"/>
    <d v="2025-10-09T00:00:00"/>
    <x v="20"/>
    <x v="21"/>
    <d v="2025-10-19T00:00:00"/>
    <x v="0"/>
    <x v="0"/>
    <d v="2025-10-30T00:00:00"/>
    <n v="11"/>
    <n v="3"/>
    <n v="1"/>
    <n v="6"/>
    <n v="6"/>
    <x v="0"/>
  </r>
  <r>
    <s v="L1616"/>
    <x v="0"/>
    <x v="0"/>
    <x v="0"/>
    <d v="2025-10-22T00:00:00"/>
    <x v="12"/>
    <x v="8"/>
    <d v="2025-10-31T00:00:00"/>
    <x v="0"/>
    <x v="0"/>
    <d v="2025-11-28T00:00:00"/>
    <n v="28"/>
    <n v="5"/>
    <n v="1"/>
    <n v="3"/>
    <n v="3"/>
    <x v="0"/>
  </r>
  <r>
    <s v="L1617"/>
    <x v="2"/>
    <x v="2"/>
    <x v="0"/>
    <d v="2025-10-01T00:00:00"/>
    <x v="26"/>
    <x v="37"/>
    <d v="2025-10-13T00:00:00"/>
    <x v="0"/>
    <x v="0"/>
    <d v="2025-11-10T00:00:00"/>
    <n v="28"/>
    <n v="3"/>
    <n v="5"/>
    <n v="4"/>
    <n v="4"/>
    <x v="0"/>
  </r>
  <r>
    <s v="L1618"/>
    <x v="1"/>
    <x v="1"/>
    <x v="1"/>
    <d v="2025-10-29T00:00:00"/>
    <x v="2"/>
    <x v="2"/>
    <m/>
    <x v="1"/>
    <x v="5"/>
    <m/>
    <s v=""/>
    <m/>
    <m/>
    <m/>
    <m/>
    <x v="2"/>
  </r>
  <r>
    <s v="L1619"/>
    <x v="2"/>
    <x v="0"/>
    <x v="1"/>
    <d v="2025-10-26T00:00:00"/>
    <x v="12"/>
    <x v="15"/>
    <d v="2025-11-02T00:00:00"/>
    <x v="1"/>
    <x v="4"/>
    <m/>
    <s v=""/>
    <n v="1"/>
    <n v="3"/>
    <n v="3"/>
    <m/>
    <x v="2"/>
  </r>
  <r>
    <s v="L1620"/>
    <x v="2"/>
    <x v="0"/>
    <x v="1"/>
    <d v="2025-10-15T00:00:00"/>
    <x v="22"/>
    <x v="28"/>
    <d v="2025-10-28T00:00:00"/>
    <x v="1"/>
    <x v="3"/>
    <m/>
    <s v=""/>
    <n v="4"/>
    <n v="5"/>
    <n v="4"/>
    <m/>
    <x v="2"/>
  </r>
  <r>
    <s v="L1621"/>
    <x v="3"/>
    <x v="2"/>
    <x v="0"/>
    <d v="2025-10-29T00:00:00"/>
    <x v="11"/>
    <x v="10"/>
    <d v="2025-11-04T00:00:00"/>
    <x v="0"/>
    <x v="0"/>
    <d v="2025-11-20T00:00:00"/>
    <n v="16"/>
    <n v="1"/>
    <n v="3"/>
    <n v="2"/>
    <n v="6"/>
    <x v="0"/>
  </r>
  <r>
    <s v="L1622"/>
    <x v="2"/>
    <x v="0"/>
    <x v="0"/>
    <d v="2025-10-10T00:00:00"/>
    <x v="1"/>
    <x v="17"/>
    <d v="2025-10-21T00:00:00"/>
    <x v="0"/>
    <x v="0"/>
    <d v="2025-11-10T00:00:00"/>
    <n v="20"/>
    <n v="4"/>
    <n v="1"/>
    <n v="6"/>
    <n v="9"/>
    <x v="3"/>
  </r>
  <r>
    <s v="L1623"/>
    <x v="0"/>
    <x v="0"/>
    <x v="0"/>
    <d v="2025-10-22T00:00:00"/>
    <x v="12"/>
    <x v="12"/>
    <d v="2025-11-08T00:00:00"/>
    <x v="0"/>
    <x v="0"/>
    <d v="2025-11-25T00:00:00"/>
    <n v="17"/>
    <n v="5"/>
    <n v="5"/>
    <n v="7"/>
    <n v="8"/>
    <x v="1"/>
  </r>
  <r>
    <s v="L1624"/>
    <x v="2"/>
    <x v="1"/>
    <x v="1"/>
    <d v="2025-10-18T00:00:00"/>
    <x v="2"/>
    <x v="2"/>
    <m/>
    <x v="1"/>
    <x v="5"/>
    <m/>
    <s v=""/>
    <m/>
    <m/>
    <m/>
    <m/>
    <x v="2"/>
  </r>
  <r>
    <s v="L1625"/>
    <x v="0"/>
    <x v="2"/>
    <x v="0"/>
    <d v="2025-10-06T00:00:00"/>
    <x v="30"/>
    <x v="14"/>
    <d v="2025-10-19T00:00:00"/>
    <x v="0"/>
    <x v="0"/>
    <d v="2025-11-15T00:00:00"/>
    <n v="27"/>
    <n v="2"/>
    <n v="4"/>
    <n v="7"/>
    <n v="0"/>
    <x v="0"/>
  </r>
  <r>
    <s v="L1626"/>
    <x v="0"/>
    <x v="0"/>
    <x v="0"/>
    <d v="2025-10-03T00:00:00"/>
    <x v="30"/>
    <x v="13"/>
    <d v="2025-10-12T00:00:00"/>
    <x v="0"/>
    <x v="0"/>
    <d v="2025-11-11T00:00:00"/>
    <n v="30"/>
    <n v="5"/>
    <n v="2"/>
    <n v="2"/>
    <n v="1"/>
    <x v="0"/>
  </r>
  <r>
    <s v="L1627"/>
    <x v="0"/>
    <x v="1"/>
    <x v="1"/>
    <d v="2025-10-15T00:00:00"/>
    <x v="2"/>
    <x v="2"/>
    <m/>
    <x v="1"/>
    <x v="5"/>
    <m/>
    <s v=""/>
    <m/>
    <m/>
    <m/>
    <m/>
    <x v="2"/>
  </r>
  <r>
    <s v="L1628"/>
    <x v="1"/>
    <x v="0"/>
    <x v="1"/>
    <d v="2025-10-31T00:00:00"/>
    <x v="35"/>
    <x v="4"/>
    <d v="2025-11-07T00:00:00"/>
    <x v="1"/>
    <x v="2"/>
    <m/>
    <s v=""/>
    <n v="3"/>
    <n v="1"/>
    <n v="3"/>
    <m/>
    <x v="2"/>
  </r>
  <r>
    <s v="L1629"/>
    <x v="3"/>
    <x v="0"/>
    <x v="0"/>
    <d v="2025-10-12T00:00:00"/>
    <x v="14"/>
    <x v="20"/>
    <d v="2025-10-23T00:00:00"/>
    <x v="0"/>
    <x v="0"/>
    <d v="2025-11-17T00:00:00"/>
    <n v="25"/>
    <n v="3"/>
    <n v="1"/>
    <n v="7"/>
    <n v="3"/>
    <x v="0"/>
  </r>
  <r>
    <s v="L1630"/>
    <x v="0"/>
    <x v="2"/>
    <x v="0"/>
    <d v="2025-10-19T00:00:00"/>
    <x v="5"/>
    <x v="27"/>
    <d v="2025-10-31T00:00:00"/>
    <x v="0"/>
    <x v="0"/>
    <d v="2025-11-21T00:00:00"/>
    <n v="21"/>
    <n v="1"/>
    <n v="5"/>
    <n v="6"/>
    <n v="1"/>
    <x v="0"/>
  </r>
  <r>
    <s v="L1631"/>
    <x v="0"/>
    <x v="1"/>
    <x v="1"/>
    <d v="2025-10-10T00:00:00"/>
    <x v="2"/>
    <x v="2"/>
    <m/>
    <x v="1"/>
    <x v="4"/>
    <m/>
    <s v=""/>
    <m/>
    <m/>
    <m/>
    <m/>
    <x v="2"/>
  </r>
  <r>
    <s v="L1632"/>
    <x v="1"/>
    <x v="2"/>
    <x v="0"/>
    <d v="2025-10-21T00:00:00"/>
    <x v="31"/>
    <x v="28"/>
    <d v="2025-10-26T00:00:00"/>
    <x v="0"/>
    <x v="0"/>
    <d v="2025-11-21T00:00:00"/>
    <n v="26"/>
    <n v="1"/>
    <n v="2"/>
    <n v="2"/>
    <n v="9"/>
    <x v="3"/>
  </r>
  <r>
    <s v="L1633"/>
    <x v="0"/>
    <x v="0"/>
    <x v="0"/>
    <d v="2025-10-31T00:00:00"/>
    <x v="35"/>
    <x v="7"/>
    <d v="2025-11-07T00:00:00"/>
    <x v="0"/>
    <x v="0"/>
    <d v="2025-11-26T00:00:00"/>
    <n v="19"/>
    <n v="3"/>
    <n v="2"/>
    <n v="2"/>
    <n v="3"/>
    <x v="0"/>
  </r>
  <r>
    <s v="L1634"/>
    <x v="2"/>
    <x v="0"/>
    <x v="0"/>
    <d v="2025-10-14T00:00:00"/>
    <x v="7"/>
    <x v="1"/>
    <d v="2025-10-21T00:00:00"/>
    <x v="0"/>
    <x v="0"/>
    <d v="2025-11-05T00:00:00"/>
    <n v="15"/>
    <n v="3"/>
    <n v="2"/>
    <n v="2"/>
    <n v="5"/>
    <x v="0"/>
  </r>
  <r>
    <s v="L1635"/>
    <x v="2"/>
    <x v="2"/>
    <x v="1"/>
    <d v="2025-10-23T00:00:00"/>
    <x v="25"/>
    <x v="31"/>
    <d v="2025-11-03T00:00:00"/>
    <x v="1"/>
    <x v="5"/>
    <m/>
    <s v=""/>
    <n v="3"/>
    <n v="5"/>
    <n v="3"/>
    <m/>
    <x v="2"/>
  </r>
  <r>
    <s v="L1636"/>
    <x v="3"/>
    <x v="0"/>
    <x v="0"/>
    <d v="2025-10-09T00:00:00"/>
    <x v="19"/>
    <x v="11"/>
    <d v="2025-10-20T00:00:00"/>
    <x v="0"/>
    <x v="0"/>
    <d v="2025-11-16T00:00:00"/>
    <n v="27"/>
    <n v="4"/>
    <n v="5"/>
    <n v="2"/>
    <n v="3"/>
    <x v="0"/>
  </r>
  <r>
    <s v="L1637"/>
    <x v="0"/>
    <x v="2"/>
    <x v="0"/>
    <d v="2025-10-15T00:00:00"/>
    <x v="5"/>
    <x v="16"/>
    <d v="2025-10-28T00:00:00"/>
    <x v="0"/>
    <x v="0"/>
    <d v="2025-11-12T00:00:00"/>
    <n v="15"/>
    <n v="5"/>
    <n v="3"/>
    <n v="5"/>
    <n v="2"/>
    <x v="0"/>
  </r>
  <r>
    <s v="L1638"/>
    <x v="1"/>
    <x v="2"/>
    <x v="0"/>
    <d v="2025-10-28T00:00:00"/>
    <x v="10"/>
    <x v="4"/>
    <d v="2025-11-08T00:00:00"/>
    <x v="0"/>
    <x v="0"/>
    <d v="2025-11-27T00:00:00"/>
    <n v="19"/>
    <n v="4"/>
    <n v="3"/>
    <n v="4"/>
    <n v="1"/>
    <x v="0"/>
  </r>
  <r>
    <s v="L1639"/>
    <x v="2"/>
    <x v="0"/>
    <x v="0"/>
    <d v="2025-10-10T00:00:00"/>
    <x v="20"/>
    <x v="17"/>
    <d v="2025-10-20T00:00:00"/>
    <x v="0"/>
    <x v="0"/>
    <d v="2025-11-02T00:00:00"/>
    <n v="13"/>
    <n v="2"/>
    <n v="3"/>
    <n v="5"/>
    <n v="8"/>
    <x v="1"/>
  </r>
  <r>
    <s v="L1640"/>
    <x v="1"/>
    <x v="1"/>
    <x v="1"/>
    <d v="2025-10-07T00:00:00"/>
    <x v="2"/>
    <x v="2"/>
    <m/>
    <x v="1"/>
    <x v="2"/>
    <m/>
    <s v=""/>
    <m/>
    <m/>
    <m/>
    <m/>
    <x v="2"/>
  </r>
  <r>
    <s v="L1641"/>
    <x v="1"/>
    <x v="0"/>
    <x v="0"/>
    <d v="2025-10-13T00:00:00"/>
    <x v="7"/>
    <x v="3"/>
    <d v="2025-10-24T00:00:00"/>
    <x v="0"/>
    <x v="0"/>
    <d v="2025-11-18T00:00:00"/>
    <n v="25"/>
    <n v="4"/>
    <n v="4"/>
    <n v="3"/>
    <n v="9"/>
    <x v="3"/>
  </r>
  <r>
    <s v="L1642"/>
    <x v="2"/>
    <x v="0"/>
    <x v="0"/>
    <d v="2025-10-28T00:00:00"/>
    <x v="4"/>
    <x v="12"/>
    <d v="2025-11-04T00:00:00"/>
    <x v="0"/>
    <x v="0"/>
    <d v="2025-11-18T00:00:00"/>
    <n v="14"/>
    <n v="3"/>
    <n v="1"/>
    <n v="3"/>
    <n v="4"/>
    <x v="0"/>
  </r>
  <r>
    <s v="L1643"/>
    <x v="1"/>
    <x v="2"/>
    <x v="0"/>
    <d v="2025-10-16T00:00:00"/>
    <x v="5"/>
    <x v="16"/>
    <d v="2025-10-25T00:00:00"/>
    <x v="0"/>
    <x v="0"/>
    <d v="2025-11-12T00:00:00"/>
    <n v="18"/>
    <n v="4"/>
    <n v="3"/>
    <n v="2"/>
    <n v="4"/>
    <x v="0"/>
  </r>
  <r>
    <s v="L1644"/>
    <x v="2"/>
    <x v="2"/>
    <x v="0"/>
    <d v="2025-10-04T00:00:00"/>
    <x v="6"/>
    <x v="37"/>
    <d v="2025-10-15T00:00:00"/>
    <x v="0"/>
    <x v="0"/>
    <d v="2025-11-11T00:00:00"/>
    <n v="27"/>
    <n v="1"/>
    <n v="4"/>
    <n v="6"/>
    <n v="1"/>
    <x v="0"/>
  </r>
  <r>
    <s v="L1645"/>
    <x v="1"/>
    <x v="2"/>
    <x v="0"/>
    <d v="2025-10-08T00:00:00"/>
    <x v="17"/>
    <x v="17"/>
    <d v="2025-10-22T00:00:00"/>
    <x v="0"/>
    <x v="0"/>
    <d v="2025-11-06T00:00:00"/>
    <n v="15"/>
    <n v="3"/>
    <n v="4"/>
    <n v="7"/>
    <n v="0"/>
    <x v="0"/>
  </r>
  <r>
    <s v="L1646"/>
    <x v="2"/>
    <x v="2"/>
    <x v="0"/>
    <d v="2025-10-13T00:00:00"/>
    <x v="3"/>
    <x v="16"/>
    <d v="2025-10-30T00:00:00"/>
    <x v="0"/>
    <x v="0"/>
    <d v="2025-11-19T00:00:00"/>
    <n v="20"/>
    <n v="5"/>
    <n v="5"/>
    <n v="7"/>
    <n v="6"/>
    <x v="0"/>
  </r>
  <r>
    <s v="L1647"/>
    <x v="0"/>
    <x v="0"/>
    <x v="0"/>
    <d v="2025-10-19T00:00:00"/>
    <x v="18"/>
    <x v="27"/>
    <d v="2025-11-01T00:00:00"/>
    <x v="0"/>
    <x v="0"/>
    <d v="2025-12-01T00:00:00"/>
    <n v="30"/>
    <n v="4"/>
    <n v="2"/>
    <n v="7"/>
    <n v="5"/>
    <x v="0"/>
  </r>
  <r>
    <s v="L1648"/>
    <x v="3"/>
    <x v="0"/>
    <x v="0"/>
    <d v="2025-10-12T00:00:00"/>
    <x v="14"/>
    <x v="25"/>
    <d v="2025-10-22T00:00:00"/>
    <x v="0"/>
    <x v="0"/>
    <d v="2025-11-03T00:00:00"/>
    <n v="12"/>
    <n v="3"/>
    <n v="2"/>
    <n v="5"/>
    <n v="0"/>
    <x v="0"/>
  </r>
  <r>
    <s v="L1649"/>
    <x v="2"/>
    <x v="0"/>
    <x v="1"/>
    <d v="2025-10-19T00:00:00"/>
    <x v="5"/>
    <x v="16"/>
    <d v="2025-10-26T00:00:00"/>
    <x v="1"/>
    <x v="1"/>
    <m/>
    <s v=""/>
    <n v="1"/>
    <n v="3"/>
    <n v="3"/>
    <m/>
    <x v="2"/>
  </r>
  <r>
    <s v="L1650"/>
    <x v="2"/>
    <x v="2"/>
    <x v="1"/>
    <d v="2025-10-10T00:00:00"/>
    <x v="17"/>
    <x v="14"/>
    <d v="2025-10-16T00:00:00"/>
    <x v="1"/>
    <x v="5"/>
    <m/>
    <s v=""/>
    <n v="1"/>
    <n v="1"/>
    <n v="4"/>
    <m/>
    <x v="2"/>
  </r>
  <r>
    <s v="L1651"/>
    <x v="3"/>
    <x v="0"/>
    <x v="1"/>
    <d v="2025-10-23T00:00:00"/>
    <x v="12"/>
    <x v="8"/>
    <d v="2025-10-31T00:00:00"/>
    <x v="1"/>
    <x v="5"/>
    <m/>
    <s v=""/>
    <n v="4"/>
    <n v="1"/>
    <n v="3"/>
    <m/>
    <x v="2"/>
  </r>
  <r>
    <s v="L1652"/>
    <x v="2"/>
    <x v="1"/>
    <x v="1"/>
    <d v="2025-10-10T00:00:00"/>
    <x v="2"/>
    <x v="2"/>
    <m/>
    <x v="1"/>
    <x v="2"/>
    <m/>
    <s v=""/>
    <m/>
    <m/>
    <m/>
    <m/>
    <x v="2"/>
  </r>
  <r>
    <s v="L1653"/>
    <x v="2"/>
    <x v="2"/>
    <x v="0"/>
    <d v="2025-10-01T00:00:00"/>
    <x v="26"/>
    <x v="32"/>
    <d v="2025-10-10T00:00:00"/>
    <x v="0"/>
    <x v="0"/>
    <d v="2025-10-27T00:00:00"/>
    <n v="17"/>
    <n v="3"/>
    <n v="1"/>
    <n v="5"/>
    <n v="3"/>
    <x v="0"/>
  </r>
  <r>
    <s v="L1654"/>
    <x v="1"/>
    <x v="1"/>
    <x v="1"/>
    <d v="2025-10-27T00:00:00"/>
    <x v="2"/>
    <x v="2"/>
    <m/>
    <x v="1"/>
    <x v="4"/>
    <m/>
    <s v=""/>
    <m/>
    <m/>
    <m/>
    <m/>
    <x v="2"/>
  </r>
  <r>
    <s v="L1655"/>
    <x v="3"/>
    <x v="1"/>
    <x v="1"/>
    <d v="2025-10-22T00:00:00"/>
    <x v="2"/>
    <x v="2"/>
    <m/>
    <x v="1"/>
    <x v="5"/>
    <m/>
    <s v=""/>
    <m/>
    <m/>
    <m/>
    <m/>
    <x v="2"/>
  </r>
  <r>
    <s v="L1656"/>
    <x v="0"/>
    <x v="2"/>
    <x v="0"/>
    <d v="2025-10-13T00:00:00"/>
    <x v="3"/>
    <x v="24"/>
    <d v="2025-10-29T00:00:00"/>
    <x v="0"/>
    <x v="0"/>
    <d v="2025-11-19T00:00:00"/>
    <n v="21"/>
    <n v="5"/>
    <n v="4"/>
    <n v="7"/>
    <n v="2"/>
    <x v="0"/>
  </r>
  <r>
    <s v="L1657"/>
    <x v="2"/>
    <x v="0"/>
    <x v="1"/>
    <d v="2025-10-09T00:00:00"/>
    <x v="17"/>
    <x v="17"/>
    <d v="2025-10-19T00:00:00"/>
    <x v="1"/>
    <x v="1"/>
    <m/>
    <s v=""/>
    <n v="2"/>
    <n v="4"/>
    <n v="4"/>
    <m/>
    <x v="2"/>
  </r>
  <r>
    <s v="L1658"/>
    <x v="3"/>
    <x v="0"/>
    <x v="1"/>
    <d v="2025-10-01T00:00:00"/>
    <x v="29"/>
    <x v="29"/>
    <d v="2025-10-10T00:00:00"/>
    <x v="1"/>
    <x v="5"/>
    <m/>
    <s v=""/>
    <n v="1"/>
    <n v="4"/>
    <n v="4"/>
    <m/>
    <x v="2"/>
  </r>
  <r>
    <s v="L1659"/>
    <x v="1"/>
    <x v="0"/>
    <x v="0"/>
    <d v="2025-10-19T00:00:00"/>
    <x v="16"/>
    <x v="26"/>
    <d v="2025-10-28T00:00:00"/>
    <x v="0"/>
    <x v="0"/>
    <d v="2025-11-14T00:00:00"/>
    <n v="17"/>
    <n v="2"/>
    <n v="5"/>
    <n v="2"/>
    <n v="2"/>
    <x v="0"/>
  </r>
  <r>
    <s v="L1660"/>
    <x v="0"/>
    <x v="0"/>
    <x v="0"/>
    <d v="2025-10-28T00:00:00"/>
    <x v="34"/>
    <x v="9"/>
    <d v="2025-11-12T00:00:00"/>
    <x v="0"/>
    <x v="0"/>
    <d v="2025-12-01T00:00:00"/>
    <n v="19"/>
    <n v="5"/>
    <n v="4"/>
    <n v="6"/>
    <n v="1"/>
    <x v="0"/>
  </r>
  <r>
    <s v="L1661"/>
    <x v="3"/>
    <x v="0"/>
    <x v="0"/>
    <d v="2025-10-22T00:00:00"/>
    <x v="25"/>
    <x v="18"/>
    <d v="2025-10-31T00:00:00"/>
    <x v="0"/>
    <x v="0"/>
    <d v="2025-11-23T00:00:00"/>
    <n v="23"/>
    <n v="4"/>
    <n v="1"/>
    <n v="4"/>
    <n v="9"/>
    <x v="3"/>
  </r>
  <r>
    <s v="L1662"/>
    <x v="0"/>
    <x v="0"/>
    <x v="0"/>
    <d v="2025-10-25T00:00:00"/>
    <x v="25"/>
    <x v="18"/>
    <d v="2025-10-29T00:00:00"/>
    <x v="0"/>
    <x v="0"/>
    <d v="2025-11-18T00:00:00"/>
    <n v="20"/>
    <n v="1"/>
    <n v="1"/>
    <n v="2"/>
    <n v="5"/>
    <x v="0"/>
  </r>
  <r>
    <s v="L1663"/>
    <x v="0"/>
    <x v="0"/>
    <x v="0"/>
    <d v="2025-10-24T00:00:00"/>
    <x v="25"/>
    <x v="8"/>
    <d v="2025-11-03T00:00:00"/>
    <x v="0"/>
    <x v="0"/>
    <d v="2025-11-24T00:00:00"/>
    <n v="21"/>
    <n v="2"/>
    <n v="2"/>
    <n v="6"/>
    <n v="4"/>
    <x v="0"/>
  </r>
  <r>
    <s v="L1664"/>
    <x v="0"/>
    <x v="0"/>
    <x v="0"/>
    <d v="2025-10-02T00:00:00"/>
    <x v="33"/>
    <x v="34"/>
    <d v="2025-10-11T00:00:00"/>
    <x v="0"/>
    <x v="0"/>
    <d v="2025-10-29T00:00:00"/>
    <n v="18"/>
    <n v="1"/>
    <n v="1"/>
    <n v="7"/>
    <n v="9"/>
    <x v="3"/>
  </r>
  <r>
    <s v="L1665"/>
    <x v="2"/>
    <x v="0"/>
    <x v="0"/>
    <d v="2025-10-30T00:00:00"/>
    <x v="10"/>
    <x v="7"/>
    <d v="2025-11-07T00:00:00"/>
    <x v="0"/>
    <x v="0"/>
    <d v="2025-12-05T00:00:00"/>
    <n v="28"/>
    <n v="2"/>
    <n v="4"/>
    <n v="2"/>
    <n v="2"/>
    <x v="0"/>
  </r>
  <r>
    <s v="L1666"/>
    <x v="2"/>
    <x v="0"/>
    <x v="0"/>
    <d v="2025-10-20T00:00:00"/>
    <x v="18"/>
    <x v="18"/>
    <d v="2025-10-30T00:00:00"/>
    <x v="0"/>
    <x v="0"/>
    <d v="2025-11-18T00:00:00"/>
    <n v="19"/>
    <n v="3"/>
    <n v="4"/>
    <n v="3"/>
    <n v="7"/>
    <x v="1"/>
  </r>
  <r>
    <s v="L1667"/>
    <x v="1"/>
    <x v="0"/>
    <x v="0"/>
    <d v="2025-10-24T00:00:00"/>
    <x v="12"/>
    <x v="15"/>
    <d v="2025-11-02T00:00:00"/>
    <x v="0"/>
    <x v="0"/>
    <d v="2025-11-26T00:00:00"/>
    <n v="24"/>
    <n v="3"/>
    <n v="3"/>
    <n v="3"/>
    <n v="0"/>
    <x v="0"/>
  </r>
  <r>
    <s v="L1668"/>
    <x v="1"/>
    <x v="2"/>
    <x v="0"/>
    <d v="2025-10-16T00:00:00"/>
    <x v="5"/>
    <x v="27"/>
    <d v="2025-10-31T00:00:00"/>
    <x v="0"/>
    <x v="0"/>
    <d v="2025-11-13T00:00:00"/>
    <n v="13"/>
    <n v="4"/>
    <n v="5"/>
    <n v="6"/>
    <n v="2"/>
    <x v="0"/>
  </r>
  <r>
    <s v="L1669"/>
    <x v="3"/>
    <x v="2"/>
    <x v="1"/>
    <d v="2025-10-27T00:00:00"/>
    <x v="10"/>
    <x v="10"/>
    <d v="2025-11-04T00:00:00"/>
    <x v="1"/>
    <x v="1"/>
    <m/>
    <s v=""/>
    <n v="5"/>
    <n v="1"/>
    <n v="2"/>
    <m/>
    <x v="2"/>
  </r>
  <r>
    <s v="L1670"/>
    <x v="1"/>
    <x v="1"/>
    <x v="1"/>
    <d v="2025-10-29T00:00:00"/>
    <x v="2"/>
    <x v="2"/>
    <m/>
    <x v="1"/>
    <x v="3"/>
    <m/>
    <s v=""/>
    <m/>
    <m/>
    <m/>
    <m/>
    <x v="2"/>
  </r>
  <r>
    <s v="L1671"/>
    <x v="0"/>
    <x v="0"/>
    <x v="0"/>
    <d v="2025-10-29T00:00:00"/>
    <x v="11"/>
    <x v="4"/>
    <d v="2025-11-09T00:00:00"/>
    <x v="0"/>
    <x v="0"/>
    <d v="2025-12-04T00:00:00"/>
    <n v="25"/>
    <n v="1"/>
    <n v="5"/>
    <n v="5"/>
    <n v="0"/>
    <x v="0"/>
  </r>
  <r>
    <s v="L1672"/>
    <x v="0"/>
    <x v="2"/>
    <x v="0"/>
    <d v="2025-10-10T00:00:00"/>
    <x v="14"/>
    <x v="20"/>
    <d v="2025-10-18T00:00:00"/>
    <x v="0"/>
    <x v="0"/>
    <d v="2025-10-29T00:00:00"/>
    <n v="11"/>
    <n v="5"/>
    <n v="1"/>
    <n v="2"/>
    <n v="6"/>
    <x v="0"/>
  </r>
  <r>
    <s v="L1673"/>
    <x v="2"/>
    <x v="2"/>
    <x v="0"/>
    <d v="2025-10-25T00:00:00"/>
    <x v="12"/>
    <x v="0"/>
    <d v="2025-11-03T00:00:00"/>
    <x v="0"/>
    <x v="0"/>
    <d v="2025-12-03T00:00:00"/>
    <n v="30"/>
    <n v="2"/>
    <n v="2"/>
    <n v="5"/>
    <n v="10"/>
    <x v="3"/>
  </r>
  <r>
    <s v="L1674"/>
    <x v="0"/>
    <x v="2"/>
    <x v="0"/>
    <d v="2025-10-26T00:00:00"/>
    <x v="11"/>
    <x v="12"/>
    <d v="2025-11-05T00:00:00"/>
    <x v="0"/>
    <x v="0"/>
    <d v="2025-12-03T00:00:00"/>
    <n v="28"/>
    <n v="4"/>
    <n v="2"/>
    <n v="4"/>
    <n v="8"/>
    <x v="1"/>
  </r>
  <r>
    <s v="L1675"/>
    <x v="3"/>
    <x v="1"/>
    <x v="1"/>
    <d v="2025-10-08T00:00:00"/>
    <x v="2"/>
    <x v="2"/>
    <m/>
    <x v="1"/>
    <x v="3"/>
    <m/>
    <s v=""/>
    <m/>
    <m/>
    <m/>
    <m/>
    <x v="2"/>
  </r>
  <r>
    <s v="L1676"/>
    <x v="0"/>
    <x v="0"/>
    <x v="0"/>
    <d v="2025-10-20T00:00:00"/>
    <x v="18"/>
    <x v="8"/>
    <d v="2025-11-01T00:00:00"/>
    <x v="0"/>
    <x v="0"/>
    <d v="2025-11-29T00:00:00"/>
    <n v="28"/>
    <n v="3"/>
    <n v="5"/>
    <n v="4"/>
    <n v="10"/>
    <x v="3"/>
  </r>
  <r>
    <s v="L1677"/>
    <x v="0"/>
    <x v="1"/>
    <x v="1"/>
    <d v="2025-10-26T00:00:00"/>
    <x v="2"/>
    <x v="2"/>
    <m/>
    <x v="1"/>
    <x v="1"/>
    <m/>
    <s v=""/>
    <m/>
    <m/>
    <m/>
    <m/>
    <x v="2"/>
  </r>
  <r>
    <s v="L1678"/>
    <x v="3"/>
    <x v="0"/>
    <x v="1"/>
    <d v="2025-10-12T00:00:00"/>
    <x v="14"/>
    <x v="1"/>
    <d v="2025-10-23T00:00:00"/>
    <x v="1"/>
    <x v="4"/>
    <m/>
    <s v=""/>
    <n v="3"/>
    <n v="4"/>
    <n v="4"/>
    <m/>
    <x v="2"/>
  </r>
  <r>
    <s v="L1679"/>
    <x v="1"/>
    <x v="0"/>
    <x v="0"/>
    <d v="2025-10-08T00:00:00"/>
    <x v="20"/>
    <x v="17"/>
    <d v="2025-10-17T00:00:00"/>
    <x v="0"/>
    <x v="0"/>
    <d v="2025-11-15T00:00:00"/>
    <n v="29"/>
    <n v="4"/>
    <n v="3"/>
    <n v="2"/>
    <n v="10"/>
    <x v="3"/>
  </r>
  <r>
    <s v="L1680"/>
    <x v="1"/>
    <x v="0"/>
    <x v="0"/>
    <d v="2025-10-21T00:00:00"/>
    <x v="31"/>
    <x v="16"/>
    <d v="2025-10-29T00:00:00"/>
    <x v="0"/>
    <x v="0"/>
    <d v="2025-11-10T00:00:00"/>
    <n v="12"/>
    <n v="1"/>
    <n v="1"/>
    <n v="6"/>
    <n v="2"/>
    <x v="0"/>
  </r>
  <r>
    <s v="L1681"/>
    <x v="3"/>
    <x v="0"/>
    <x v="0"/>
    <d v="2025-10-07T00:00:00"/>
    <x v="20"/>
    <x v="21"/>
    <d v="2025-10-18T00:00:00"/>
    <x v="0"/>
    <x v="0"/>
    <d v="2025-11-12T00:00:00"/>
    <n v="25"/>
    <n v="5"/>
    <n v="1"/>
    <n v="5"/>
    <n v="9"/>
    <x v="3"/>
  </r>
  <r>
    <s v="L1682"/>
    <x v="2"/>
    <x v="2"/>
    <x v="0"/>
    <d v="2025-10-20T00:00:00"/>
    <x v="31"/>
    <x v="27"/>
    <d v="2025-10-27T00:00:00"/>
    <x v="0"/>
    <x v="0"/>
    <d v="2025-11-12T00:00:00"/>
    <n v="16"/>
    <n v="2"/>
    <n v="3"/>
    <n v="2"/>
    <n v="8"/>
    <x v="1"/>
  </r>
  <r>
    <s v="L1683"/>
    <x v="0"/>
    <x v="1"/>
    <x v="1"/>
    <d v="2025-10-09T00:00:00"/>
    <x v="2"/>
    <x v="2"/>
    <m/>
    <x v="1"/>
    <x v="5"/>
    <m/>
    <s v=""/>
    <m/>
    <m/>
    <m/>
    <m/>
    <x v="2"/>
  </r>
  <r>
    <s v="L1684"/>
    <x v="3"/>
    <x v="1"/>
    <x v="1"/>
    <d v="2025-10-22T00:00:00"/>
    <x v="2"/>
    <x v="2"/>
    <m/>
    <x v="1"/>
    <x v="5"/>
    <m/>
    <s v=""/>
    <m/>
    <m/>
    <m/>
    <m/>
    <x v="2"/>
  </r>
  <r>
    <s v="L1685"/>
    <x v="0"/>
    <x v="0"/>
    <x v="0"/>
    <d v="2025-10-25T00:00:00"/>
    <x v="11"/>
    <x v="4"/>
    <d v="2025-11-08T00:00:00"/>
    <x v="0"/>
    <x v="0"/>
    <d v="2025-12-04T00:00:00"/>
    <n v="26"/>
    <n v="5"/>
    <n v="5"/>
    <n v="4"/>
    <n v="5"/>
    <x v="0"/>
  </r>
  <r>
    <s v="L1686"/>
    <x v="2"/>
    <x v="1"/>
    <x v="1"/>
    <d v="2025-10-24T00:00:00"/>
    <x v="2"/>
    <x v="2"/>
    <m/>
    <x v="1"/>
    <x v="3"/>
    <m/>
    <s v=""/>
    <m/>
    <m/>
    <m/>
    <m/>
    <x v="2"/>
  </r>
  <r>
    <s v="L1687"/>
    <x v="0"/>
    <x v="1"/>
    <x v="1"/>
    <d v="2025-10-25T00:00:00"/>
    <x v="2"/>
    <x v="2"/>
    <m/>
    <x v="1"/>
    <x v="1"/>
    <m/>
    <s v=""/>
    <m/>
    <m/>
    <m/>
    <m/>
    <x v="2"/>
  </r>
  <r>
    <s v="L1688"/>
    <x v="3"/>
    <x v="0"/>
    <x v="0"/>
    <d v="2025-10-22T00:00:00"/>
    <x v="0"/>
    <x v="15"/>
    <d v="2025-11-02T00:00:00"/>
    <x v="0"/>
    <x v="0"/>
    <d v="2025-11-15T00:00:00"/>
    <n v="13"/>
    <n v="3"/>
    <n v="5"/>
    <n v="3"/>
    <n v="5"/>
    <x v="0"/>
  </r>
  <r>
    <s v="L1689"/>
    <x v="0"/>
    <x v="2"/>
    <x v="0"/>
    <d v="2025-10-22T00:00:00"/>
    <x v="25"/>
    <x v="18"/>
    <d v="2025-10-31T00:00:00"/>
    <x v="0"/>
    <x v="0"/>
    <d v="2025-11-22T00:00:00"/>
    <n v="22"/>
    <n v="4"/>
    <n v="1"/>
    <n v="4"/>
    <n v="2"/>
    <x v="0"/>
  </r>
  <r>
    <s v="L1690"/>
    <x v="1"/>
    <x v="0"/>
    <x v="0"/>
    <d v="2025-10-27T00:00:00"/>
    <x v="11"/>
    <x v="12"/>
    <d v="2025-11-07T00:00:00"/>
    <x v="0"/>
    <x v="0"/>
    <d v="2025-12-03T00:00:00"/>
    <n v="26"/>
    <n v="3"/>
    <n v="2"/>
    <n v="6"/>
    <n v="7"/>
    <x v="1"/>
  </r>
  <r>
    <s v="L1691"/>
    <x v="2"/>
    <x v="0"/>
    <x v="0"/>
    <d v="2025-10-05T00:00:00"/>
    <x v="30"/>
    <x v="30"/>
    <d v="2025-10-15T00:00:00"/>
    <x v="0"/>
    <x v="0"/>
    <d v="2025-11-03T00:00:00"/>
    <n v="19"/>
    <n v="3"/>
    <n v="3"/>
    <n v="4"/>
    <n v="3"/>
    <x v="0"/>
  </r>
  <r>
    <s v="L1692"/>
    <x v="2"/>
    <x v="2"/>
    <x v="0"/>
    <d v="2025-10-21T00:00:00"/>
    <x v="18"/>
    <x v="28"/>
    <d v="2025-10-31T00:00:00"/>
    <x v="0"/>
    <x v="0"/>
    <d v="2025-11-23T00:00:00"/>
    <n v="23"/>
    <n v="2"/>
    <n v="1"/>
    <n v="7"/>
    <n v="8"/>
    <x v="1"/>
  </r>
  <r>
    <s v="L1693"/>
    <x v="2"/>
    <x v="2"/>
    <x v="0"/>
    <d v="2025-10-04T00:00:00"/>
    <x v="6"/>
    <x v="36"/>
    <d v="2025-10-13T00:00:00"/>
    <x v="0"/>
    <x v="0"/>
    <d v="2025-10-24T00:00:00"/>
    <n v="11"/>
    <n v="1"/>
    <n v="2"/>
    <n v="6"/>
    <n v="7"/>
    <x v="1"/>
  </r>
  <r>
    <s v="L1694"/>
    <x v="3"/>
    <x v="0"/>
    <x v="0"/>
    <d v="2025-10-29T00:00:00"/>
    <x v="11"/>
    <x v="4"/>
    <d v="2025-11-07T00:00:00"/>
    <x v="0"/>
    <x v="0"/>
    <d v="2025-11-21T00:00:00"/>
    <n v="14"/>
    <n v="1"/>
    <n v="5"/>
    <n v="3"/>
    <n v="2"/>
    <x v="0"/>
  </r>
  <r>
    <s v="L1695"/>
    <x v="2"/>
    <x v="2"/>
    <x v="0"/>
    <d v="2025-10-21T00:00:00"/>
    <x v="18"/>
    <x v="27"/>
    <d v="2025-10-30T00:00:00"/>
    <x v="0"/>
    <x v="0"/>
    <d v="2025-11-13T00:00:00"/>
    <n v="14"/>
    <n v="2"/>
    <n v="2"/>
    <n v="5"/>
    <n v="2"/>
    <x v="0"/>
  </r>
  <r>
    <s v="L1696"/>
    <x v="1"/>
    <x v="0"/>
    <x v="0"/>
    <d v="2025-10-21T00:00:00"/>
    <x v="0"/>
    <x v="0"/>
    <d v="2025-11-02T00:00:00"/>
    <x v="0"/>
    <x v="0"/>
    <d v="2025-11-18T00:00:00"/>
    <n v="16"/>
    <n v="4"/>
    <n v="4"/>
    <n v="4"/>
    <n v="9"/>
    <x v="3"/>
  </r>
  <r>
    <s v="L1697"/>
    <x v="3"/>
    <x v="1"/>
    <x v="1"/>
    <d v="2025-10-02T00:00:00"/>
    <x v="2"/>
    <x v="2"/>
    <m/>
    <x v="1"/>
    <x v="5"/>
    <m/>
    <s v=""/>
    <m/>
    <m/>
    <m/>
    <m/>
    <x v="2"/>
  </r>
  <r>
    <s v="L1698"/>
    <x v="1"/>
    <x v="1"/>
    <x v="1"/>
    <d v="2025-10-10T00:00:00"/>
    <x v="2"/>
    <x v="2"/>
    <m/>
    <x v="1"/>
    <x v="5"/>
    <m/>
    <s v=""/>
    <m/>
    <m/>
    <m/>
    <m/>
    <x v="2"/>
  </r>
  <r>
    <s v="L1699"/>
    <x v="0"/>
    <x v="2"/>
    <x v="0"/>
    <d v="2025-10-26T00:00:00"/>
    <x v="4"/>
    <x v="12"/>
    <d v="2025-11-07T00:00:00"/>
    <x v="0"/>
    <x v="0"/>
    <d v="2025-11-27T00:00:00"/>
    <n v="20"/>
    <n v="5"/>
    <n v="1"/>
    <n v="6"/>
    <n v="7"/>
    <x v="1"/>
  </r>
  <r>
    <s v="L1700"/>
    <x v="0"/>
    <x v="1"/>
    <x v="1"/>
    <d v="2025-10-15T00:00:00"/>
    <x v="2"/>
    <x v="2"/>
    <m/>
    <x v="1"/>
    <x v="4"/>
    <m/>
    <s v=""/>
    <m/>
    <m/>
    <m/>
    <m/>
    <x v="2"/>
  </r>
  <r>
    <s v="L1701"/>
    <x v="0"/>
    <x v="2"/>
    <x v="0"/>
    <d v="2025-10-02T00:00:00"/>
    <x v="13"/>
    <x v="37"/>
    <d v="2025-10-14T00:00:00"/>
    <x v="0"/>
    <x v="0"/>
    <d v="2025-11-06T00:00:00"/>
    <n v="23"/>
    <n v="4"/>
    <n v="3"/>
    <n v="5"/>
    <n v="9"/>
    <x v="3"/>
  </r>
  <r>
    <s v="L1702"/>
    <x v="0"/>
    <x v="2"/>
    <x v="1"/>
    <d v="2025-10-19T00:00:00"/>
    <x v="9"/>
    <x v="26"/>
    <d v="2025-10-29T00:00:00"/>
    <x v="1"/>
    <x v="2"/>
    <m/>
    <s v=""/>
    <n v="5"/>
    <n v="2"/>
    <n v="3"/>
    <m/>
    <x v="2"/>
  </r>
  <r>
    <s v="L1703"/>
    <x v="1"/>
    <x v="0"/>
    <x v="0"/>
    <d v="2025-10-12T00:00:00"/>
    <x v="19"/>
    <x v="11"/>
    <d v="2025-10-25T00:00:00"/>
    <x v="0"/>
    <x v="0"/>
    <d v="2025-11-22T00:00:00"/>
    <n v="28"/>
    <n v="1"/>
    <n v="5"/>
    <n v="7"/>
    <n v="2"/>
    <x v="0"/>
  </r>
  <r>
    <s v="L1704"/>
    <x v="3"/>
    <x v="0"/>
    <x v="0"/>
    <d v="2025-10-24T00:00:00"/>
    <x v="12"/>
    <x v="0"/>
    <d v="2025-11-04T00:00:00"/>
    <x v="0"/>
    <x v="0"/>
    <d v="2025-11-28T00:00:00"/>
    <n v="24"/>
    <n v="3"/>
    <n v="2"/>
    <n v="6"/>
    <n v="9"/>
    <x v="3"/>
  </r>
  <r>
    <s v="L1705"/>
    <x v="3"/>
    <x v="0"/>
    <x v="0"/>
    <d v="2025-10-05T00:00:00"/>
    <x v="30"/>
    <x v="21"/>
    <d v="2025-10-16T00:00:00"/>
    <x v="0"/>
    <x v="0"/>
    <d v="2025-10-30T00:00:00"/>
    <n v="14"/>
    <n v="3"/>
    <n v="5"/>
    <n v="3"/>
    <n v="2"/>
    <x v="0"/>
  </r>
  <r>
    <s v="L1706"/>
    <x v="2"/>
    <x v="0"/>
    <x v="0"/>
    <d v="2025-10-03T00:00:00"/>
    <x v="15"/>
    <x v="30"/>
    <d v="2025-10-14T00:00:00"/>
    <x v="0"/>
    <x v="0"/>
    <d v="2025-11-03T00:00:00"/>
    <n v="20"/>
    <n v="4"/>
    <n v="4"/>
    <n v="3"/>
    <n v="6"/>
    <x v="0"/>
  </r>
  <r>
    <s v="L1707"/>
    <x v="1"/>
    <x v="2"/>
    <x v="1"/>
    <d v="2025-10-30T00:00:00"/>
    <x v="10"/>
    <x v="9"/>
    <d v="2025-11-08T00:00:00"/>
    <x v="1"/>
    <x v="3"/>
    <m/>
    <s v=""/>
    <n v="2"/>
    <n v="5"/>
    <n v="2"/>
    <m/>
    <x v="2"/>
  </r>
  <r>
    <s v="L1708"/>
    <x v="0"/>
    <x v="2"/>
    <x v="0"/>
    <d v="2025-10-10T00:00:00"/>
    <x v="14"/>
    <x v="11"/>
    <d v="2025-10-23T00:00:00"/>
    <x v="0"/>
    <x v="0"/>
    <d v="2025-11-07T00:00:00"/>
    <n v="15"/>
    <n v="5"/>
    <n v="3"/>
    <n v="5"/>
    <n v="2"/>
    <x v="0"/>
  </r>
  <r>
    <s v="L1709"/>
    <x v="1"/>
    <x v="0"/>
    <x v="0"/>
    <d v="2025-10-11T00:00:00"/>
    <x v="1"/>
    <x v="11"/>
    <d v="2025-10-20T00:00:00"/>
    <x v="0"/>
    <x v="0"/>
    <d v="2025-11-01T00:00:00"/>
    <n v="12"/>
    <n v="3"/>
    <n v="4"/>
    <n v="2"/>
    <n v="6"/>
    <x v="0"/>
  </r>
  <r>
    <s v="L1710"/>
    <x v="2"/>
    <x v="0"/>
    <x v="0"/>
    <d v="2025-10-24T00:00:00"/>
    <x v="28"/>
    <x v="15"/>
    <d v="2025-11-02T00:00:00"/>
    <x v="0"/>
    <x v="0"/>
    <d v="2025-11-27T00:00:00"/>
    <n v="25"/>
    <n v="4"/>
    <n v="2"/>
    <n v="3"/>
    <n v="8"/>
    <x v="1"/>
  </r>
  <r>
    <s v="L1711"/>
    <x v="2"/>
    <x v="0"/>
    <x v="0"/>
    <d v="2025-10-14T00:00:00"/>
    <x v="24"/>
    <x v="25"/>
    <d v="2025-10-23T00:00:00"/>
    <x v="0"/>
    <x v="0"/>
    <d v="2025-11-12T00:00:00"/>
    <n v="20"/>
    <n v="2"/>
    <n v="1"/>
    <n v="6"/>
    <n v="2"/>
    <x v="0"/>
  </r>
  <r>
    <s v="L1712"/>
    <x v="1"/>
    <x v="2"/>
    <x v="0"/>
    <d v="2025-10-06T00:00:00"/>
    <x v="15"/>
    <x v="14"/>
    <d v="2025-10-16T00:00:00"/>
    <x v="0"/>
    <x v="0"/>
    <d v="2025-11-15T00:00:00"/>
    <n v="30"/>
    <n v="1"/>
    <n v="5"/>
    <n v="4"/>
    <n v="5"/>
    <x v="0"/>
  </r>
  <r>
    <s v="L1713"/>
    <x v="1"/>
    <x v="0"/>
    <x v="0"/>
    <d v="2025-10-07T00:00:00"/>
    <x v="27"/>
    <x v="14"/>
    <d v="2025-10-19T00:00:00"/>
    <x v="0"/>
    <x v="0"/>
    <d v="2025-11-03T00:00:00"/>
    <n v="15"/>
    <n v="2"/>
    <n v="3"/>
    <n v="7"/>
    <n v="8"/>
    <x v="1"/>
  </r>
  <r>
    <s v="L1714"/>
    <x v="1"/>
    <x v="2"/>
    <x v="0"/>
    <d v="2025-10-05T00:00:00"/>
    <x v="13"/>
    <x v="36"/>
    <d v="2025-10-14T00:00:00"/>
    <x v="0"/>
    <x v="0"/>
    <d v="2025-11-03T00:00:00"/>
    <n v="20"/>
    <n v="1"/>
    <n v="1"/>
    <n v="7"/>
    <n v="7"/>
    <x v="1"/>
  </r>
  <r>
    <s v="L1715"/>
    <x v="3"/>
    <x v="2"/>
    <x v="0"/>
    <d v="2025-10-26T00:00:00"/>
    <x v="11"/>
    <x v="31"/>
    <d v="2025-11-02T00:00:00"/>
    <x v="0"/>
    <x v="0"/>
    <d v="2025-12-02T00:00:00"/>
    <n v="30"/>
    <n v="4"/>
    <n v="1"/>
    <n v="2"/>
    <n v="7"/>
    <x v="1"/>
  </r>
  <r>
    <s v="L1716"/>
    <x v="0"/>
    <x v="0"/>
    <x v="0"/>
    <d v="2025-10-18T00:00:00"/>
    <x v="5"/>
    <x v="28"/>
    <d v="2025-10-28T00:00:00"/>
    <x v="0"/>
    <x v="0"/>
    <d v="2025-11-08T00:00:00"/>
    <n v="11"/>
    <n v="2"/>
    <n v="4"/>
    <n v="4"/>
    <n v="9"/>
    <x v="3"/>
  </r>
  <r>
    <s v="L1717"/>
    <x v="1"/>
    <x v="2"/>
    <x v="0"/>
    <d v="2025-10-29T00:00:00"/>
    <x v="34"/>
    <x v="4"/>
    <d v="2025-11-06T00:00:00"/>
    <x v="0"/>
    <x v="0"/>
    <d v="2025-11-16T00:00:00"/>
    <n v="10"/>
    <n v="4"/>
    <n v="2"/>
    <n v="2"/>
    <n v="7"/>
    <x v="1"/>
  </r>
  <r>
    <s v="L1718"/>
    <x v="1"/>
    <x v="2"/>
    <x v="0"/>
    <d v="2025-10-12T00:00:00"/>
    <x v="19"/>
    <x v="23"/>
    <d v="2025-10-21T00:00:00"/>
    <x v="0"/>
    <x v="0"/>
    <d v="2025-11-14T00:00:00"/>
    <n v="24"/>
    <n v="1"/>
    <n v="1"/>
    <n v="7"/>
    <n v="2"/>
    <x v="0"/>
  </r>
  <r>
    <s v="L1719"/>
    <x v="1"/>
    <x v="0"/>
    <x v="0"/>
    <d v="2025-10-17T00:00:00"/>
    <x v="5"/>
    <x v="16"/>
    <d v="2025-10-28T00:00:00"/>
    <x v="0"/>
    <x v="0"/>
    <d v="2025-11-15T00:00:00"/>
    <n v="18"/>
    <n v="3"/>
    <n v="3"/>
    <n v="5"/>
    <n v="7"/>
    <x v="1"/>
  </r>
  <r>
    <s v="L1720"/>
    <x v="2"/>
    <x v="0"/>
    <x v="0"/>
    <d v="2025-10-17T00:00:00"/>
    <x v="5"/>
    <x v="27"/>
    <d v="2025-11-01T00:00:00"/>
    <x v="0"/>
    <x v="0"/>
    <d v="2025-11-17T00:00:00"/>
    <n v="16"/>
    <n v="3"/>
    <n v="5"/>
    <n v="7"/>
    <n v="4"/>
    <x v="0"/>
  </r>
  <r>
    <s v="L1721"/>
    <x v="2"/>
    <x v="0"/>
    <x v="0"/>
    <d v="2025-10-30T00:00:00"/>
    <x v="4"/>
    <x v="7"/>
    <d v="2025-11-12T00:00:00"/>
    <x v="0"/>
    <x v="0"/>
    <d v="2025-11-27T00:00:00"/>
    <n v="15"/>
    <n v="1"/>
    <n v="5"/>
    <n v="7"/>
    <n v="6"/>
    <x v="0"/>
  </r>
  <r>
    <s v="L1722"/>
    <x v="3"/>
    <x v="2"/>
    <x v="0"/>
    <d v="2025-10-09T00:00:00"/>
    <x v="1"/>
    <x v="1"/>
    <d v="2025-10-23T00:00:00"/>
    <x v="0"/>
    <x v="0"/>
    <d v="2025-11-20T00:00:00"/>
    <n v="28"/>
    <n v="5"/>
    <n v="5"/>
    <n v="4"/>
    <n v="3"/>
    <x v="0"/>
  </r>
  <r>
    <s v="L1723"/>
    <x v="0"/>
    <x v="2"/>
    <x v="0"/>
    <d v="2025-10-27T00:00:00"/>
    <x v="10"/>
    <x v="7"/>
    <d v="2025-11-07T00:00:00"/>
    <x v="0"/>
    <x v="0"/>
    <d v="2025-11-22T00:00:00"/>
    <n v="15"/>
    <n v="5"/>
    <n v="4"/>
    <n v="2"/>
    <n v="4"/>
    <x v="0"/>
  </r>
  <r>
    <s v="L1724"/>
    <x v="3"/>
    <x v="2"/>
    <x v="0"/>
    <d v="2025-10-06T00:00:00"/>
    <x v="27"/>
    <x v="14"/>
    <d v="2025-10-15T00:00:00"/>
    <x v="0"/>
    <x v="0"/>
    <d v="2025-11-09T00:00:00"/>
    <n v="25"/>
    <n v="3"/>
    <n v="3"/>
    <n v="3"/>
    <n v="10"/>
    <x v="3"/>
  </r>
  <r>
    <s v="L1725"/>
    <x v="0"/>
    <x v="2"/>
    <x v="0"/>
    <d v="2025-10-09T00:00:00"/>
    <x v="20"/>
    <x v="21"/>
    <d v="2025-10-19T00:00:00"/>
    <x v="0"/>
    <x v="0"/>
    <d v="2025-10-31T00:00:00"/>
    <n v="12"/>
    <n v="3"/>
    <n v="1"/>
    <n v="6"/>
    <n v="8"/>
    <x v="1"/>
  </r>
  <r>
    <s v="L1726"/>
    <x v="2"/>
    <x v="0"/>
    <x v="0"/>
    <d v="2025-10-30T00:00:00"/>
    <x v="10"/>
    <x v="4"/>
    <d v="2025-11-07T00:00:00"/>
    <x v="0"/>
    <x v="0"/>
    <d v="2025-11-21T00:00:00"/>
    <n v="14"/>
    <n v="2"/>
    <n v="3"/>
    <n v="3"/>
    <n v="10"/>
    <x v="3"/>
  </r>
  <r>
    <s v="L1727"/>
    <x v="2"/>
    <x v="1"/>
    <x v="1"/>
    <d v="2025-10-27T00:00:00"/>
    <x v="2"/>
    <x v="2"/>
    <m/>
    <x v="1"/>
    <x v="3"/>
    <m/>
    <s v=""/>
    <m/>
    <m/>
    <m/>
    <m/>
    <x v="2"/>
  </r>
  <r>
    <s v="L1728"/>
    <x v="2"/>
    <x v="0"/>
    <x v="0"/>
    <d v="2025-10-31T00:00:00"/>
    <x v="34"/>
    <x v="9"/>
    <d v="2025-11-11T00:00:00"/>
    <x v="0"/>
    <x v="0"/>
    <d v="2025-12-10T00:00:00"/>
    <n v="29"/>
    <n v="2"/>
    <n v="4"/>
    <n v="5"/>
    <n v="3"/>
    <x v="0"/>
  </r>
  <r>
    <s v="L1729"/>
    <x v="3"/>
    <x v="0"/>
    <x v="0"/>
    <d v="2025-10-16T00:00:00"/>
    <x v="22"/>
    <x v="16"/>
    <d v="2025-10-28T00:00:00"/>
    <x v="0"/>
    <x v="0"/>
    <d v="2025-11-20T00:00:00"/>
    <n v="23"/>
    <n v="3"/>
    <n v="4"/>
    <n v="5"/>
    <n v="9"/>
    <x v="3"/>
  </r>
  <r>
    <s v="L1730"/>
    <x v="1"/>
    <x v="0"/>
    <x v="0"/>
    <d v="2025-10-31T00:00:00"/>
    <x v="32"/>
    <x v="38"/>
    <d v="2025-11-09T00:00:00"/>
    <x v="0"/>
    <x v="0"/>
    <d v="2025-12-09T00:00:00"/>
    <n v="30"/>
    <n v="5"/>
    <n v="2"/>
    <n v="2"/>
    <n v="1"/>
    <x v="0"/>
  </r>
  <r>
    <s v="L1731"/>
    <x v="1"/>
    <x v="0"/>
    <x v="0"/>
    <d v="2025-10-26T00:00:00"/>
    <x v="28"/>
    <x v="31"/>
    <d v="2025-11-03T00:00:00"/>
    <x v="0"/>
    <x v="0"/>
    <d v="2025-11-26T00:00:00"/>
    <n v="23"/>
    <n v="2"/>
    <n v="3"/>
    <n v="3"/>
    <n v="8"/>
    <x v="1"/>
  </r>
  <r>
    <s v="L1732"/>
    <x v="2"/>
    <x v="0"/>
    <x v="0"/>
    <d v="2025-10-10T00:00:00"/>
    <x v="17"/>
    <x v="20"/>
    <d v="2025-10-23T00:00:00"/>
    <x v="0"/>
    <x v="0"/>
    <d v="2025-11-14T00:00:00"/>
    <n v="22"/>
    <n v="1"/>
    <n v="5"/>
    <n v="7"/>
    <n v="6"/>
    <x v="0"/>
  </r>
  <r>
    <s v="L1733"/>
    <x v="1"/>
    <x v="0"/>
    <x v="0"/>
    <d v="2025-10-24T00:00:00"/>
    <x v="25"/>
    <x v="15"/>
    <d v="2025-11-03T00:00:00"/>
    <x v="0"/>
    <x v="0"/>
    <d v="2025-11-26T00:00:00"/>
    <n v="23"/>
    <n v="2"/>
    <n v="4"/>
    <n v="4"/>
    <n v="4"/>
    <x v="0"/>
  </r>
  <r>
    <s v="L1734"/>
    <x v="1"/>
    <x v="0"/>
    <x v="0"/>
    <d v="2025-10-28T00:00:00"/>
    <x v="11"/>
    <x v="22"/>
    <d v="2025-11-05T00:00:00"/>
    <x v="0"/>
    <x v="0"/>
    <d v="2025-11-30T00:00:00"/>
    <n v="25"/>
    <n v="2"/>
    <n v="4"/>
    <n v="2"/>
    <n v="4"/>
    <x v="0"/>
  </r>
  <r>
    <s v="L1735"/>
    <x v="3"/>
    <x v="2"/>
    <x v="0"/>
    <d v="2025-10-11T00:00:00"/>
    <x v="19"/>
    <x v="17"/>
    <d v="2025-10-17T00:00:00"/>
    <x v="0"/>
    <x v="0"/>
    <d v="2025-11-08T00:00:00"/>
    <n v="22"/>
    <n v="2"/>
    <n v="2"/>
    <n v="2"/>
    <n v="9"/>
    <x v="3"/>
  </r>
  <r>
    <s v="L1736"/>
    <x v="0"/>
    <x v="0"/>
    <x v="0"/>
    <d v="2025-10-26T00:00:00"/>
    <x v="11"/>
    <x v="4"/>
    <d v="2025-11-07T00:00:00"/>
    <x v="0"/>
    <x v="0"/>
    <d v="2025-11-17T00:00:00"/>
    <n v="10"/>
    <n v="4"/>
    <n v="5"/>
    <n v="3"/>
    <n v="0"/>
    <x v="0"/>
  </r>
  <r>
    <s v="L1737"/>
    <x v="2"/>
    <x v="1"/>
    <x v="1"/>
    <d v="2025-10-04T00:00:00"/>
    <x v="2"/>
    <x v="2"/>
    <m/>
    <x v="1"/>
    <x v="2"/>
    <m/>
    <s v=""/>
    <m/>
    <m/>
    <m/>
    <m/>
    <x v="2"/>
  </r>
  <r>
    <s v="L1738"/>
    <x v="2"/>
    <x v="2"/>
    <x v="0"/>
    <d v="2025-10-15T00:00:00"/>
    <x v="24"/>
    <x v="6"/>
    <d v="2025-10-26T00:00:00"/>
    <x v="0"/>
    <x v="0"/>
    <d v="2025-11-06T00:00:00"/>
    <n v="11"/>
    <n v="1"/>
    <n v="4"/>
    <n v="6"/>
    <n v="7"/>
    <x v="1"/>
  </r>
  <r>
    <s v="L1739"/>
    <x v="3"/>
    <x v="2"/>
    <x v="0"/>
    <d v="2025-10-31T00:00:00"/>
    <x v="35"/>
    <x v="4"/>
    <d v="2025-11-09T00:00:00"/>
    <x v="0"/>
    <x v="0"/>
    <d v="2025-12-06T00:00:00"/>
    <n v="27"/>
    <n v="3"/>
    <n v="1"/>
    <n v="5"/>
    <n v="7"/>
    <x v="1"/>
  </r>
  <r>
    <s v="L1740"/>
    <x v="3"/>
    <x v="0"/>
    <x v="0"/>
    <d v="2025-10-03T00:00:00"/>
    <x v="30"/>
    <x v="21"/>
    <d v="2025-10-20T00:00:00"/>
    <x v="0"/>
    <x v="0"/>
    <d v="2025-11-05T00:00:00"/>
    <n v="16"/>
    <n v="5"/>
    <n v="5"/>
    <n v="7"/>
    <n v="1"/>
    <x v="0"/>
  </r>
  <r>
    <s v="L1741"/>
    <x v="1"/>
    <x v="0"/>
    <x v="0"/>
    <d v="2025-10-05T00:00:00"/>
    <x v="21"/>
    <x v="21"/>
    <d v="2025-10-17T00:00:00"/>
    <x v="0"/>
    <x v="0"/>
    <d v="2025-11-07T00:00:00"/>
    <n v="21"/>
    <n v="5"/>
    <n v="3"/>
    <n v="4"/>
    <n v="2"/>
    <x v="0"/>
  </r>
  <r>
    <s v="L1742"/>
    <x v="2"/>
    <x v="0"/>
    <x v="0"/>
    <d v="2025-10-25T00:00:00"/>
    <x v="28"/>
    <x v="15"/>
    <d v="2025-11-04T00:00:00"/>
    <x v="0"/>
    <x v="0"/>
    <d v="2025-11-14T00:00:00"/>
    <n v="10"/>
    <n v="3"/>
    <n v="2"/>
    <n v="5"/>
    <n v="2"/>
    <x v="0"/>
  </r>
  <r>
    <s v="L1743"/>
    <x v="0"/>
    <x v="0"/>
    <x v="0"/>
    <d v="2025-10-31T00:00:00"/>
    <x v="8"/>
    <x v="7"/>
    <d v="2025-11-12T00:00:00"/>
    <x v="0"/>
    <x v="0"/>
    <d v="2025-12-02T00:00:00"/>
    <n v="20"/>
    <n v="4"/>
    <n v="1"/>
    <n v="7"/>
    <n v="1"/>
    <x v="0"/>
  </r>
  <r>
    <s v="L1744"/>
    <x v="3"/>
    <x v="2"/>
    <x v="0"/>
    <d v="2025-10-08T00:00:00"/>
    <x v="19"/>
    <x v="23"/>
    <d v="2025-10-16T00:00:00"/>
    <x v="0"/>
    <x v="0"/>
    <d v="2025-11-11T00:00:00"/>
    <n v="26"/>
    <n v="5"/>
    <n v="1"/>
    <n v="2"/>
    <n v="5"/>
    <x v="0"/>
  </r>
  <r>
    <s v="L1745"/>
    <x v="0"/>
    <x v="0"/>
    <x v="0"/>
    <d v="2025-10-28T00:00:00"/>
    <x v="11"/>
    <x v="10"/>
    <d v="2025-11-08T00:00:00"/>
    <x v="0"/>
    <x v="0"/>
    <d v="2025-11-24T00:00:00"/>
    <n v="16"/>
    <n v="2"/>
    <n v="3"/>
    <n v="6"/>
    <n v="9"/>
    <x v="3"/>
  </r>
  <r>
    <s v="L1746"/>
    <x v="0"/>
    <x v="0"/>
    <x v="1"/>
    <d v="2025-10-22T00:00:00"/>
    <x v="12"/>
    <x v="0"/>
    <d v="2025-10-31T00:00:00"/>
    <x v="1"/>
    <x v="5"/>
    <m/>
    <s v=""/>
    <n v="5"/>
    <n v="2"/>
    <n v="2"/>
    <m/>
    <x v="2"/>
  </r>
  <r>
    <s v="L1747"/>
    <x v="2"/>
    <x v="1"/>
    <x v="1"/>
    <d v="2025-10-24T00:00:00"/>
    <x v="2"/>
    <x v="2"/>
    <m/>
    <x v="1"/>
    <x v="4"/>
    <m/>
    <s v=""/>
    <m/>
    <m/>
    <m/>
    <m/>
    <x v="2"/>
  </r>
  <r>
    <s v="L1748"/>
    <x v="2"/>
    <x v="0"/>
    <x v="0"/>
    <d v="2025-10-22T00:00:00"/>
    <x v="18"/>
    <x v="18"/>
    <d v="2025-11-02T00:00:00"/>
    <x v="0"/>
    <x v="0"/>
    <d v="2025-11-12T00:00:00"/>
    <n v="10"/>
    <n v="1"/>
    <n v="4"/>
    <n v="6"/>
    <n v="7"/>
    <x v="1"/>
  </r>
  <r>
    <s v="L1749"/>
    <x v="3"/>
    <x v="2"/>
    <x v="0"/>
    <d v="2025-10-13T00:00:00"/>
    <x v="1"/>
    <x v="20"/>
    <d v="2025-10-19T00:00:00"/>
    <x v="0"/>
    <x v="0"/>
    <d v="2025-10-29T00:00:00"/>
    <n v="10"/>
    <n v="1"/>
    <n v="2"/>
    <n v="3"/>
    <n v="0"/>
    <x v="0"/>
  </r>
  <r>
    <s v="L1750"/>
    <x v="2"/>
    <x v="2"/>
    <x v="0"/>
    <d v="2025-10-31T00:00:00"/>
    <x v="35"/>
    <x v="38"/>
    <d v="2025-11-14T00:00:00"/>
    <x v="0"/>
    <x v="0"/>
    <d v="2025-12-14T00:00:00"/>
    <n v="30"/>
    <n v="3"/>
    <n v="4"/>
    <n v="7"/>
    <n v="7"/>
    <x v="1"/>
  </r>
  <r>
    <s v="L1751"/>
    <x v="2"/>
    <x v="2"/>
    <x v="0"/>
    <d v="2025-10-28T00:00:00"/>
    <x v="10"/>
    <x v="4"/>
    <d v="2025-11-09T00:00:00"/>
    <x v="0"/>
    <x v="0"/>
    <d v="2025-11-26T00:00:00"/>
    <n v="17"/>
    <n v="4"/>
    <n v="3"/>
    <n v="5"/>
    <n v="4"/>
    <x v="0"/>
  </r>
  <r>
    <s v="L1752"/>
    <x v="2"/>
    <x v="0"/>
    <x v="0"/>
    <d v="2025-10-26T00:00:00"/>
    <x v="11"/>
    <x v="10"/>
    <d v="2025-11-04T00:00:00"/>
    <x v="0"/>
    <x v="0"/>
    <d v="2025-11-21T00:00:00"/>
    <n v="17"/>
    <n v="4"/>
    <n v="3"/>
    <n v="2"/>
    <n v="4"/>
    <x v="0"/>
  </r>
  <r>
    <s v="L1753"/>
    <x v="0"/>
    <x v="2"/>
    <x v="0"/>
    <d v="2025-10-18T00:00:00"/>
    <x v="18"/>
    <x v="28"/>
    <d v="2025-10-30T00:00:00"/>
    <x v="0"/>
    <x v="0"/>
    <d v="2025-11-20T00:00:00"/>
    <n v="21"/>
    <n v="5"/>
    <n v="1"/>
    <n v="6"/>
    <n v="9"/>
    <x v="3"/>
  </r>
  <r>
    <s v="L1754"/>
    <x v="3"/>
    <x v="0"/>
    <x v="0"/>
    <d v="2025-10-12T00:00:00"/>
    <x v="24"/>
    <x v="25"/>
    <d v="2025-10-23T00:00:00"/>
    <x v="0"/>
    <x v="0"/>
    <d v="2025-11-11T00:00:00"/>
    <n v="19"/>
    <n v="4"/>
    <n v="1"/>
    <n v="6"/>
    <n v="6"/>
    <x v="0"/>
  </r>
  <r>
    <s v="L1755"/>
    <x v="1"/>
    <x v="0"/>
    <x v="0"/>
    <d v="2025-10-03T00:00:00"/>
    <x v="15"/>
    <x v="5"/>
    <d v="2025-10-10T00:00:00"/>
    <x v="0"/>
    <x v="0"/>
    <d v="2025-10-24T00:00:00"/>
    <n v="14"/>
    <n v="4"/>
    <n v="1"/>
    <n v="2"/>
    <n v="5"/>
    <x v="0"/>
  </r>
  <r>
    <s v="L1756"/>
    <x v="0"/>
    <x v="2"/>
    <x v="0"/>
    <d v="2025-10-26T00:00:00"/>
    <x v="4"/>
    <x v="22"/>
    <d v="2025-11-08T00:00:00"/>
    <x v="0"/>
    <x v="0"/>
    <d v="2025-11-21T00:00:00"/>
    <n v="13"/>
    <n v="5"/>
    <n v="3"/>
    <n v="5"/>
    <n v="7"/>
    <x v="1"/>
  </r>
  <r>
    <s v="L1757"/>
    <x v="2"/>
    <x v="2"/>
    <x v="0"/>
    <d v="2025-10-13T00:00:00"/>
    <x v="1"/>
    <x v="11"/>
    <d v="2025-10-25T00:00:00"/>
    <x v="0"/>
    <x v="0"/>
    <d v="2025-11-16T00:00:00"/>
    <n v="22"/>
    <n v="1"/>
    <n v="4"/>
    <n v="7"/>
    <n v="6"/>
    <x v="0"/>
  </r>
  <r>
    <s v="L1758"/>
    <x v="0"/>
    <x v="2"/>
    <x v="0"/>
    <d v="2025-10-01T00:00:00"/>
    <x v="33"/>
    <x v="29"/>
    <d v="2025-10-09T00:00:00"/>
    <x v="0"/>
    <x v="0"/>
    <d v="2025-11-04T00:00:00"/>
    <n v="26"/>
    <n v="2"/>
    <n v="3"/>
    <n v="3"/>
    <n v="6"/>
    <x v="0"/>
  </r>
  <r>
    <s v="L1759"/>
    <x v="2"/>
    <x v="1"/>
    <x v="1"/>
    <d v="2025-10-09T00:00:00"/>
    <x v="2"/>
    <x v="2"/>
    <m/>
    <x v="1"/>
    <x v="4"/>
    <m/>
    <s v=""/>
    <m/>
    <m/>
    <m/>
    <m/>
    <x v="2"/>
  </r>
  <r>
    <s v="L1760"/>
    <x v="2"/>
    <x v="2"/>
    <x v="0"/>
    <d v="2025-10-18T00:00:00"/>
    <x v="16"/>
    <x v="28"/>
    <d v="2025-10-27T00:00:00"/>
    <x v="0"/>
    <x v="0"/>
    <d v="2025-11-24T00:00:00"/>
    <n v="28"/>
    <n v="3"/>
    <n v="3"/>
    <n v="3"/>
    <n v="2"/>
    <x v="0"/>
  </r>
  <r>
    <s v="L1761"/>
    <x v="0"/>
    <x v="0"/>
    <x v="0"/>
    <d v="2025-10-04T00:00:00"/>
    <x v="6"/>
    <x v="29"/>
    <d v="2025-10-10T00:00:00"/>
    <x v="0"/>
    <x v="0"/>
    <d v="2025-10-29T00:00:00"/>
    <n v="19"/>
    <n v="1"/>
    <n v="1"/>
    <n v="4"/>
    <n v="8"/>
    <x v="1"/>
  </r>
  <r>
    <s v="L1762"/>
    <x v="3"/>
    <x v="1"/>
    <x v="1"/>
    <d v="2025-10-15T00:00:00"/>
    <x v="2"/>
    <x v="2"/>
    <m/>
    <x v="1"/>
    <x v="3"/>
    <m/>
    <s v=""/>
    <m/>
    <m/>
    <m/>
    <m/>
    <x v="2"/>
  </r>
  <r>
    <s v="L1763"/>
    <x v="2"/>
    <x v="0"/>
    <x v="1"/>
    <d v="2025-10-12T00:00:00"/>
    <x v="24"/>
    <x v="11"/>
    <d v="2025-10-22T00:00:00"/>
    <x v="1"/>
    <x v="4"/>
    <m/>
    <s v=""/>
    <n v="4"/>
    <n v="2"/>
    <n v="4"/>
    <m/>
    <x v="2"/>
  </r>
  <r>
    <s v="L1764"/>
    <x v="3"/>
    <x v="1"/>
    <x v="1"/>
    <d v="2025-10-22T00:00:00"/>
    <x v="2"/>
    <x v="2"/>
    <m/>
    <x v="1"/>
    <x v="2"/>
    <m/>
    <s v=""/>
    <m/>
    <m/>
    <m/>
    <m/>
    <x v="2"/>
  </r>
  <r>
    <s v="L1765"/>
    <x v="1"/>
    <x v="0"/>
    <x v="0"/>
    <d v="2025-10-24T00:00:00"/>
    <x v="28"/>
    <x v="0"/>
    <d v="2025-11-02T00:00:00"/>
    <x v="0"/>
    <x v="0"/>
    <d v="2025-11-17T00:00:00"/>
    <n v="15"/>
    <n v="4"/>
    <n v="1"/>
    <n v="4"/>
    <n v="1"/>
    <x v="0"/>
  </r>
  <r>
    <s v="L1766"/>
    <x v="2"/>
    <x v="1"/>
    <x v="1"/>
    <d v="2025-10-22T00:00:00"/>
    <x v="2"/>
    <x v="2"/>
    <m/>
    <x v="1"/>
    <x v="5"/>
    <m/>
    <s v=""/>
    <m/>
    <m/>
    <m/>
    <m/>
    <x v="2"/>
  </r>
  <r>
    <s v="L1767"/>
    <x v="3"/>
    <x v="2"/>
    <x v="0"/>
    <d v="2025-10-09T00:00:00"/>
    <x v="1"/>
    <x v="20"/>
    <d v="2025-10-21T00:00:00"/>
    <x v="0"/>
    <x v="0"/>
    <d v="2025-11-02T00:00:00"/>
    <n v="12"/>
    <n v="5"/>
    <n v="2"/>
    <n v="5"/>
    <n v="0"/>
    <x v="0"/>
  </r>
  <r>
    <s v="L1768"/>
    <x v="3"/>
    <x v="2"/>
    <x v="0"/>
    <d v="2025-10-19T00:00:00"/>
    <x v="31"/>
    <x v="26"/>
    <d v="2025-11-02T00:00:00"/>
    <x v="0"/>
    <x v="0"/>
    <d v="2025-11-13T00:00:00"/>
    <n v="11"/>
    <n v="3"/>
    <n v="4"/>
    <n v="7"/>
    <n v="4"/>
    <x v="0"/>
  </r>
  <r>
    <s v="L1769"/>
    <x v="1"/>
    <x v="0"/>
    <x v="0"/>
    <d v="2025-10-13T00:00:00"/>
    <x v="14"/>
    <x v="1"/>
    <d v="2025-10-26T00:00:00"/>
    <x v="0"/>
    <x v="0"/>
    <d v="2025-11-14T00:00:00"/>
    <n v="19"/>
    <n v="2"/>
    <n v="4"/>
    <n v="7"/>
    <n v="0"/>
    <x v="0"/>
  </r>
  <r>
    <s v="L1770"/>
    <x v="3"/>
    <x v="1"/>
    <x v="1"/>
    <d v="2025-10-27T00:00:00"/>
    <x v="2"/>
    <x v="2"/>
    <m/>
    <x v="1"/>
    <x v="2"/>
    <m/>
    <s v=""/>
    <m/>
    <m/>
    <m/>
    <m/>
    <x v="2"/>
  </r>
  <r>
    <s v="L1771"/>
    <x v="3"/>
    <x v="1"/>
    <x v="1"/>
    <d v="2025-10-21T00:00:00"/>
    <x v="2"/>
    <x v="2"/>
    <m/>
    <x v="1"/>
    <x v="1"/>
    <m/>
    <s v=""/>
    <m/>
    <m/>
    <m/>
    <m/>
    <x v="2"/>
  </r>
  <r>
    <s v="L1772"/>
    <x v="1"/>
    <x v="2"/>
    <x v="0"/>
    <d v="2025-10-31T00:00:00"/>
    <x v="32"/>
    <x v="39"/>
    <d v="2025-11-14T00:00:00"/>
    <x v="0"/>
    <x v="0"/>
    <d v="2025-12-03T00:00:00"/>
    <n v="19"/>
    <n v="5"/>
    <n v="5"/>
    <n v="4"/>
    <n v="4"/>
    <x v="0"/>
  </r>
  <r>
    <s v="L1773"/>
    <x v="2"/>
    <x v="2"/>
    <x v="0"/>
    <d v="2025-10-12T00:00:00"/>
    <x v="7"/>
    <x v="24"/>
    <d v="2025-10-26T00:00:00"/>
    <x v="0"/>
    <x v="0"/>
    <d v="2025-11-19T00:00:00"/>
    <n v="24"/>
    <n v="5"/>
    <n v="5"/>
    <n v="4"/>
    <n v="1"/>
    <x v="0"/>
  </r>
  <r>
    <s v="L1774"/>
    <x v="3"/>
    <x v="1"/>
    <x v="1"/>
    <d v="2025-10-04T00:00:00"/>
    <x v="2"/>
    <x v="2"/>
    <m/>
    <x v="1"/>
    <x v="3"/>
    <m/>
    <s v=""/>
    <m/>
    <m/>
    <m/>
    <m/>
    <x v="2"/>
  </r>
  <r>
    <s v="L1775"/>
    <x v="3"/>
    <x v="2"/>
    <x v="0"/>
    <d v="2025-10-22T00:00:00"/>
    <x v="9"/>
    <x v="0"/>
    <d v="2025-11-03T00:00:00"/>
    <x v="0"/>
    <x v="0"/>
    <d v="2025-11-29T00:00:00"/>
    <n v="26"/>
    <n v="2"/>
    <n v="5"/>
    <n v="5"/>
    <n v="10"/>
    <x v="3"/>
  </r>
  <r>
    <s v="L1776"/>
    <x v="3"/>
    <x v="0"/>
    <x v="0"/>
    <d v="2025-10-08T00:00:00"/>
    <x v="21"/>
    <x v="23"/>
    <d v="2025-10-18T00:00:00"/>
    <x v="0"/>
    <x v="0"/>
    <d v="2025-11-16T00:00:00"/>
    <n v="29"/>
    <n v="2"/>
    <n v="4"/>
    <n v="4"/>
    <n v="1"/>
    <x v="0"/>
  </r>
  <r>
    <s v="L1777"/>
    <x v="0"/>
    <x v="1"/>
    <x v="1"/>
    <d v="2025-10-16T00:00:00"/>
    <x v="2"/>
    <x v="2"/>
    <m/>
    <x v="1"/>
    <x v="4"/>
    <m/>
    <s v=""/>
    <m/>
    <m/>
    <m/>
    <m/>
    <x v="2"/>
  </r>
  <r>
    <s v="L1778"/>
    <x v="1"/>
    <x v="0"/>
    <x v="0"/>
    <d v="2025-10-01T00:00:00"/>
    <x v="6"/>
    <x v="29"/>
    <d v="2025-10-09T00:00:00"/>
    <x v="0"/>
    <x v="0"/>
    <d v="2025-11-04T00:00:00"/>
    <n v="26"/>
    <n v="4"/>
    <n v="1"/>
    <n v="3"/>
    <n v="3"/>
    <x v="0"/>
  </r>
  <r>
    <s v="L1779"/>
    <x v="0"/>
    <x v="0"/>
    <x v="0"/>
    <d v="2025-10-20T00:00:00"/>
    <x v="0"/>
    <x v="26"/>
    <d v="2025-10-28T00:00:00"/>
    <x v="0"/>
    <x v="0"/>
    <d v="2025-11-17T00:00:00"/>
    <n v="20"/>
    <n v="5"/>
    <n v="1"/>
    <n v="2"/>
    <n v="2"/>
    <x v="0"/>
  </r>
  <r>
    <s v="L1780"/>
    <x v="1"/>
    <x v="0"/>
    <x v="0"/>
    <d v="2025-10-29T00:00:00"/>
    <x v="11"/>
    <x v="31"/>
    <d v="2025-11-03T00:00:00"/>
    <x v="0"/>
    <x v="0"/>
    <d v="2025-11-26T00:00:00"/>
    <n v="23"/>
    <n v="1"/>
    <n v="1"/>
    <n v="3"/>
    <n v="2"/>
    <x v="0"/>
  </r>
  <r>
    <s v="L1781"/>
    <x v="2"/>
    <x v="2"/>
    <x v="0"/>
    <d v="2025-10-31T00:00:00"/>
    <x v="10"/>
    <x v="4"/>
    <d v="2025-11-07T00:00:00"/>
    <x v="0"/>
    <x v="0"/>
    <d v="2025-11-21T00:00:00"/>
    <n v="14"/>
    <n v="1"/>
    <n v="3"/>
    <n v="3"/>
    <n v="4"/>
    <x v="0"/>
  </r>
  <r>
    <s v="L1782"/>
    <x v="2"/>
    <x v="1"/>
    <x v="1"/>
    <d v="2025-10-18T00:00:00"/>
    <x v="2"/>
    <x v="2"/>
    <m/>
    <x v="1"/>
    <x v="1"/>
    <m/>
    <s v=""/>
    <m/>
    <m/>
    <m/>
    <m/>
    <x v="2"/>
  </r>
  <r>
    <s v="L1783"/>
    <x v="3"/>
    <x v="0"/>
    <x v="0"/>
    <d v="2025-10-11T00:00:00"/>
    <x v="24"/>
    <x v="3"/>
    <d v="2025-10-27T00:00:00"/>
    <x v="0"/>
    <x v="0"/>
    <d v="2025-11-16T00:00:00"/>
    <n v="20"/>
    <n v="5"/>
    <n v="5"/>
    <n v="6"/>
    <n v="9"/>
    <x v="3"/>
  </r>
  <r>
    <s v="L1784"/>
    <x v="1"/>
    <x v="1"/>
    <x v="1"/>
    <d v="2025-10-30T00:00:00"/>
    <x v="2"/>
    <x v="2"/>
    <m/>
    <x v="1"/>
    <x v="4"/>
    <m/>
    <s v=""/>
    <m/>
    <m/>
    <m/>
    <m/>
    <x v="2"/>
  </r>
  <r>
    <s v="L1785"/>
    <x v="2"/>
    <x v="2"/>
    <x v="0"/>
    <d v="2025-10-20T00:00:00"/>
    <x v="31"/>
    <x v="16"/>
    <d v="2025-10-25T00:00:00"/>
    <x v="0"/>
    <x v="0"/>
    <d v="2025-11-19T00:00:00"/>
    <n v="25"/>
    <n v="2"/>
    <n v="1"/>
    <n v="2"/>
    <n v="7"/>
    <x v="1"/>
  </r>
  <r>
    <s v="L1786"/>
    <x v="1"/>
    <x v="1"/>
    <x v="1"/>
    <d v="2025-10-08T00:00:00"/>
    <x v="2"/>
    <x v="2"/>
    <m/>
    <x v="1"/>
    <x v="5"/>
    <m/>
    <s v=""/>
    <m/>
    <m/>
    <m/>
    <m/>
    <x v="2"/>
  </r>
  <r>
    <s v="L1787"/>
    <x v="2"/>
    <x v="0"/>
    <x v="0"/>
    <d v="2025-10-21T00:00:00"/>
    <x v="9"/>
    <x v="0"/>
    <d v="2025-11-01T00:00:00"/>
    <x v="0"/>
    <x v="0"/>
    <d v="2025-11-22T00:00:00"/>
    <n v="21"/>
    <n v="3"/>
    <n v="5"/>
    <n v="3"/>
    <n v="3"/>
    <x v="0"/>
  </r>
  <r>
    <s v="L1788"/>
    <x v="0"/>
    <x v="2"/>
    <x v="0"/>
    <d v="2025-10-03T00:00:00"/>
    <x v="6"/>
    <x v="13"/>
    <d v="2025-10-12T00:00:00"/>
    <x v="0"/>
    <x v="0"/>
    <d v="2025-10-28T00:00:00"/>
    <n v="16"/>
    <n v="2"/>
    <n v="5"/>
    <n v="2"/>
    <n v="3"/>
    <x v="0"/>
  </r>
  <r>
    <s v="L1789"/>
    <x v="2"/>
    <x v="2"/>
    <x v="0"/>
    <d v="2025-10-21T00:00:00"/>
    <x v="18"/>
    <x v="26"/>
    <d v="2025-10-29T00:00:00"/>
    <x v="0"/>
    <x v="0"/>
    <d v="2025-11-13T00:00:00"/>
    <n v="15"/>
    <n v="2"/>
    <n v="3"/>
    <n v="3"/>
    <n v="3"/>
    <x v="0"/>
  </r>
  <r>
    <s v="L1790"/>
    <x v="0"/>
    <x v="0"/>
    <x v="0"/>
    <d v="2025-10-27T00:00:00"/>
    <x v="11"/>
    <x v="22"/>
    <d v="2025-11-08T00:00:00"/>
    <x v="0"/>
    <x v="0"/>
    <d v="2025-11-30T00:00:00"/>
    <n v="22"/>
    <n v="3"/>
    <n v="4"/>
    <n v="5"/>
    <n v="5"/>
    <x v="0"/>
  </r>
  <r>
    <s v="L1791"/>
    <x v="2"/>
    <x v="0"/>
    <x v="0"/>
    <d v="2025-10-15T00:00:00"/>
    <x v="7"/>
    <x v="11"/>
    <d v="2025-10-23T00:00:00"/>
    <x v="0"/>
    <x v="0"/>
    <d v="2025-11-02T00:00:00"/>
    <n v="10"/>
    <n v="2"/>
    <n v="1"/>
    <n v="5"/>
    <n v="8"/>
    <x v="1"/>
  </r>
  <r>
    <s v="L1792"/>
    <x v="3"/>
    <x v="1"/>
    <x v="1"/>
    <d v="2025-10-30T00:00:00"/>
    <x v="2"/>
    <x v="2"/>
    <m/>
    <x v="1"/>
    <x v="5"/>
    <m/>
    <s v=""/>
    <m/>
    <m/>
    <m/>
    <m/>
    <x v="2"/>
  </r>
  <r>
    <s v="L1793"/>
    <x v="0"/>
    <x v="2"/>
    <x v="0"/>
    <d v="2025-10-23T00:00:00"/>
    <x v="25"/>
    <x v="0"/>
    <d v="2025-11-02T00:00:00"/>
    <x v="0"/>
    <x v="0"/>
    <d v="2025-11-19T00:00:00"/>
    <n v="17"/>
    <n v="3"/>
    <n v="3"/>
    <n v="4"/>
    <n v="1"/>
    <x v="0"/>
  </r>
  <r>
    <s v="L1794"/>
    <x v="2"/>
    <x v="2"/>
    <x v="0"/>
    <d v="2025-10-10T00:00:00"/>
    <x v="14"/>
    <x v="1"/>
    <d v="2025-10-24T00:00:00"/>
    <x v="0"/>
    <x v="0"/>
    <d v="2025-11-10T00:00:00"/>
    <n v="17"/>
    <n v="5"/>
    <n v="4"/>
    <n v="5"/>
    <n v="10"/>
    <x v="3"/>
  </r>
  <r>
    <s v="L1795"/>
    <x v="3"/>
    <x v="0"/>
    <x v="0"/>
    <d v="2025-10-21T00:00:00"/>
    <x v="9"/>
    <x v="8"/>
    <d v="2025-10-30T00:00:00"/>
    <x v="0"/>
    <x v="0"/>
    <d v="2025-11-13T00:00:00"/>
    <n v="14"/>
    <n v="3"/>
    <n v="4"/>
    <n v="2"/>
    <n v="4"/>
    <x v="0"/>
  </r>
  <r>
    <s v="L1796"/>
    <x v="0"/>
    <x v="0"/>
    <x v="0"/>
    <d v="2025-10-14T00:00:00"/>
    <x v="14"/>
    <x v="20"/>
    <d v="2025-10-22T00:00:00"/>
    <x v="0"/>
    <x v="0"/>
    <d v="2025-11-07T00:00:00"/>
    <n v="16"/>
    <n v="1"/>
    <n v="1"/>
    <n v="6"/>
    <n v="8"/>
    <x v="1"/>
  </r>
  <r>
    <s v="L1797"/>
    <x v="3"/>
    <x v="0"/>
    <x v="0"/>
    <d v="2025-10-04T00:00:00"/>
    <x v="15"/>
    <x v="14"/>
    <d v="2025-10-16T00:00:00"/>
    <x v="0"/>
    <x v="0"/>
    <d v="2025-10-26T00:00:00"/>
    <n v="10"/>
    <n v="3"/>
    <n v="5"/>
    <n v="4"/>
    <n v="7"/>
    <x v="1"/>
  </r>
  <r>
    <s v="L1798"/>
    <x v="1"/>
    <x v="1"/>
    <x v="1"/>
    <d v="2025-10-05T00:00:00"/>
    <x v="2"/>
    <x v="2"/>
    <m/>
    <x v="1"/>
    <x v="5"/>
    <m/>
    <s v=""/>
    <m/>
    <m/>
    <m/>
    <m/>
    <x v="2"/>
  </r>
  <r>
    <s v="L1799"/>
    <x v="1"/>
    <x v="1"/>
    <x v="1"/>
    <d v="2025-10-02T00:00:00"/>
    <x v="2"/>
    <x v="2"/>
    <m/>
    <x v="1"/>
    <x v="4"/>
    <m/>
    <s v=""/>
    <m/>
    <m/>
    <m/>
    <m/>
    <x v="2"/>
  </r>
  <r>
    <s v="L1800"/>
    <x v="0"/>
    <x v="1"/>
    <x v="1"/>
    <d v="2025-10-31T00:00:00"/>
    <x v="2"/>
    <x v="2"/>
    <m/>
    <x v="1"/>
    <x v="1"/>
    <m/>
    <s v=""/>
    <m/>
    <m/>
    <m/>
    <m/>
    <x v="2"/>
  </r>
  <r>
    <s v="L1801"/>
    <x v="2"/>
    <x v="0"/>
    <x v="1"/>
    <d v="2025-10-02T00:00:00"/>
    <x v="26"/>
    <x v="29"/>
    <d v="2025-10-09T00:00:00"/>
    <x v="1"/>
    <x v="5"/>
    <m/>
    <s v=""/>
    <n v="2"/>
    <n v="2"/>
    <n v="3"/>
    <m/>
    <x v="2"/>
  </r>
  <r>
    <s v="L1802"/>
    <x v="0"/>
    <x v="0"/>
    <x v="0"/>
    <d v="2025-10-10T00:00:00"/>
    <x v="14"/>
    <x v="6"/>
    <d v="2025-10-25T00:00:00"/>
    <x v="0"/>
    <x v="0"/>
    <d v="2025-11-22T00:00:00"/>
    <n v="28"/>
    <n v="5"/>
    <n v="5"/>
    <n v="5"/>
    <n v="10"/>
    <x v="3"/>
  </r>
  <r>
    <s v="L1803"/>
    <x v="3"/>
    <x v="0"/>
    <x v="0"/>
    <d v="2025-10-16T00:00:00"/>
    <x v="22"/>
    <x v="28"/>
    <d v="2025-10-28T00:00:00"/>
    <x v="0"/>
    <x v="0"/>
    <d v="2025-11-23T00:00:00"/>
    <n v="26"/>
    <n v="3"/>
    <n v="5"/>
    <n v="4"/>
    <n v="1"/>
    <x v="0"/>
  </r>
  <r>
    <s v="L1804"/>
    <x v="2"/>
    <x v="0"/>
    <x v="0"/>
    <d v="2025-10-04T00:00:00"/>
    <x v="13"/>
    <x v="5"/>
    <d v="2025-10-13T00:00:00"/>
    <x v="0"/>
    <x v="0"/>
    <d v="2025-10-28T00:00:00"/>
    <n v="15"/>
    <n v="2"/>
    <n v="2"/>
    <n v="5"/>
    <n v="9"/>
    <x v="3"/>
  </r>
  <r>
    <s v="L1805"/>
    <x v="1"/>
    <x v="1"/>
    <x v="1"/>
    <d v="2025-10-04T00:00:00"/>
    <x v="2"/>
    <x v="2"/>
    <m/>
    <x v="1"/>
    <x v="1"/>
    <m/>
    <s v=""/>
    <m/>
    <m/>
    <m/>
    <m/>
    <x v="2"/>
  </r>
  <r>
    <s v="L1806"/>
    <x v="2"/>
    <x v="2"/>
    <x v="0"/>
    <d v="2025-10-08T00:00:00"/>
    <x v="17"/>
    <x v="17"/>
    <d v="2025-10-19T00:00:00"/>
    <x v="0"/>
    <x v="0"/>
    <d v="2025-11-01T00:00:00"/>
    <n v="13"/>
    <n v="3"/>
    <n v="4"/>
    <n v="4"/>
    <n v="3"/>
    <x v="0"/>
  </r>
  <r>
    <s v="L1807"/>
    <x v="1"/>
    <x v="0"/>
    <x v="0"/>
    <d v="2025-10-29T00:00:00"/>
    <x v="35"/>
    <x v="7"/>
    <d v="2025-11-07T00:00:00"/>
    <x v="0"/>
    <x v="0"/>
    <d v="2025-11-28T00:00:00"/>
    <n v="21"/>
    <n v="5"/>
    <n v="2"/>
    <n v="2"/>
    <n v="2"/>
    <x v="0"/>
  </r>
  <r>
    <s v="L1808"/>
    <x v="2"/>
    <x v="2"/>
    <x v="0"/>
    <d v="2025-10-18T00:00:00"/>
    <x v="18"/>
    <x v="27"/>
    <d v="2025-10-27T00:00:00"/>
    <x v="0"/>
    <x v="0"/>
    <d v="2025-11-26T00:00:00"/>
    <n v="30"/>
    <n v="5"/>
    <n v="2"/>
    <n v="2"/>
    <n v="5"/>
    <x v="0"/>
  </r>
  <r>
    <s v="L1809"/>
    <x v="2"/>
    <x v="0"/>
    <x v="0"/>
    <d v="2025-10-05T00:00:00"/>
    <x v="13"/>
    <x v="37"/>
    <d v="2025-10-12T00:00:00"/>
    <x v="0"/>
    <x v="0"/>
    <d v="2025-10-23T00:00:00"/>
    <n v="11"/>
    <n v="1"/>
    <n v="3"/>
    <n v="3"/>
    <n v="1"/>
    <x v="0"/>
  </r>
  <r>
    <s v="L1810"/>
    <x v="2"/>
    <x v="1"/>
    <x v="1"/>
    <d v="2025-10-13T00:00:00"/>
    <x v="2"/>
    <x v="2"/>
    <m/>
    <x v="1"/>
    <x v="4"/>
    <m/>
    <s v=""/>
    <m/>
    <m/>
    <m/>
    <m/>
    <x v="2"/>
  </r>
  <r>
    <s v="L1811"/>
    <x v="3"/>
    <x v="0"/>
    <x v="0"/>
    <d v="2025-10-15T00:00:00"/>
    <x v="5"/>
    <x v="16"/>
    <d v="2025-10-30T00:00:00"/>
    <x v="0"/>
    <x v="0"/>
    <d v="2025-11-21T00:00:00"/>
    <n v="22"/>
    <n v="5"/>
    <n v="3"/>
    <n v="7"/>
    <n v="7"/>
    <x v="1"/>
  </r>
  <r>
    <s v="L1812"/>
    <x v="3"/>
    <x v="2"/>
    <x v="0"/>
    <d v="2025-10-12T00:00:00"/>
    <x v="1"/>
    <x v="25"/>
    <d v="2025-10-21T00:00:00"/>
    <x v="0"/>
    <x v="0"/>
    <d v="2025-11-20T00:00:00"/>
    <n v="30"/>
    <n v="2"/>
    <n v="3"/>
    <n v="4"/>
    <n v="3"/>
    <x v="0"/>
  </r>
  <r>
    <s v="L1813"/>
    <x v="0"/>
    <x v="1"/>
    <x v="1"/>
    <d v="2025-10-22T00:00:00"/>
    <x v="2"/>
    <x v="2"/>
    <m/>
    <x v="1"/>
    <x v="1"/>
    <m/>
    <s v=""/>
    <m/>
    <m/>
    <m/>
    <m/>
    <x v="2"/>
  </r>
  <r>
    <s v="L1814"/>
    <x v="0"/>
    <x v="0"/>
    <x v="0"/>
    <d v="2025-10-31T00:00:00"/>
    <x v="32"/>
    <x v="19"/>
    <d v="2025-11-16T00:00:00"/>
    <x v="0"/>
    <x v="0"/>
    <d v="2025-12-04T00:00:00"/>
    <n v="18"/>
    <n v="5"/>
    <n v="4"/>
    <n v="7"/>
    <n v="2"/>
    <x v="0"/>
  </r>
  <r>
    <s v="L1815"/>
    <x v="1"/>
    <x v="2"/>
    <x v="0"/>
    <d v="2025-10-24T00:00:00"/>
    <x v="23"/>
    <x v="31"/>
    <d v="2025-11-07T00:00:00"/>
    <x v="0"/>
    <x v="0"/>
    <d v="2025-12-04T00:00:00"/>
    <n v="27"/>
    <n v="5"/>
    <n v="2"/>
    <n v="7"/>
    <n v="5"/>
    <x v="0"/>
  </r>
  <r>
    <s v="L1816"/>
    <x v="3"/>
    <x v="2"/>
    <x v="1"/>
    <d v="2025-10-23T00:00:00"/>
    <x v="0"/>
    <x v="26"/>
    <d v="2025-11-01T00:00:00"/>
    <x v="1"/>
    <x v="4"/>
    <m/>
    <s v=""/>
    <n v="2"/>
    <n v="1"/>
    <n v="6"/>
    <m/>
    <x v="2"/>
  </r>
  <r>
    <s v="L1817"/>
    <x v="1"/>
    <x v="2"/>
    <x v="0"/>
    <d v="2025-10-31T00:00:00"/>
    <x v="34"/>
    <x v="4"/>
    <d v="2025-11-06T00:00:00"/>
    <x v="0"/>
    <x v="0"/>
    <d v="2025-12-05T00:00:00"/>
    <n v="29"/>
    <n v="2"/>
    <n v="2"/>
    <n v="2"/>
    <n v="8"/>
    <x v="1"/>
  </r>
  <r>
    <s v="L1818"/>
    <x v="0"/>
    <x v="2"/>
    <x v="0"/>
    <d v="2025-10-18T00:00:00"/>
    <x v="18"/>
    <x v="18"/>
    <d v="2025-10-30T00:00:00"/>
    <x v="0"/>
    <x v="0"/>
    <d v="2025-11-10T00:00:00"/>
    <n v="11"/>
    <n v="5"/>
    <n v="4"/>
    <n v="3"/>
    <n v="8"/>
    <x v="1"/>
  </r>
  <r>
    <s v="L1819"/>
    <x v="1"/>
    <x v="1"/>
    <x v="1"/>
    <d v="2025-10-14T00:00:00"/>
    <x v="2"/>
    <x v="2"/>
    <m/>
    <x v="1"/>
    <x v="4"/>
    <m/>
    <s v=""/>
    <m/>
    <m/>
    <m/>
    <m/>
    <x v="2"/>
  </r>
  <r>
    <s v="L1820"/>
    <x v="0"/>
    <x v="0"/>
    <x v="0"/>
    <d v="2025-10-19T00:00:00"/>
    <x v="9"/>
    <x v="18"/>
    <d v="2025-10-31T00:00:00"/>
    <x v="0"/>
    <x v="0"/>
    <d v="2025-11-29T00:00:00"/>
    <n v="29"/>
    <n v="5"/>
    <n v="3"/>
    <n v="4"/>
    <n v="2"/>
    <x v="0"/>
  </r>
  <r>
    <s v="L1821"/>
    <x v="3"/>
    <x v="1"/>
    <x v="1"/>
    <d v="2025-10-24T00:00:00"/>
    <x v="2"/>
    <x v="2"/>
    <m/>
    <x v="1"/>
    <x v="3"/>
    <m/>
    <s v=""/>
    <m/>
    <m/>
    <m/>
    <m/>
    <x v="2"/>
  </r>
  <r>
    <s v="L1822"/>
    <x v="2"/>
    <x v="0"/>
    <x v="0"/>
    <d v="2025-10-24T00:00:00"/>
    <x v="12"/>
    <x v="31"/>
    <d v="2025-11-03T00:00:00"/>
    <x v="0"/>
    <x v="0"/>
    <d v="2025-11-14T00:00:00"/>
    <n v="11"/>
    <n v="3"/>
    <n v="4"/>
    <n v="3"/>
    <n v="3"/>
    <x v="0"/>
  </r>
  <r>
    <s v="L1823"/>
    <x v="3"/>
    <x v="2"/>
    <x v="0"/>
    <d v="2025-10-05T00:00:00"/>
    <x v="21"/>
    <x v="21"/>
    <d v="2025-10-15T00:00:00"/>
    <x v="0"/>
    <x v="0"/>
    <d v="2025-10-28T00:00:00"/>
    <n v="13"/>
    <n v="5"/>
    <n v="3"/>
    <n v="2"/>
    <n v="4"/>
    <x v="0"/>
  </r>
  <r>
    <s v="L1824"/>
    <x v="1"/>
    <x v="0"/>
    <x v="1"/>
    <d v="2025-10-29T00:00:00"/>
    <x v="11"/>
    <x v="22"/>
    <d v="2025-11-10T00:00:00"/>
    <x v="1"/>
    <x v="4"/>
    <m/>
    <s v=""/>
    <n v="1"/>
    <n v="4"/>
    <n v="7"/>
    <m/>
    <x v="2"/>
  </r>
  <r>
    <s v="L1825"/>
    <x v="1"/>
    <x v="2"/>
    <x v="0"/>
    <d v="2025-10-14T00:00:00"/>
    <x v="14"/>
    <x v="20"/>
    <d v="2025-10-19T00:00:00"/>
    <x v="0"/>
    <x v="0"/>
    <d v="2025-11-18T00:00:00"/>
    <n v="30"/>
    <n v="1"/>
    <n v="1"/>
    <n v="3"/>
    <n v="3"/>
    <x v="0"/>
  </r>
  <r>
    <s v="L1826"/>
    <x v="3"/>
    <x v="0"/>
    <x v="0"/>
    <d v="2025-10-21T00:00:00"/>
    <x v="31"/>
    <x v="27"/>
    <d v="2025-10-29T00:00:00"/>
    <x v="0"/>
    <x v="0"/>
    <d v="2025-11-08T00:00:00"/>
    <n v="10"/>
    <n v="1"/>
    <n v="3"/>
    <n v="4"/>
    <n v="6"/>
    <x v="0"/>
  </r>
  <r>
    <s v="L1827"/>
    <x v="3"/>
    <x v="1"/>
    <x v="1"/>
    <d v="2025-10-04T00:00:00"/>
    <x v="2"/>
    <x v="2"/>
    <m/>
    <x v="1"/>
    <x v="4"/>
    <m/>
    <s v=""/>
    <m/>
    <m/>
    <m/>
    <m/>
    <x v="2"/>
  </r>
  <r>
    <s v="L1828"/>
    <x v="0"/>
    <x v="0"/>
    <x v="0"/>
    <d v="2025-10-27T00:00:00"/>
    <x v="28"/>
    <x v="31"/>
    <d v="2025-11-05T00:00:00"/>
    <x v="0"/>
    <x v="0"/>
    <d v="2025-11-16T00:00:00"/>
    <n v="11"/>
    <n v="1"/>
    <n v="3"/>
    <n v="5"/>
    <n v="2"/>
    <x v="0"/>
  </r>
  <r>
    <s v="L1829"/>
    <x v="1"/>
    <x v="0"/>
    <x v="1"/>
    <d v="2025-10-16T00:00:00"/>
    <x v="16"/>
    <x v="16"/>
    <d v="2025-10-29T00:00:00"/>
    <x v="1"/>
    <x v="2"/>
    <m/>
    <s v=""/>
    <n v="5"/>
    <n v="2"/>
    <n v="6"/>
    <m/>
    <x v="2"/>
  </r>
  <r>
    <s v="L1830"/>
    <x v="1"/>
    <x v="2"/>
    <x v="1"/>
    <d v="2025-10-20T00:00:00"/>
    <x v="18"/>
    <x v="18"/>
    <d v="2025-10-29T00:00:00"/>
    <x v="1"/>
    <x v="5"/>
    <m/>
    <s v=""/>
    <n v="3"/>
    <n v="4"/>
    <n v="2"/>
    <m/>
    <x v="2"/>
  </r>
  <r>
    <s v="L1831"/>
    <x v="3"/>
    <x v="2"/>
    <x v="0"/>
    <d v="2025-10-14T00:00:00"/>
    <x v="24"/>
    <x v="3"/>
    <d v="2025-10-28T00:00:00"/>
    <x v="0"/>
    <x v="0"/>
    <d v="2025-11-10T00:00:00"/>
    <n v="13"/>
    <n v="2"/>
    <n v="5"/>
    <n v="7"/>
    <n v="9"/>
    <x v="3"/>
  </r>
  <r>
    <s v="L1832"/>
    <x v="2"/>
    <x v="2"/>
    <x v="0"/>
    <d v="2025-10-31T00:00:00"/>
    <x v="32"/>
    <x v="39"/>
    <d v="2025-11-14T00:00:00"/>
    <x v="0"/>
    <x v="0"/>
    <d v="2025-12-07T00:00:00"/>
    <n v="23"/>
    <n v="5"/>
    <n v="5"/>
    <n v="4"/>
    <n v="9"/>
    <x v="3"/>
  </r>
  <r>
    <s v="L1833"/>
    <x v="1"/>
    <x v="0"/>
    <x v="0"/>
    <d v="2025-10-31T00:00:00"/>
    <x v="8"/>
    <x v="9"/>
    <d v="2025-11-10T00:00:00"/>
    <x v="0"/>
    <x v="0"/>
    <d v="2025-12-04T00:00:00"/>
    <n v="24"/>
    <n v="4"/>
    <n v="2"/>
    <n v="4"/>
    <n v="6"/>
    <x v="0"/>
  </r>
  <r>
    <s v="L1834"/>
    <x v="2"/>
    <x v="2"/>
    <x v="0"/>
    <d v="2025-10-09T00:00:00"/>
    <x v="1"/>
    <x v="11"/>
    <d v="2025-10-21T00:00:00"/>
    <x v="0"/>
    <x v="0"/>
    <d v="2025-11-12T00:00:00"/>
    <n v="22"/>
    <n v="5"/>
    <n v="4"/>
    <n v="3"/>
    <n v="8"/>
    <x v="1"/>
  </r>
  <r>
    <s v="L1835"/>
    <x v="3"/>
    <x v="0"/>
    <x v="1"/>
    <d v="2025-10-02T00:00:00"/>
    <x v="33"/>
    <x v="34"/>
    <d v="2025-10-06T00:00:00"/>
    <x v="1"/>
    <x v="3"/>
    <m/>
    <s v=""/>
    <n v="1"/>
    <n v="1"/>
    <n v="2"/>
    <m/>
    <x v="2"/>
  </r>
  <r>
    <s v="L1836"/>
    <x v="3"/>
    <x v="0"/>
    <x v="0"/>
    <d v="2025-10-23T00:00:00"/>
    <x v="12"/>
    <x v="0"/>
    <d v="2025-11-03T00:00:00"/>
    <x v="0"/>
    <x v="0"/>
    <d v="2025-11-16T00:00:00"/>
    <n v="13"/>
    <n v="4"/>
    <n v="2"/>
    <n v="5"/>
    <n v="2"/>
    <x v="0"/>
  </r>
  <r>
    <s v="L1837"/>
    <x v="0"/>
    <x v="0"/>
    <x v="0"/>
    <d v="2025-10-12T00:00:00"/>
    <x v="7"/>
    <x v="6"/>
    <d v="2025-10-25T00:00:00"/>
    <x v="0"/>
    <x v="0"/>
    <d v="2025-11-21T00:00:00"/>
    <n v="27"/>
    <n v="5"/>
    <n v="3"/>
    <n v="5"/>
    <n v="6"/>
    <x v="0"/>
  </r>
  <r>
    <s v="L1838"/>
    <x v="1"/>
    <x v="2"/>
    <x v="0"/>
    <d v="2025-10-07T00:00:00"/>
    <x v="21"/>
    <x v="30"/>
    <d v="2025-10-17T00:00:00"/>
    <x v="0"/>
    <x v="0"/>
    <d v="2025-11-04T00:00:00"/>
    <n v="18"/>
    <n v="3"/>
    <n v="1"/>
    <n v="6"/>
    <n v="6"/>
    <x v="0"/>
  </r>
  <r>
    <s v="L1839"/>
    <x v="2"/>
    <x v="2"/>
    <x v="0"/>
    <d v="2025-10-15T00:00:00"/>
    <x v="3"/>
    <x v="24"/>
    <d v="2025-10-29T00:00:00"/>
    <x v="0"/>
    <x v="0"/>
    <d v="2025-11-23T00:00:00"/>
    <n v="25"/>
    <n v="3"/>
    <n v="4"/>
    <n v="7"/>
    <n v="9"/>
    <x v="3"/>
  </r>
  <r>
    <s v="L1840"/>
    <x v="0"/>
    <x v="1"/>
    <x v="1"/>
    <d v="2025-10-15T00:00:00"/>
    <x v="2"/>
    <x v="2"/>
    <m/>
    <x v="1"/>
    <x v="3"/>
    <m/>
    <s v=""/>
    <m/>
    <m/>
    <m/>
    <m/>
    <x v="2"/>
  </r>
  <r>
    <s v="L1841"/>
    <x v="1"/>
    <x v="0"/>
    <x v="0"/>
    <d v="2025-10-31T00:00:00"/>
    <x v="8"/>
    <x v="38"/>
    <d v="2025-11-13T00:00:00"/>
    <x v="0"/>
    <x v="0"/>
    <d v="2025-11-27T00:00:00"/>
    <n v="14"/>
    <n v="4"/>
    <n v="3"/>
    <n v="6"/>
    <n v="9"/>
    <x v="3"/>
  </r>
  <r>
    <s v="L1842"/>
    <x v="0"/>
    <x v="0"/>
    <x v="0"/>
    <d v="2025-10-08T00:00:00"/>
    <x v="21"/>
    <x v="17"/>
    <d v="2025-10-18T00:00:00"/>
    <x v="0"/>
    <x v="0"/>
    <d v="2025-11-03T00:00:00"/>
    <n v="16"/>
    <n v="2"/>
    <n v="5"/>
    <n v="3"/>
    <n v="0"/>
    <x v="0"/>
  </r>
  <r>
    <s v="L1843"/>
    <x v="3"/>
    <x v="2"/>
    <x v="1"/>
    <d v="2025-10-28T00:00:00"/>
    <x v="10"/>
    <x v="7"/>
    <d v="2025-11-07T00:00:00"/>
    <x v="1"/>
    <x v="3"/>
    <m/>
    <s v=""/>
    <n v="4"/>
    <n v="4"/>
    <n v="2"/>
    <m/>
    <x v="2"/>
  </r>
  <r>
    <s v="L1844"/>
    <x v="1"/>
    <x v="1"/>
    <x v="1"/>
    <d v="2025-10-12T00:00:00"/>
    <x v="2"/>
    <x v="2"/>
    <m/>
    <x v="1"/>
    <x v="2"/>
    <m/>
    <s v=""/>
    <m/>
    <m/>
    <m/>
    <m/>
    <x v="2"/>
  </r>
  <r>
    <s v="L1845"/>
    <x v="0"/>
    <x v="0"/>
    <x v="0"/>
    <d v="2025-10-04T00:00:00"/>
    <x v="15"/>
    <x v="13"/>
    <d v="2025-10-15T00:00:00"/>
    <x v="0"/>
    <x v="0"/>
    <d v="2025-11-14T00:00:00"/>
    <n v="30"/>
    <n v="3"/>
    <n v="3"/>
    <n v="5"/>
    <n v="7"/>
    <x v="1"/>
  </r>
  <r>
    <s v="L1846"/>
    <x v="0"/>
    <x v="0"/>
    <x v="0"/>
    <d v="2025-10-22T00:00:00"/>
    <x v="25"/>
    <x v="15"/>
    <d v="2025-11-01T00:00:00"/>
    <x v="0"/>
    <x v="0"/>
    <d v="2025-11-11T00:00:00"/>
    <n v="10"/>
    <n v="4"/>
    <n v="4"/>
    <n v="2"/>
    <n v="3"/>
    <x v="0"/>
  </r>
  <r>
    <s v="L1847"/>
    <x v="2"/>
    <x v="1"/>
    <x v="1"/>
    <d v="2025-10-12T00:00:00"/>
    <x v="2"/>
    <x v="2"/>
    <m/>
    <x v="1"/>
    <x v="4"/>
    <m/>
    <s v=""/>
    <m/>
    <m/>
    <m/>
    <m/>
    <x v="2"/>
  </r>
  <r>
    <s v="L1848"/>
    <x v="0"/>
    <x v="2"/>
    <x v="0"/>
    <d v="2025-10-18T00:00:00"/>
    <x v="22"/>
    <x v="24"/>
    <d v="2025-10-25T00:00:00"/>
    <x v="0"/>
    <x v="0"/>
    <d v="2025-11-13T00:00:00"/>
    <n v="19"/>
    <n v="1"/>
    <n v="3"/>
    <n v="3"/>
    <n v="5"/>
    <x v="0"/>
  </r>
  <r>
    <s v="L1849"/>
    <x v="1"/>
    <x v="0"/>
    <x v="0"/>
    <d v="2025-10-29T00:00:00"/>
    <x v="11"/>
    <x v="22"/>
    <d v="2025-11-05T00:00:00"/>
    <x v="0"/>
    <x v="0"/>
    <d v="2025-11-28T00:00:00"/>
    <n v="23"/>
    <n v="1"/>
    <n v="4"/>
    <n v="2"/>
    <n v="6"/>
    <x v="0"/>
  </r>
  <r>
    <s v="L1850"/>
    <x v="1"/>
    <x v="0"/>
    <x v="0"/>
    <d v="2025-10-21T00:00:00"/>
    <x v="18"/>
    <x v="8"/>
    <d v="2025-10-30T00:00:00"/>
    <x v="0"/>
    <x v="0"/>
    <d v="2025-11-12T00:00:00"/>
    <n v="13"/>
    <n v="2"/>
    <n v="5"/>
    <n v="2"/>
    <n v="4"/>
    <x v="0"/>
  </r>
  <r>
    <s v="L1851"/>
    <x v="2"/>
    <x v="2"/>
    <x v="0"/>
    <d v="2025-10-12T00:00:00"/>
    <x v="24"/>
    <x v="11"/>
    <d v="2025-10-20T00:00:00"/>
    <x v="0"/>
    <x v="0"/>
    <d v="2025-11-15T00:00:00"/>
    <n v="26"/>
    <n v="4"/>
    <n v="2"/>
    <n v="2"/>
    <n v="9"/>
    <x v="3"/>
  </r>
  <r>
    <s v="L1852"/>
    <x v="1"/>
    <x v="1"/>
    <x v="1"/>
    <d v="2025-10-02T00:00:00"/>
    <x v="2"/>
    <x v="2"/>
    <m/>
    <x v="1"/>
    <x v="5"/>
    <m/>
    <s v=""/>
    <m/>
    <m/>
    <m/>
    <m/>
    <x v="2"/>
  </r>
  <r>
    <s v="L1853"/>
    <x v="3"/>
    <x v="0"/>
    <x v="1"/>
    <d v="2025-10-13T00:00:00"/>
    <x v="7"/>
    <x v="6"/>
    <d v="2025-10-23T00:00:00"/>
    <x v="1"/>
    <x v="1"/>
    <m/>
    <s v=""/>
    <n v="4"/>
    <n v="3"/>
    <n v="3"/>
    <m/>
    <x v="2"/>
  </r>
  <r>
    <s v="L1854"/>
    <x v="1"/>
    <x v="0"/>
    <x v="0"/>
    <d v="2025-10-09T00:00:00"/>
    <x v="19"/>
    <x v="20"/>
    <d v="2025-10-19T00:00:00"/>
    <x v="0"/>
    <x v="0"/>
    <d v="2025-11-06T00:00:00"/>
    <n v="18"/>
    <n v="4"/>
    <n v="3"/>
    <n v="3"/>
    <n v="2"/>
    <x v="0"/>
  </r>
  <r>
    <s v="L1855"/>
    <x v="1"/>
    <x v="2"/>
    <x v="0"/>
    <d v="2025-10-07T00:00:00"/>
    <x v="17"/>
    <x v="20"/>
    <d v="2025-10-19T00:00:00"/>
    <x v="0"/>
    <x v="0"/>
    <d v="2025-11-17T00:00:00"/>
    <n v="29"/>
    <n v="4"/>
    <n v="5"/>
    <n v="3"/>
    <n v="7"/>
    <x v="1"/>
  </r>
  <r>
    <s v="L1856"/>
    <x v="0"/>
    <x v="2"/>
    <x v="0"/>
    <d v="2025-10-31T00:00:00"/>
    <x v="34"/>
    <x v="4"/>
    <d v="2025-11-09T00:00:00"/>
    <x v="0"/>
    <x v="0"/>
    <d v="2025-12-08T00:00:00"/>
    <n v="29"/>
    <n v="2"/>
    <n v="2"/>
    <n v="5"/>
    <n v="1"/>
    <x v="0"/>
  </r>
  <r>
    <s v="L1857"/>
    <x v="0"/>
    <x v="0"/>
    <x v="0"/>
    <d v="2025-10-04T00:00:00"/>
    <x v="15"/>
    <x v="30"/>
    <d v="2025-10-15T00:00:00"/>
    <x v="0"/>
    <x v="0"/>
    <d v="2025-10-29T00:00:00"/>
    <n v="14"/>
    <n v="3"/>
    <n v="4"/>
    <n v="4"/>
    <n v="3"/>
    <x v="0"/>
  </r>
  <r>
    <s v="L1858"/>
    <x v="1"/>
    <x v="0"/>
    <x v="0"/>
    <d v="2025-10-31T00:00:00"/>
    <x v="32"/>
    <x v="33"/>
    <d v="2025-11-15T00:00:00"/>
    <x v="0"/>
    <x v="0"/>
    <d v="2025-12-08T00:00:00"/>
    <n v="23"/>
    <n v="5"/>
    <n v="3"/>
    <n v="7"/>
    <n v="7"/>
    <x v="1"/>
  </r>
  <r>
    <s v="L1859"/>
    <x v="2"/>
    <x v="2"/>
    <x v="0"/>
    <d v="2025-10-28T00:00:00"/>
    <x v="11"/>
    <x v="12"/>
    <d v="2025-11-08T00:00:00"/>
    <x v="0"/>
    <x v="0"/>
    <d v="2025-11-21T00:00:00"/>
    <n v="13"/>
    <n v="2"/>
    <n v="2"/>
    <n v="7"/>
    <n v="4"/>
    <x v="0"/>
  </r>
  <r>
    <s v="L1860"/>
    <x v="0"/>
    <x v="0"/>
    <x v="0"/>
    <d v="2025-10-27T00:00:00"/>
    <x v="11"/>
    <x v="22"/>
    <d v="2025-11-10T00:00:00"/>
    <x v="0"/>
    <x v="0"/>
    <d v="2025-12-06T00:00:00"/>
    <n v="26"/>
    <n v="3"/>
    <n v="4"/>
    <n v="7"/>
    <n v="2"/>
    <x v="0"/>
  </r>
  <r>
    <s v="L1861"/>
    <x v="2"/>
    <x v="0"/>
    <x v="0"/>
    <d v="2025-10-15T00:00:00"/>
    <x v="3"/>
    <x v="3"/>
    <d v="2025-10-23T00:00:00"/>
    <x v="0"/>
    <x v="0"/>
    <d v="2025-11-21T00:00:00"/>
    <n v="29"/>
    <n v="3"/>
    <n v="3"/>
    <n v="2"/>
    <n v="5"/>
    <x v="0"/>
  </r>
  <r>
    <s v="L1862"/>
    <x v="1"/>
    <x v="2"/>
    <x v="1"/>
    <d v="2025-10-03T00:00:00"/>
    <x v="13"/>
    <x v="37"/>
    <d v="2025-10-15T00:00:00"/>
    <x v="1"/>
    <x v="4"/>
    <m/>
    <s v=""/>
    <n v="3"/>
    <n v="3"/>
    <n v="6"/>
    <m/>
    <x v="2"/>
  </r>
  <r>
    <s v="L1863"/>
    <x v="1"/>
    <x v="0"/>
    <x v="0"/>
    <d v="2025-10-22T00:00:00"/>
    <x v="25"/>
    <x v="15"/>
    <d v="2025-11-05T00:00:00"/>
    <x v="0"/>
    <x v="0"/>
    <d v="2025-11-18T00:00:00"/>
    <n v="13"/>
    <n v="4"/>
    <n v="4"/>
    <n v="6"/>
    <n v="9"/>
    <x v="3"/>
  </r>
  <r>
    <s v="L1864"/>
    <x v="3"/>
    <x v="2"/>
    <x v="0"/>
    <d v="2025-10-07T00:00:00"/>
    <x v="27"/>
    <x v="23"/>
    <d v="2025-10-18T00:00:00"/>
    <x v="0"/>
    <x v="0"/>
    <d v="2025-11-06T00:00:00"/>
    <n v="19"/>
    <n v="2"/>
    <n v="5"/>
    <n v="4"/>
    <n v="4"/>
    <x v="0"/>
  </r>
  <r>
    <s v="L1865"/>
    <x v="0"/>
    <x v="1"/>
    <x v="1"/>
    <d v="2025-10-21T00:00:00"/>
    <x v="2"/>
    <x v="2"/>
    <m/>
    <x v="1"/>
    <x v="2"/>
    <m/>
    <s v=""/>
    <m/>
    <m/>
    <m/>
    <m/>
    <x v="2"/>
  </r>
  <r>
    <s v="L1866"/>
    <x v="1"/>
    <x v="0"/>
    <x v="0"/>
    <d v="2025-10-21T00:00:00"/>
    <x v="9"/>
    <x v="26"/>
    <d v="2025-10-28T00:00:00"/>
    <x v="0"/>
    <x v="0"/>
    <d v="2025-11-10T00:00:00"/>
    <n v="13"/>
    <n v="3"/>
    <n v="2"/>
    <n v="2"/>
    <n v="9"/>
    <x v="3"/>
  </r>
  <r>
    <s v="L1867"/>
    <x v="3"/>
    <x v="2"/>
    <x v="0"/>
    <d v="2025-10-20T00:00:00"/>
    <x v="0"/>
    <x v="8"/>
    <d v="2025-10-30T00:00:00"/>
    <x v="0"/>
    <x v="0"/>
    <d v="2025-11-12T00:00:00"/>
    <n v="13"/>
    <n v="5"/>
    <n v="3"/>
    <n v="2"/>
    <n v="9"/>
    <x v="3"/>
  </r>
  <r>
    <s v="L1868"/>
    <x v="0"/>
    <x v="0"/>
    <x v="0"/>
    <d v="2025-10-01T00:00:00"/>
    <x v="13"/>
    <x v="13"/>
    <d v="2025-10-12T00:00:00"/>
    <x v="0"/>
    <x v="0"/>
    <d v="2025-11-06T00:00:00"/>
    <n v="25"/>
    <n v="5"/>
    <n v="4"/>
    <n v="2"/>
    <n v="5"/>
    <x v="0"/>
  </r>
  <r>
    <s v="L1869"/>
    <x v="1"/>
    <x v="0"/>
    <x v="0"/>
    <d v="2025-10-02T00:00:00"/>
    <x v="33"/>
    <x v="29"/>
    <d v="2025-10-09T00:00:00"/>
    <x v="0"/>
    <x v="0"/>
    <d v="2025-10-25T00:00:00"/>
    <n v="16"/>
    <n v="1"/>
    <n v="3"/>
    <n v="3"/>
    <n v="1"/>
    <x v="0"/>
  </r>
  <r>
    <s v="L1870"/>
    <x v="1"/>
    <x v="0"/>
    <x v="0"/>
    <d v="2025-10-26T00:00:00"/>
    <x v="23"/>
    <x v="10"/>
    <d v="2025-11-09T00:00:00"/>
    <x v="0"/>
    <x v="0"/>
    <d v="2025-12-08T00:00:00"/>
    <n v="29"/>
    <n v="3"/>
    <n v="4"/>
    <n v="7"/>
    <n v="8"/>
    <x v="1"/>
  </r>
  <r>
    <s v="L1871"/>
    <x v="0"/>
    <x v="0"/>
    <x v="0"/>
    <d v="2025-10-11T00:00:00"/>
    <x v="19"/>
    <x v="20"/>
    <d v="2025-10-21T00:00:00"/>
    <x v="0"/>
    <x v="0"/>
    <d v="2025-11-06T00:00:00"/>
    <n v="16"/>
    <n v="2"/>
    <n v="3"/>
    <n v="5"/>
    <n v="7"/>
    <x v="1"/>
  </r>
  <r>
    <s v="L1872"/>
    <x v="0"/>
    <x v="0"/>
    <x v="0"/>
    <d v="2025-10-08T00:00:00"/>
    <x v="20"/>
    <x v="21"/>
    <d v="2025-10-16T00:00:00"/>
    <x v="0"/>
    <x v="0"/>
    <d v="2025-11-03T00:00:00"/>
    <n v="18"/>
    <n v="4"/>
    <n v="1"/>
    <n v="3"/>
    <n v="5"/>
    <x v="0"/>
  </r>
  <r>
    <s v="L1873"/>
    <x v="0"/>
    <x v="2"/>
    <x v="0"/>
    <d v="2025-10-05T00:00:00"/>
    <x v="13"/>
    <x v="30"/>
    <d v="2025-10-13T00:00:00"/>
    <x v="0"/>
    <x v="0"/>
    <d v="2025-11-08T00:00:00"/>
    <n v="26"/>
    <n v="1"/>
    <n v="5"/>
    <n v="2"/>
    <n v="4"/>
    <x v="0"/>
  </r>
  <r>
    <s v="L1874"/>
    <x v="1"/>
    <x v="2"/>
    <x v="0"/>
    <d v="2025-10-26T00:00:00"/>
    <x v="23"/>
    <x v="31"/>
    <d v="2025-11-04T00:00:00"/>
    <x v="0"/>
    <x v="0"/>
    <d v="2025-11-20T00:00:00"/>
    <n v="16"/>
    <n v="3"/>
    <n v="2"/>
    <n v="4"/>
    <n v="3"/>
    <x v="0"/>
  </r>
  <r>
    <s v="L1875"/>
    <x v="1"/>
    <x v="2"/>
    <x v="0"/>
    <d v="2025-10-19T00:00:00"/>
    <x v="18"/>
    <x v="8"/>
    <d v="2025-10-30T00:00:00"/>
    <x v="0"/>
    <x v="0"/>
    <d v="2025-11-20T00:00:00"/>
    <n v="21"/>
    <n v="4"/>
    <n v="5"/>
    <n v="2"/>
    <n v="6"/>
    <x v="0"/>
  </r>
  <r>
    <s v="L1876"/>
    <x v="3"/>
    <x v="0"/>
    <x v="0"/>
    <d v="2025-10-07T00:00:00"/>
    <x v="27"/>
    <x v="23"/>
    <d v="2025-10-16T00:00:00"/>
    <x v="0"/>
    <x v="0"/>
    <d v="2025-11-08T00:00:00"/>
    <n v="23"/>
    <n v="2"/>
    <n v="5"/>
    <n v="2"/>
    <n v="2"/>
    <x v="0"/>
  </r>
  <r>
    <s v="L1877"/>
    <x v="2"/>
    <x v="1"/>
    <x v="1"/>
    <d v="2025-10-03T00:00:00"/>
    <x v="2"/>
    <x v="2"/>
    <m/>
    <x v="1"/>
    <x v="4"/>
    <m/>
    <s v=""/>
    <m/>
    <m/>
    <m/>
    <m/>
    <x v="2"/>
  </r>
  <r>
    <s v="L1878"/>
    <x v="0"/>
    <x v="0"/>
    <x v="0"/>
    <d v="2025-10-27T00:00:00"/>
    <x v="23"/>
    <x v="31"/>
    <d v="2025-11-05T00:00:00"/>
    <x v="0"/>
    <x v="0"/>
    <d v="2025-11-24T00:00:00"/>
    <n v="19"/>
    <n v="2"/>
    <n v="2"/>
    <n v="5"/>
    <n v="4"/>
    <x v="0"/>
  </r>
  <r>
    <s v="L1879"/>
    <x v="1"/>
    <x v="2"/>
    <x v="0"/>
    <d v="2025-10-25T00:00:00"/>
    <x v="25"/>
    <x v="31"/>
    <d v="2025-11-02T00:00:00"/>
    <x v="0"/>
    <x v="0"/>
    <d v="2025-11-17T00:00:00"/>
    <n v="15"/>
    <n v="1"/>
    <n v="5"/>
    <n v="2"/>
    <n v="4"/>
    <x v="0"/>
  </r>
  <r>
    <s v="L1880"/>
    <x v="1"/>
    <x v="0"/>
    <x v="0"/>
    <d v="2025-10-18T00:00:00"/>
    <x v="22"/>
    <x v="6"/>
    <d v="2025-10-23T00:00:00"/>
    <x v="0"/>
    <x v="0"/>
    <d v="2025-11-03T00:00:00"/>
    <n v="11"/>
    <n v="1"/>
    <n v="1"/>
    <n v="3"/>
    <n v="2"/>
    <x v="0"/>
  </r>
  <r>
    <s v="L1881"/>
    <x v="0"/>
    <x v="1"/>
    <x v="1"/>
    <d v="2025-10-07T00:00:00"/>
    <x v="2"/>
    <x v="2"/>
    <m/>
    <x v="1"/>
    <x v="4"/>
    <m/>
    <s v=""/>
    <m/>
    <m/>
    <m/>
    <m/>
    <x v="2"/>
  </r>
  <r>
    <s v="L1882"/>
    <x v="2"/>
    <x v="0"/>
    <x v="0"/>
    <d v="2025-10-19T00:00:00"/>
    <x v="31"/>
    <x v="26"/>
    <d v="2025-11-01T00:00:00"/>
    <x v="0"/>
    <x v="0"/>
    <d v="2025-11-28T00:00:00"/>
    <n v="27"/>
    <n v="3"/>
    <n v="4"/>
    <n v="6"/>
    <n v="4"/>
    <x v="0"/>
  </r>
  <r>
    <s v="L1883"/>
    <x v="0"/>
    <x v="1"/>
    <x v="1"/>
    <d v="2025-10-07T00:00:00"/>
    <x v="2"/>
    <x v="2"/>
    <m/>
    <x v="1"/>
    <x v="2"/>
    <m/>
    <s v=""/>
    <m/>
    <m/>
    <m/>
    <m/>
    <x v="2"/>
  </r>
  <r>
    <s v="L1884"/>
    <x v="2"/>
    <x v="2"/>
    <x v="0"/>
    <d v="2025-10-27T00:00:00"/>
    <x v="4"/>
    <x v="10"/>
    <d v="2025-11-07T00:00:00"/>
    <x v="0"/>
    <x v="0"/>
    <d v="2025-12-02T00:00:00"/>
    <n v="25"/>
    <n v="4"/>
    <n v="2"/>
    <n v="5"/>
    <n v="7"/>
    <x v="1"/>
  </r>
  <r>
    <s v="L1885"/>
    <x v="1"/>
    <x v="2"/>
    <x v="0"/>
    <d v="2025-10-28T00:00:00"/>
    <x v="34"/>
    <x v="9"/>
    <d v="2025-11-13T00:00:00"/>
    <x v="0"/>
    <x v="0"/>
    <d v="2025-11-29T00:00:00"/>
    <n v="16"/>
    <n v="5"/>
    <n v="4"/>
    <n v="7"/>
    <n v="3"/>
    <x v="0"/>
  </r>
  <r>
    <s v="L1886"/>
    <x v="2"/>
    <x v="1"/>
    <x v="1"/>
    <d v="2025-10-08T00:00:00"/>
    <x v="2"/>
    <x v="2"/>
    <m/>
    <x v="1"/>
    <x v="3"/>
    <m/>
    <s v=""/>
    <m/>
    <m/>
    <m/>
    <m/>
    <x v="2"/>
  </r>
  <r>
    <s v="L1887"/>
    <x v="3"/>
    <x v="0"/>
    <x v="0"/>
    <d v="2025-10-11T00:00:00"/>
    <x v="14"/>
    <x v="11"/>
    <d v="2025-10-23T00:00:00"/>
    <x v="0"/>
    <x v="0"/>
    <d v="2025-11-17T00:00:00"/>
    <n v="25"/>
    <n v="4"/>
    <n v="3"/>
    <n v="5"/>
    <n v="7"/>
    <x v="1"/>
  </r>
  <r>
    <s v="L1888"/>
    <x v="1"/>
    <x v="0"/>
    <x v="0"/>
    <d v="2025-10-25T00:00:00"/>
    <x v="12"/>
    <x v="8"/>
    <d v="2025-11-02T00:00:00"/>
    <x v="0"/>
    <x v="0"/>
    <d v="2025-11-22T00:00:00"/>
    <n v="20"/>
    <n v="2"/>
    <n v="1"/>
    <n v="5"/>
    <n v="9"/>
    <x v="3"/>
  </r>
  <r>
    <s v="L1889"/>
    <x v="3"/>
    <x v="0"/>
    <x v="0"/>
    <d v="2025-10-05T00:00:00"/>
    <x v="15"/>
    <x v="30"/>
    <d v="2025-10-13T00:00:00"/>
    <x v="0"/>
    <x v="0"/>
    <d v="2025-10-30T00:00:00"/>
    <n v="17"/>
    <n v="2"/>
    <n v="4"/>
    <n v="2"/>
    <n v="4"/>
    <x v="0"/>
  </r>
  <r>
    <s v="L1890"/>
    <x v="0"/>
    <x v="1"/>
    <x v="1"/>
    <d v="2025-10-26T00:00:00"/>
    <x v="2"/>
    <x v="2"/>
    <m/>
    <x v="1"/>
    <x v="3"/>
    <m/>
    <s v=""/>
    <m/>
    <m/>
    <m/>
    <m/>
    <x v="2"/>
  </r>
  <r>
    <s v="L1891"/>
    <x v="0"/>
    <x v="0"/>
    <x v="0"/>
    <d v="2025-10-29T00:00:00"/>
    <x v="10"/>
    <x v="7"/>
    <d v="2025-11-10T00:00:00"/>
    <x v="0"/>
    <x v="0"/>
    <d v="2025-11-20T00:00:00"/>
    <n v="10"/>
    <n v="3"/>
    <n v="4"/>
    <n v="5"/>
    <n v="7"/>
    <x v="1"/>
  </r>
  <r>
    <s v="L1892"/>
    <x v="0"/>
    <x v="0"/>
    <x v="0"/>
    <d v="2025-10-20T00:00:00"/>
    <x v="0"/>
    <x v="18"/>
    <d v="2025-11-03T00:00:00"/>
    <x v="0"/>
    <x v="0"/>
    <d v="2025-11-13T00:00:00"/>
    <n v="10"/>
    <n v="5"/>
    <n v="2"/>
    <n v="7"/>
    <n v="7"/>
    <x v="1"/>
  </r>
  <r>
    <s v="L1893"/>
    <x v="2"/>
    <x v="0"/>
    <x v="0"/>
    <d v="2025-10-01T00:00:00"/>
    <x v="26"/>
    <x v="36"/>
    <d v="2025-10-12T00:00:00"/>
    <x v="0"/>
    <x v="0"/>
    <d v="2025-10-24T00:00:00"/>
    <n v="12"/>
    <n v="3"/>
    <n v="3"/>
    <n v="5"/>
    <n v="7"/>
    <x v="1"/>
  </r>
  <r>
    <s v="L1894"/>
    <x v="1"/>
    <x v="0"/>
    <x v="0"/>
    <d v="2025-10-09T00:00:00"/>
    <x v="17"/>
    <x v="21"/>
    <d v="2025-10-16T00:00:00"/>
    <x v="0"/>
    <x v="0"/>
    <d v="2025-10-29T00:00:00"/>
    <n v="13"/>
    <n v="2"/>
    <n v="2"/>
    <n v="3"/>
    <n v="1"/>
    <x v="0"/>
  </r>
  <r>
    <s v="L1895"/>
    <x v="0"/>
    <x v="0"/>
    <x v="1"/>
    <d v="2025-10-28T00:00:00"/>
    <x v="11"/>
    <x v="10"/>
    <d v="2025-11-06T00:00:00"/>
    <x v="1"/>
    <x v="5"/>
    <m/>
    <s v=""/>
    <n v="2"/>
    <n v="3"/>
    <n v="4"/>
    <m/>
    <x v="2"/>
  </r>
  <r>
    <s v="L1896"/>
    <x v="0"/>
    <x v="1"/>
    <x v="1"/>
    <d v="2025-10-05T00:00:00"/>
    <x v="2"/>
    <x v="2"/>
    <m/>
    <x v="1"/>
    <x v="5"/>
    <m/>
    <s v=""/>
    <m/>
    <m/>
    <m/>
    <m/>
    <x v="2"/>
  </r>
  <r>
    <s v="L1897"/>
    <x v="1"/>
    <x v="1"/>
    <x v="1"/>
    <d v="2025-10-05T00:00:00"/>
    <x v="2"/>
    <x v="2"/>
    <m/>
    <x v="1"/>
    <x v="3"/>
    <m/>
    <s v=""/>
    <m/>
    <m/>
    <m/>
    <m/>
    <x v="2"/>
  </r>
  <r>
    <s v="L1898"/>
    <x v="0"/>
    <x v="1"/>
    <x v="1"/>
    <d v="2025-10-18T00:00:00"/>
    <x v="2"/>
    <x v="2"/>
    <m/>
    <x v="1"/>
    <x v="1"/>
    <m/>
    <s v=""/>
    <m/>
    <m/>
    <m/>
    <m/>
    <x v="2"/>
  </r>
  <r>
    <s v="L1899"/>
    <x v="3"/>
    <x v="2"/>
    <x v="0"/>
    <d v="2025-10-09T00:00:00"/>
    <x v="19"/>
    <x v="17"/>
    <d v="2025-10-18T00:00:00"/>
    <x v="0"/>
    <x v="0"/>
    <d v="2025-11-15T00:00:00"/>
    <n v="28"/>
    <n v="4"/>
    <n v="2"/>
    <n v="3"/>
    <n v="9"/>
    <x v="3"/>
  </r>
  <r>
    <s v="L1900"/>
    <x v="1"/>
    <x v="0"/>
    <x v="0"/>
    <d v="2025-10-26T00:00:00"/>
    <x v="4"/>
    <x v="4"/>
    <d v="2025-11-07T00:00:00"/>
    <x v="0"/>
    <x v="0"/>
    <d v="2025-12-02T00:00:00"/>
    <n v="25"/>
    <n v="5"/>
    <n v="4"/>
    <n v="3"/>
    <n v="10"/>
    <x v="3"/>
  </r>
  <r>
    <s v="L1901"/>
    <x v="1"/>
    <x v="0"/>
    <x v="0"/>
    <d v="2025-10-06T00:00:00"/>
    <x v="21"/>
    <x v="23"/>
    <d v="2025-10-18T00:00:00"/>
    <x v="0"/>
    <x v="0"/>
    <d v="2025-11-01T00:00:00"/>
    <n v="14"/>
    <n v="4"/>
    <n v="4"/>
    <n v="4"/>
    <n v="0"/>
    <x v="0"/>
  </r>
  <r>
    <s v="L1902"/>
    <x v="1"/>
    <x v="0"/>
    <x v="0"/>
    <d v="2025-10-04T00:00:00"/>
    <x v="30"/>
    <x v="37"/>
    <d v="2025-10-13T00:00:00"/>
    <x v="0"/>
    <x v="0"/>
    <d v="2025-10-25T00:00:00"/>
    <n v="12"/>
    <n v="4"/>
    <n v="1"/>
    <n v="4"/>
    <n v="5"/>
    <x v="0"/>
  </r>
  <r>
    <s v="L1903"/>
    <x v="3"/>
    <x v="0"/>
    <x v="0"/>
    <d v="2025-10-22T00:00:00"/>
    <x v="0"/>
    <x v="0"/>
    <d v="2025-11-03T00:00:00"/>
    <x v="0"/>
    <x v="0"/>
    <d v="2025-11-29T00:00:00"/>
    <n v="26"/>
    <n v="3"/>
    <n v="4"/>
    <n v="5"/>
    <n v="9"/>
    <x v="3"/>
  </r>
  <r>
    <s v="L1904"/>
    <x v="1"/>
    <x v="1"/>
    <x v="1"/>
    <d v="2025-10-28T00:00:00"/>
    <x v="2"/>
    <x v="2"/>
    <m/>
    <x v="1"/>
    <x v="4"/>
    <m/>
    <s v=""/>
    <m/>
    <m/>
    <m/>
    <m/>
    <x v="2"/>
  </r>
  <r>
    <s v="L1905"/>
    <x v="3"/>
    <x v="0"/>
    <x v="0"/>
    <d v="2025-10-01T00:00:00"/>
    <x v="6"/>
    <x v="13"/>
    <d v="2025-10-13T00:00:00"/>
    <x v="0"/>
    <x v="0"/>
    <d v="2025-10-25T00:00:00"/>
    <n v="12"/>
    <n v="4"/>
    <n v="5"/>
    <n v="3"/>
    <n v="7"/>
    <x v="1"/>
  </r>
  <r>
    <s v="L1906"/>
    <x v="1"/>
    <x v="0"/>
    <x v="0"/>
    <d v="2025-10-05T00:00:00"/>
    <x v="13"/>
    <x v="13"/>
    <d v="2025-10-12T00:00:00"/>
    <x v="0"/>
    <x v="0"/>
    <d v="2025-10-25T00:00:00"/>
    <n v="13"/>
    <n v="1"/>
    <n v="4"/>
    <n v="2"/>
    <n v="4"/>
    <x v="0"/>
  </r>
  <r>
    <s v="L1907"/>
    <x v="2"/>
    <x v="2"/>
    <x v="0"/>
    <d v="2025-10-01T00:00:00"/>
    <x v="29"/>
    <x v="36"/>
    <d v="2025-10-13T00:00:00"/>
    <x v="0"/>
    <x v="0"/>
    <d v="2025-10-31T00:00:00"/>
    <n v="18"/>
    <n v="1"/>
    <n v="5"/>
    <n v="6"/>
    <n v="2"/>
    <x v="0"/>
  </r>
  <r>
    <s v="L1908"/>
    <x v="0"/>
    <x v="0"/>
    <x v="0"/>
    <d v="2025-10-12T00:00:00"/>
    <x v="24"/>
    <x v="6"/>
    <d v="2025-10-26T00:00:00"/>
    <x v="0"/>
    <x v="0"/>
    <d v="2025-11-25T00:00:00"/>
    <n v="30"/>
    <n v="4"/>
    <n v="4"/>
    <n v="6"/>
    <n v="8"/>
    <x v="1"/>
  </r>
  <r>
    <s v="L1909"/>
    <x v="2"/>
    <x v="0"/>
    <x v="0"/>
    <d v="2025-10-26T00:00:00"/>
    <x v="4"/>
    <x v="7"/>
    <d v="2025-11-11T00:00:00"/>
    <x v="0"/>
    <x v="0"/>
    <d v="2025-11-28T00:00:00"/>
    <n v="17"/>
    <n v="5"/>
    <n v="5"/>
    <n v="6"/>
    <n v="2"/>
    <x v="0"/>
  </r>
  <r>
    <s v="L1910"/>
    <x v="0"/>
    <x v="0"/>
    <x v="0"/>
    <d v="2025-10-26T00:00:00"/>
    <x v="11"/>
    <x v="4"/>
    <d v="2025-11-07T00:00:00"/>
    <x v="0"/>
    <x v="0"/>
    <d v="2025-12-01T00:00:00"/>
    <n v="24"/>
    <n v="4"/>
    <n v="5"/>
    <n v="3"/>
    <n v="4"/>
    <x v="0"/>
  </r>
  <r>
    <s v="L1911"/>
    <x v="3"/>
    <x v="2"/>
    <x v="0"/>
    <d v="2025-10-08T00:00:00"/>
    <x v="21"/>
    <x v="23"/>
    <d v="2025-10-21T00:00:00"/>
    <x v="0"/>
    <x v="0"/>
    <d v="2025-11-09T00:00:00"/>
    <n v="19"/>
    <n v="2"/>
    <n v="4"/>
    <n v="7"/>
    <n v="1"/>
    <x v="0"/>
  </r>
  <r>
    <s v="L1912"/>
    <x v="2"/>
    <x v="2"/>
    <x v="0"/>
    <d v="2025-10-19T00:00:00"/>
    <x v="16"/>
    <x v="26"/>
    <d v="2025-10-30T00:00:00"/>
    <x v="0"/>
    <x v="0"/>
    <d v="2025-11-17T00:00:00"/>
    <n v="18"/>
    <n v="2"/>
    <n v="5"/>
    <n v="4"/>
    <n v="8"/>
    <x v="1"/>
  </r>
  <r>
    <s v="L1913"/>
    <x v="1"/>
    <x v="0"/>
    <x v="0"/>
    <d v="2025-10-11T00:00:00"/>
    <x v="24"/>
    <x v="25"/>
    <d v="2025-10-22T00:00:00"/>
    <x v="0"/>
    <x v="0"/>
    <d v="2025-11-15T00:00:00"/>
    <n v="24"/>
    <n v="5"/>
    <n v="1"/>
    <n v="5"/>
    <n v="9"/>
    <x v="3"/>
  </r>
  <r>
    <s v="L1914"/>
    <x v="0"/>
    <x v="2"/>
    <x v="0"/>
    <d v="2025-10-01T00:00:00"/>
    <x v="26"/>
    <x v="36"/>
    <d v="2025-10-12T00:00:00"/>
    <x v="0"/>
    <x v="0"/>
    <d v="2025-10-23T00:00:00"/>
    <n v="11"/>
    <n v="3"/>
    <n v="3"/>
    <n v="5"/>
    <n v="4"/>
    <x v="0"/>
  </r>
  <r>
    <s v="L1915"/>
    <x v="0"/>
    <x v="2"/>
    <x v="0"/>
    <d v="2025-10-06T00:00:00"/>
    <x v="15"/>
    <x v="14"/>
    <d v="2025-10-18T00:00:00"/>
    <x v="0"/>
    <x v="0"/>
    <d v="2025-10-31T00:00:00"/>
    <n v="13"/>
    <n v="1"/>
    <n v="5"/>
    <n v="6"/>
    <n v="1"/>
    <x v="0"/>
  </r>
  <r>
    <s v="L1916"/>
    <x v="2"/>
    <x v="2"/>
    <x v="0"/>
    <d v="2025-10-09T00:00:00"/>
    <x v="21"/>
    <x v="17"/>
    <d v="2025-10-20T00:00:00"/>
    <x v="0"/>
    <x v="0"/>
    <d v="2025-11-04T00:00:00"/>
    <n v="15"/>
    <n v="1"/>
    <n v="5"/>
    <n v="5"/>
    <n v="6"/>
    <x v="0"/>
  </r>
  <r>
    <s v="L1917"/>
    <x v="3"/>
    <x v="2"/>
    <x v="0"/>
    <d v="2025-10-02T00:00:00"/>
    <x v="6"/>
    <x v="29"/>
    <d v="2025-10-08T00:00:00"/>
    <x v="0"/>
    <x v="0"/>
    <d v="2025-10-19T00:00:00"/>
    <n v="11"/>
    <n v="3"/>
    <n v="1"/>
    <n v="2"/>
    <n v="8"/>
    <x v="1"/>
  </r>
  <r>
    <s v="L1918"/>
    <x v="2"/>
    <x v="2"/>
    <x v="0"/>
    <d v="2025-10-05T00:00:00"/>
    <x v="27"/>
    <x v="13"/>
    <d v="2025-10-12T00:00:00"/>
    <x v="0"/>
    <x v="0"/>
    <d v="2025-10-31T00:00:00"/>
    <n v="19"/>
    <n v="4"/>
    <n v="1"/>
    <n v="2"/>
    <n v="1"/>
    <x v="0"/>
  </r>
  <r>
    <s v="L1919"/>
    <x v="3"/>
    <x v="0"/>
    <x v="0"/>
    <d v="2025-10-24T00:00:00"/>
    <x v="23"/>
    <x v="31"/>
    <d v="2025-11-04T00:00:00"/>
    <x v="0"/>
    <x v="0"/>
    <d v="2025-11-25T00:00:00"/>
    <n v="21"/>
    <n v="5"/>
    <n v="2"/>
    <n v="4"/>
    <n v="6"/>
    <x v="0"/>
  </r>
  <r>
    <s v="L1920"/>
    <x v="3"/>
    <x v="0"/>
    <x v="0"/>
    <d v="2025-10-14T00:00:00"/>
    <x v="3"/>
    <x v="3"/>
    <d v="2025-10-26T00:00:00"/>
    <x v="0"/>
    <x v="0"/>
    <d v="2025-11-15T00:00:00"/>
    <n v="20"/>
    <n v="4"/>
    <n v="3"/>
    <n v="5"/>
    <n v="0"/>
    <x v="0"/>
  </r>
  <r>
    <s v="L1921"/>
    <x v="0"/>
    <x v="1"/>
    <x v="1"/>
    <d v="2025-10-17T00:00:00"/>
    <x v="2"/>
    <x v="2"/>
    <m/>
    <x v="1"/>
    <x v="1"/>
    <m/>
    <s v=""/>
    <m/>
    <m/>
    <m/>
    <m/>
    <x v="2"/>
  </r>
  <r>
    <s v="L1922"/>
    <x v="2"/>
    <x v="0"/>
    <x v="0"/>
    <d v="2025-10-04T00:00:00"/>
    <x v="15"/>
    <x v="37"/>
    <d v="2025-10-12T00:00:00"/>
    <x v="0"/>
    <x v="0"/>
    <d v="2025-11-04T00:00:00"/>
    <n v="23"/>
    <n v="3"/>
    <n v="2"/>
    <n v="3"/>
    <n v="6"/>
    <x v="0"/>
  </r>
  <r>
    <s v="L1923"/>
    <x v="2"/>
    <x v="0"/>
    <x v="0"/>
    <d v="2025-10-24T00:00:00"/>
    <x v="23"/>
    <x v="22"/>
    <d v="2025-11-08T00:00:00"/>
    <x v="0"/>
    <x v="0"/>
    <d v="2025-11-21T00:00:00"/>
    <n v="13"/>
    <n v="5"/>
    <n v="5"/>
    <n v="5"/>
    <n v="6"/>
    <x v="0"/>
  </r>
  <r>
    <s v="L1924"/>
    <x v="3"/>
    <x v="2"/>
    <x v="0"/>
    <d v="2025-10-03T00:00:00"/>
    <x v="26"/>
    <x v="32"/>
    <d v="2025-10-08T00:00:00"/>
    <x v="0"/>
    <x v="0"/>
    <d v="2025-10-21T00:00:00"/>
    <n v="13"/>
    <n v="1"/>
    <n v="1"/>
    <n v="3"/>
    <n v="6"/>
    <x v="0"/>
  </r>
  <r>
    <s v="L1925"/>
    <x v="2"/>
    <x v="2"/>
    <x v="0"/>
    <d v="2025-10-16T00:00:00"/>
    <x v="7"/>
    <x v="24"/>
    <d v="2025-10-29T00:00:00"/>
    <x v="0"/>
    <x v="0"/>
    <d v="2025-11-09T00:00:00"/>
    <n v="11"/>
    <n v="1"/>
    <n v="5"/>
    <n v="7"/>
    <n v="2"/>
    <x v="0"/>
  </r>
  <r>
    <s v="L1926"/>
    <x v="1"/>
    <x v="0"/>
    <x v="0"/>
    <d v="2025-10-15T00:00:00"/>
    <x v="22"/>
    <x v="16"/>
    <d v="2025-10-29T00:00:00"/>
    <x v="0"/>
    <x v="0"/>
    <d v="2025-11-08T00:00:00"/>
    <n v="10"/>
    <n v="4"/>
    <n v="4"/>
    <n v="6"/>
    <n v="7"/>
    <x v="1"/>
  </r>
  <r>
    <s v="L1927"/>
    <x v="1"/>
    <x v="2"/>
    <x v="1"/>
    <d v="2025-10-25T00:00:00"/>
    <x v="12"/>
    <x v="15"/>
    <d v="2025-11-02T00:00:00"/>
    <x v="1"/>
    <x v="4"/>
    <m/>
    <s v=""/>
    <n v="2"/>
    <n v="3"/>
    <n v="3"/>
    <m/>
    <x v="2"/>
  </r>
  <r>
    <s v="L1928"/>
    <x v="2"/>
    <x v="0"/>
    <x v="0"/>
    <d v="2025-10-12T00:00:00"/>
    <x v="14"/>
    <x v="1"/>
    <d v="2025-10-26T00:00:00"/>
    <x v="0"/>
    <x v="0"/>
    <d v="2025-11-09T00:00:00"/>
    <n v="14"/>
    <n v="3"/>
    <n v="4"/>
    <n v="7"/>
    <n v="8"/>
    <x v="1"/>
  </r>
  <r>
    <s v="L1929"/>
    <x v="2"/>
    <x v="0"/>
    <x v="0"/>
    <d v="2025-10-17T00:00:00"/>
    <x v="5"/>
    <x v="3"/>
    <d v="2025-10-27T00:00:00"/>
    <x v="0"/>
    <x v="0"/>
    <d v="2025-11-26T00:00:00"/>
    <n v="30"/>
    <n v="3"/>
    <n v="1"/>
    <n v="6"/>
    <n v="1"/>
    <x v="0"/>
  </r>
  <r>
    <s v="L1930"/>
    <x v="3"/>
    <x v="0"/>
    <x v="0"/>
    <d v="2025-10-19T00:00:00"/>
    <x v="18"/>
    <x v="28"/>
    <d v="2025-10-26T00:00:00"/>
    <x v="0"/>
    <x v="0"/>
    <d v="2025-11-10T00:00:00"/>
    <n v="15"/>
    <n v="4"/>
    <n v="1"/>
    <n v="2"/>
    <n v="7"/>
    <x v="1"/>
  </r>
  <r>
    <s v="L1931"/>
    <x v="1"/>
    <x v="2"/>
    <x v="0"/>
    <d v="2025-10-04T00:00:00"/>
    <x v="15"/>
    <x v="5"/>
    <d v="2025-10-13T00:00:00"/>
    <x v="0"/>
    <x v="0"/>
    <d v="2025-11-02T00:00:00"/>
    <n v="20"/>
    <n v="3"/>
    <n v="1"/>
    <n v="5"/>
    <n v="9"/>
    <x v="3"/>
  </r>
  <r>
    <s v="L1932"/>
    <x v="1"/>
    <x v="0"/>
    <x v="0"/>
    <d v="2025-10-15T00:00:00"/>
    <x v="24"/>
    <x v="1"/>
    <d v="2025-10-26T00:00:00"/>
    <x v="0"/>
    <x v="0"/>
    <d v="2025-11-16T00:00:00"/>
    <n v="21"/>
    <n v="1"/>
    <n v="3"/>
    <n v="7"/>
    <n v="2"/>
    <x v="0"/>
  </r>
  <r>
    <s v="L1933"/>
    <x v="0"/>
    <x v="0"/>
    <x v="1"/>
    <d v="2025-10-17T00:00:00"/>
    <x v="16"/>
    <x v="16"/>
    <d v="2025-10-27T00:00:00"/>
    <x v="1"/>
    <x v="3"/>
    <m/>
    <s v=""/>
    <n v="4"/>
    <n v="2"/>
    <n v="4"/>
    <m/>
    <x v="2"/>
  </r>
  <r>
    <s v="L1934"/>
    <x v="3"/>
    <x v="2"/>
    <x v="0"/>
    <d v="2025-10-08T00:00:00"/>
    <x v="27"/>
    <x v="23"/>
    <d v="2025-10-19T00:00:00"/>
    <x v="0"/>
    <x v="0"/>
    <d v="2025-11-12T00:00:00"/>
    <n v="24"/>
    <n v="1"/>
    <n v="5"/>
    <n v="5"/>
    <n v="9"/>
    <x v="3"/>
  </r>
  <r>
    <s v="L1935"/>
    <x v="0"/>
    <x v="0"/>
    <x v="0"/>
    <d v="2025-10-31T00:00:00"/>
    <x v="32"/>
    <x v="39"/>
    <d v="2025-11-16T00:00:00"/>
    <x v="0"/>
    <x v="0"/>
    <d v="2025-12-15T00:00:00"/>
    <n v="29"/>
    <n v="5"/>
    <n v="5"/>
    <n v="6"/>
    <n v="2"/>
    <x v="0"/>
  </r>
  <r>
    <s v="L1936"/>
    <x v="1"/>
    <x v="0"/>
    <x v="0"/>
    <d v="2025-10-20T00:00:00"/>
    <x v="0"/>
    <x v="15"/>
    <d v="2025-11-04T00:00:00"/>
    <x v="0"/>
    <x v="0"/>
    <d v="2025-11-22T00:00:00"/>
    <n v="18"/>
    <n v="5"/>
    <n v="5"/>
    <n v="5"/>
    <n v="4"/>
    <x v="0"/>
  </r>
  <r>
    <s v="L1937"/>
    <x v="3"/>
    <x v="1"/>
    <x v="1"/>
    <d v="2025-10-02T00:00:00"/>
    <x v="2"/>
    <x v="2"/>
    <m/>
    <x v="1"/>
    <x v="5"/>
    <m/>
    <s v=""/>
    <m/>
    <m/>
    <m/>
    <m/>
    <x v="2"/>
  </r>
  <r>
    <s v="L1938"/>
    <x v="2"/>
    <x v="2"/>
    <x v="0"/>
    <d v="2025-10-24T00:00:00"/>
    <x v="25"/>
    <x v="31"/>
    <d v="2025-11-04T00:00:00"/>
    <x v="0"/>
    <x v="0"/>
    <d v="2025-11-16T00:00:00"/>
    <n v="12"/>
    <n v="2"/>
    <n v="5"/>
    <n v="4"/>
    <n v="7"/>
    <x v="1"/>
  </r>
  <r>
    <s v="L1939"/>
    <x v="3"/>
    <x v="1"/>
    <x v="1"/>
    <d v="2025-10-26T00:00:00"/>
    <x v="2"/>
    <x v="2"/>
    <m/>
    <x v="1"/>
    <x v="5"/>
    <m/>
    <s v=""/>
    <m/>
    <m/>
    <m/>
    <m/>
    <x v="2"/>
  </r>
  <r>
    <s v="L1940"/>
    <x v="2"/>
    <x v="0"/>
    <x v="0"/>
    <d v="2025-10-30T00:00:00"/>
    <x v="34"/>
    <x v="38"/>
    <d v="2025-11-13T00:00:00"/>
    <x v="0"/>
    <x v="0"/>
    <d v="2025-12-04T00:00:00"/>
    <n v="21"/>
    <n v="3"/>
    <n v="5"/>
    <n v="6"/>
    <n v="8"/>
    <x v="1"/>
  </r>
  <r>
    <s v="L1941"/>
    <x v="2"/>
    <x v="0"/>
    <x v="0"/>
    <d v="2025-10-28T00:00:00"/>
    <x v="34"/>
    <x v="4"/>
    <d v="2025-11-10T00:00:00"/>
    <x v="0"/>
    <x v="0"/>
    <d v="2025-11-30T00:00:00"/>
    <n v="20"/>
    <n v="5"/>
    <n v="2"/>
    <n v="6"/>
    <n v="5"/>
    <x v="0"/>
  </r>
  <r>
    <s v="L1942"/>
    <x v="3"/>
    <x v="2"/>
    <x v="0"/>
    <d v="2025-10-22T00:00:00"/>
    <x v="0"/>
    <x v="0"/>
    <d v="2025-11-02T00:00:00"/>
    <x v="0"/>
    <x v="0"/>
    <d v="2025-11-17T00:00:00"/>
    <n v="15"/>
    <n v="3"/>
    <n v="4"/>
    <n v="4"/>
    <n v="4"/>
    <x v="0"/>
  </r>
  <r>
    <s v="L1943"/>
    <x v="2"/>
    <x v="0"/>
    <x v="0"/>
    <d v="2025-10-17T00:00:00"/>
    <x v="3"/>
    <x v="3"/>
    <d v="2025-10-26T00:00:00"/>
    <x v="0"/>
    <x v="0"/>
    <d v="2025-11-08T00:00:00"/>
    <n v="13"/>
    <n v="1"/>
    <n v="3"/>
    <n v="5"/>
    <n v="2"/>
    <x v="0"/>
  </r>
  <r>
    <s v="L1944"/>
    <x v="0"/>
    <x v="2"/>
    <x v="0"/>
    <d v="2025-10-10T00:00:00"/>
    <x v="1"/>
    <x v="11"/>
    <d v="2025-10-22T00:00:00"/>
    <x v="0"/>
    <x v="0"/>
    <d v="2025-11-13T00:00:00"/>
    <n v="22"/>
    <n v="4"/>
    <n v="4"/>
    <n v="4"/>
    <n v="3"/>
    <x v="0"/>
  </r>
  <r>
    <s v="L1945"/>
    <x v="1"/>
    <x v="0"/>
    <x v="0"/>
    <d v="2025-10-15T00:00:00"/>
    <x v="5"/>
    <x v="28"/>
    <d v="2025-10-27T00:00:00"/>
    <x v="0"/>
    <x v="0"/>
    <d v="2025-11-18T00:00:00"/>
    <n v="22"/>
    <n v="5"/>
    <n v="4"/>
    <n v="3"/>
    <n v="6"/>
    <x v="0"/>
  </r>
  <r>
    <s v="L1946"/>
    <x v="2"/>
    <x v="2"/>
    <x v="0"/>
    <d v="2025-10-21T00:00:00"/>
    <x v="0"/>
    <x v="15"/>
    <d v="2025-11-01T00:00:00"/>
    <x v="0"/>
    <x v="0"/>
    <d v="2025-11-25T00:00:00"/>
    <n v="24"/>
    <n v="4"/>
    <n v="5"/>
    <n v="2"/>
    <n v="6"/>
    <x v="0"/>
  </r>
  <r>
    <s v="L1947"/>
    <x v="0"/>
    <x v="1"/>
    <x v="1"/>
    <d v="2025-10-31T00:00:00"/>
    <x v="2"/>
    <x v="2"/>
    <m/>
    <x v="1"/>
    <x v="1"/>
    <m/>
    <s v=""/>
    <m/>
    <m/>
    <m/>
    <m/>
    <x v="2"/>
  </r>
  <r>
    <s v="L1948"/>
    <x v="2"/>
    <x v="0"/>
    <x v="0"/>
    <d v="2025-10-01T00:00:00"/>
    <x v="13"/>
    <x v="30"/>
    <d v="2025-10-15T00:00:00"/>
    <x v="0"/>
    <x v="0"/>
    <d v="2025-11-02T00:00:00"/>
    <n v="18"/>
    <n v="5"/>
    <n v="5"/>
    <n v="4"/>
    <n v="8"/>
    <x v="1"/>
  </r>
  <r>
    <s v="L1949"/>
    <x v="1"/>
    <x v="0"/>
    <x v="0"/>
    <d v="2025-10-02T00:00:00"/>
    <x v="6"/>
    <x v="36"/>
    <d v="2025-10-13T00:00:00"/>
    <x v="0"/>
    <x v="0"/>
    <d v="2025-11-04T00:00:00"/>
    <n v="22"/>
    <n v="3"/>
    <n v="2"/>
    <n v="6"/>
    <n v="2"/>
    <x v="0"/>
  </r>
  <r>
    <s v="L1950"/>
    <x v="0"/>
    <x v="2"/>
    <x v="0"/>
    <d v="2025-10-16T00:00:00"/>
    <x v="16"/>
    <x v="28"/>
    <d v="2025-10-27T00:00:00"/>
    <x v="0"/>
    <x v="0"/>
    <d v="2025-11-21T00:00:00"/>
    <n v="25"/>
    <n v="5"/>
    <n v="3"/>
    <n v="3"/>
    <n v="3"/>
    <x v="0"/>
  </r>
  <r>
    <s v="L1951"/>
    <x v="1"/>
    <x v="2"/>
    <x v="0"/>
    <d v="2025-10-28T00:00:00"/>
    <x v="34"/>
    <x v="22"/>
    <d v="2025-11-05T00:00:00"/>
    <x v="0"/>
    <x v="0"/>
    <d v="2025-11-28T00:00:00"/>
    <n v="23"/>
    <n v="5"/>
    <n v="1"/>
    <n v="2"/>
    <n v="1"/>
    <x v="0"/>
  </r>
  <r>
    <s v="L1952"/>
    <x v="1"/>
    <x v="0"/>
    <x v="0"/>
    <d v="2025-10-13T00:00:00"/>
    <x v="1"/>
    <x v="11"/>
    <d v="2025-10-22T00:00:00"/>
    <x v="0"/>
    <x v="0"/>
    <d v="2025-11-21T00:00:00"/>
    <n v="30"/>
    <n v="1"/>
    <n v="4"/>
    <n v="4"/>
    <n v="1"/>
    <x v="0"/>
  </r>
  <r>
    <s v="L1953"/>
    <x v="0"/>
    <x v="0"/>
    <x v="0"/>
    <d v="2025-10-14T00:00:00"/>
    <x v="24"/>
    <x v="25"/>
    <d v="2025-10-19T00:00:00"/>
    <x v="0"/>
    <x v="0"/>
    <d v="2025-11-03T00:00:00"/>
    <n v="15"/>
    <n v="2"/>
    <n v="1"/>
    <n v="2"/>
    <n v="6"/>
    <x v="0"/>
  </r>
  <r>
    <s v="L1954"/>
    <x v="0"/>
    <x v="2"/>
    <x v="0"/>
    <d v="2025-10-22T00:00:00"/>
    <x v="18"/>
    <x v="26"/>
    <d v="2025-10-31T00:00:00"/>
    <x v="0"/>
    <x v="0"/>
    <d v="2025-11-13T00:00:00"/>
    <n v="13"/>
    <n v="1"/>
    <n v="3"/>
    <n v="5"/>
    <n v="1"/>
    <x v="0"/>
  </r>
  <r>
    <s v="L1955"/>
    <x v="0"/>
    <x v="0"/>
    <x v="0"/>
    <d v="2025-10-04T00:00:00"/>
    <x v="30"/>
    <x v="14"/>
    <d v="2025-10-18T00:00:00"/>
    <x v="0"/>
    <x v="0"/>
    <d v="2025-11-01T00:00:00"/>
    <n v="14"/>
    <n v="4"/>
    <n v="4"/>
    <n v="6"/>
    <n v="2"/>
    <x v="0"/>
  </r>
  <r>
    <s v="L1956"/>
    <x v="3"/>
    <x v="1"/>
    <x v="1"/>
    <d v="2025-10-16T00:00:00"/>
    <x v="2"/>
    <x v="2"/>
    <m/>
    <x v="1"/>
    <x v="5"/>
    <m/>
    <s v=""/>
    <m/>
    <m/>
    <m/>
    <m/>
    <x v="2"/>
  </r>
  <r>
    <s v="L1957"/>
    <x v="0"/>
    <x v="0"/>
    <x v="0"/>
    <d v="2025-10-23T00:00:00"/>
    <x v="25"/>
    <x v="18"/>
    <d v="2025-10-31T00:00:00"/>
    <x v="0"/>
    <x v="0"/>
    <d v="2025-11-11T00:00:00"/>
    <n v="11"/>
    <n v="3"/>
    <n v="1"/>
    <n v="4"/>
    <n v="10"/>
    <x v="3"/>
  </r>
  <r>
    <s v="L1958"/>
    <x v="0"/>
    <x v="0"/>
    <x v="0"/>
    <d v="2025-10-30T00:00:00"/>
    <x v="34"/>
    <x v="22"/>
    <d v="2025-11-09T00:00:00"/>
    <x v="0"/>
    <x v="0"/>
    <d v="2025-11-24T00:00:00"/>
    <n v="15"/>
    <n v="3"/>
    <n v="1"/>
    <n v="6"/>
    <n v="1"/>
    <x v="0"/>
  </r>
  <r>
    <s v="L1959"/>
    <x v="0"/>
    <x v="1"/>
    <x v="1"/>
    <d v="2025-10-15T00:00:00"/>
    <x v="2"/>
    <x v="2"/>
    <m/>
    <x v="1"/>
    <x v="3"/>
    <m/>
    <s v=""/>
    <m/>
    <m/>
    <m/>
    <m/>
    <x v="2"/>
  </r>
  <r>
    <s v="L1960"/>
    <x v="0"/>
    <x v="2"/>
    <x v="0"/>
    <d v="2025-10-03T00:00:00"/>
    <x v="30"/>
    <x v="13"/>
    <d v="2025-10-13T00:00:00"/>
    <x v="0"/>
    <x v="0"/>
    <d v="2025-10-26T00:00:00"/>
    <n v="13"/>
    <n v="5"/>
    <n v="2"/>
    <n v="3"/>
    <n v="8"/>
    <x v="1"/>
  </r>
  <r>
    <s v="L1961"/>
    <x v="2"/>
    <x v="0"/>
    <x v="0"/>
    <d v="2025-10-29T00:00:00"/>
    <x v="10"/>
    <x v="4"/>
    <d v="2025-11-07T00:00:00"/>
    <x v="0"/>
    <x v="0"/>
    <d v="2025-11-30T00:00:00"/>
    <n v="23"/>
    <n v="3"/>
    <n v="3"/>
    <n v="3"/>
    <n v="6"/>
    <x v="0"/>
  </r>
  <r>
    <s v="L1962"/>
    <x v="3"/>
    <x v="1"/>
    <x v="1"/>
    <d v="2025-10-03T00:00:00"/>
    <x v="2"/>
    <x v="2"/>
    <m/>
    <x v="1"/>
    <x v="1"/>
    <m/>
    <s v=""/>
    <m/>
    <m/>
    <m/>
    <m/>
    <x v="2"/>
  </r>
  <r>
    <s v="L1963"/>
    <x v="1"/>
    <x v="2"/>
    <x v="0"/>
    <d v="2025-10-11T00:00:00"/>
    <x v="19"/>
    <x v="20"/>
    <d v="2025-10-18T00:00:00"/>
    <x v="0"/>
    <x v="0"/>
    <d v="2025-11-15T00:00:00"/>
    <n v="28"/>
    <n v="2"/>
    <n v="3"/>
    <n v="2"/>
    <n v="3"/>
    <x v="0"/>
  </r>
  <r>
    <s v="L1964"/>
    <x v="0"/>
    <x v="0"/>
    <x v="0"/>
    <d v="2025-10-20T00:00:00"/>
    <x v="31"/>
    <x v="27"/>
    <d v="2025-10-28T00:00:00"/>
    <x v="0"/>
    <x v="0"/>
    <d v="2025-11-22T00:00:00"/>
    <n v="25"/>
    <n v="2"/>
    <n v="3"/>
    <n v="3"/>
    <n v="9"/>
    <x v="3"/>
  </r>
  <r>
    <s v="L1965"/>
    <x v="2"/>
    <x v="0"/>
    <x v="0"/>
    <d v="2025-10-05T00:00:00"/>
    <x v="21"/>
    <x v="23"/>
    <d v="2025-10-21T00:00:00"/>
    <x v="0"/>
    <x v="0"/>
    <d v="2025-11-18T00:00:00"/>
    <n v="28"/>
    <n v="5"/>
    <n v="4"/>
    <n v="7"/>
    <n v="7"/>
    <x v="1"/>
  </r>
  <r>
    <s v="L1966"/>
    <x v="2"/>
    <x v="0"/>
    <x v="0"/>
    <d v="2025-10-03T00:00:00"/>
    <x v="30"/>
    <x v="13"/>
    <d v="2025-10-13T00:00:00"/>
    <x v="0"/>
    <x v="0"/>
    <d v="2025-11-06T00:00:00"/>
    <n v="24"/>
    <n v="5"/>
    <n v="2"/>
    <n v="3"/>
    <n v="4"/>
    <x v="0"/>
  </r>
  <r>
    <s v="L1967"/>
    <x v="2"/>
    <x v="0"/>
    <x v="0"/>
    <d v="2025-10-05T00:00:00"/>
    <x v="27"/>
    <x v="23"/>
    <d v="2025-10-18T00:00:00"/>
    <x v="0"/>
    <x v="0"/>
    <d v="2025-11-02T00:00:00"/>
    <n v="15"/>
    <n v="4"/>
    <n v="5"/>
    <n v="4"/>
    <n v="7"/>
    <x v="1"/>
  </r>
  <r>
    <s v="L1968"/>
    <x v="1"/>
    <x v="1"/>
    <x v="1"/>
    <d v="2025-10-09T00:00:00"/>
    <x v="2"/>
    <x v="2"/>
    <m/>
    <x v="1"/>
    <x v="4"/>
    <m/>
    <s v=""/>
    <m/>
    <m/>
    <m/>
    <m/>
    <x v="2"/>
  </r>
  <r>
    <s v="L1969"/>
    <x v="0"/>
    <x v="0"/>
    <x v="0"/>
    <d v="2025-10-20T00:00:00"/>
    <x v="0"/>
    <x v="0"/>
    <d v="2025-11-04T00:00:00"/>
    <x v="0"/>
    <x v="0"/>
    <d v="2025-12-03T00:00:00"/>
    <n v="29"/>
    <n v="5"/>
    <n v="4"/>
    <n v="6"/>
    <n v="6"/>
    <x v="0"/>
  </r>
  <r>
    <s v="L1970"/>
    <x v="3"/>
    <x v="2"/>
    <x v="0"/>
    <d v="2025-10-21T00:00:00"/>
    <x v="31"/>
    <x v="27"/>
    <d v="2025-11-01T00:00:00"/>
    <x v="0"/>
    <x v="0"/>
    <d v="2025-11-23T00:00:00"/>
    <n v="22"/>
    <n v="1"/>
    <n v="3"/>
    <n v="7"/>
    <n v="10"/>
    <x v="3"/>
  </r>
  <r>
    <s v="L1971"/>
    <x v="3"/>
    <x v="1"/>
    <x v="1"/>
    <d v="2025-10-19T00:00:00"/>
    <x v="2"/>
    <x v="2"/>
    <m/>
    <x v="1"/>
    <x v="5"/>
    <m/>
    <s v=""/>
    <m/>
    <m/>
    <m/>
    <m/>
    <x v="2"/>
  </r>
  <r>
    <s v="L1972"/>
    <x v="2"/>
    <x v="2"/>
    <x v="0"/>
    <d v="2025-10-18T00:00:00"/>
    <x v="22"/>
    <x v="16"/>
    <d v="2025-10-25T00:00:00"/>
    <x v="0"/>
    <x v="0"/>
    <d v="2025-11-15T00:00:00"/>
    <n v="21"/>
    <n v="1"/>
    <n v="4"/>
    <n v="2"/>
    <n v="10"/>
    <x v="3"/>
  </r>
  <r>
    <s v="L1973"/>
    <x v="1"/>
    <x v="0"/>
    <x v="0"/>
    <d v="2025-10-23T00:00:00"/>
    <x v="9"/>
    <x v="27"/>
    <d v="2025-10-28T00:00:00"/>
    <x v="0"/>
    <x v="0"/>
    <d v="2025-11-26T00:00:00"/>
    <n v="29"/>
    <n v="1"/>
    <n v="1"/>
    <n v="3"/>
    <n v="9"/>
    <x v="3"/>
  </r>
  <r>
    <s v="L1974"/>
    <x v="1"/>
    <x v="0"/>
    <x v="0"/>
    <d v="2025-10-11T00:00:00"/>
    <x v="19"/>
    <x v="25"/>
    <d v="2025-10-23T00:00:00"/>
    <x v="0"/>
    <x v="0"/>
    <d v="2025-11-02T00:00:00"/>
    <n v="10"/>
    <n v="2"/>
    <n v="4"/>
    <n v="6"/>
    <n v="7"/>
    <x v="1"/>
  </r>
  <r>
    <s v="L1975"/>
    <x v="1"/>
    <x v="0"/>
    <x v="1"/>
    <d v="2025-10-13T00:00:00"/>
    <x v="24"/>
    <x v="6"/>
    <d v="2025-10-25T00:00:00"/>
    <x v="1"/>
    <x v="2"/>
    <m/>
    <s v=""/>
    <n v="3"/>
    <n v="4"/>
    <n v="5"/>
    <m/>
    <x v="2"/>
  </r>
  <r>
    <s v="L1976"/>
    <x v="3"/>
    <x v="0"/>
    <x v="1"/>
    <d v="2025-10-20T00:00:00"/>
    <x v="9"/>
    <x v="18"/>
    <d v="2025-10-31T00:00:00"/>
    <x v="1"/>
    <x v="5"/>
    <m/>
    <s v=""/>
    <n v="4"/>
    <n v="3"/>
    <n v="4"/>
    <m/>
    <x v="2"/>
  </r>
  <r>
    <s v="L1977"/>
    <x v="2"/>
    <x v="1"/>
    <x v="1"/>
    <d v="2025-10-17T00:00:00"/>
    <x v="2"/>
    <x v="2"/>
    <m/>
    <x v="1"/>
    <x v="4"/>
    <m/>
    <s v=""/>
    <m/>
    <m/>
    <m/>
    <m/>
    <x v="2"/>
  </r>
  <r>
    <s v="L1978"/>
    <x v="0"/>
    <x v="0"/>
    <x v="0"/>
    <d v="2025-10-10T00:00:00"/>
    <x v="14"/>
    <x v="20"/>
    <d v="2025-10-19T00:00:00"/>
    <x v="0"/>
    <x v="0"/>
    <d v="2025-11-02T00:00:00"/>
    <n v="14"/>
    <n v="5"/>
    <n v="1"/>
    <n v="3"/>
    <n v="8"/>
    <x v="1"/>
  </r>
  <r>
    <s v="L1979"/>
    <x v="3"/>
    <x v="0"/>
    <x v="0"/>
    <d v="2025-10-15T00:00:00"/>
    <x v="22"/>
    <x v="24"/>
    <d v="2025-10-25T00:00:00"/>
    <x v="0"/>
    <x v="0"/>
    <d v="2025-11-19T00:00:00"/>
    <n v="25"/>
    <n v="4"/>
    <n v="3"/>
    <n v="3"/>
    <n v="5"/>
    <x v="0"/>
  </r>
  <r>
    <s v="L1980"/>
    <x v="2"/>
    <x v="2"/>
    <x v="0"/>
    <d v="2025-10-17T00:00:00"/>
    <x v="22"/>
    <x v="6"/>
    <d v="2025-10-23T00:00:00"/>
    <x v="0"/>
    <x v="0"/>
    <d v="2025-11-17T00:00:00"/>
    <n v="25"/>
    <n v="2"/>
    <n v="1"/>
    <n v="3"/>
    <n v="0"/>
    <x v="0"/>
  </r>
  <r>
    <s v="L1981"/>
    <x v="2"/>
    <x v="1"/>
    <x v="1"/>
    <d v="2025-10-20T00:00:00"/>
    <x v="2"/>
    <x v="2"/>
    <m/>
    <x v="1"/>
    <x v="1"/>
    <m/>
    <s v=""/>
    <m/>
    <m/>
    <m/>
    <m/>
    <x v="2"/>
  </r>
  <r>
    <s v="L1982"/>
    <x v="0"/>
    <x v="1"/>
    <x v="1"/>
    <d v="2025-10-14T00:00:00"/>
    <x v="2"/>
    <x v="2"/>
    <m/>
    <x v="1"/>
    <x v="4"/>
    <m/>
    <s v=""/>
    <m/>
    <m/>
    <m/>
    <m/>
    <x v="2"/>
  </r>
  <r>
    <s v="L1983"/>
    <x v="0"/>
    <x v="0"/>
    <x v="0"/>
    <d v="2025-10-04T00:00:00"/>
    <x v="27"/>
    <x v="13"/>
    <d v="2025-10-16T00:00:00"/>
    <x v="0"/>
    <x v="0"/>
    <d v="2025-10-29T00:00:00"/>
    <n v="13"/>
    <n v="5"/>
    <n v="1"/>
    <n v="6"/>
    <n v="2"/>
    <x v="0"/>
  </r>
  <r>
    <s v="L1984"/>
    <x v="0"/>
    <x v="2"/>
    <x v="0"/>
    <d v="2025-10-26T00:00:00"/>
    <x v="4"/>
    <x v="12"/>
    <d v="2025-11-05T00:00:00"/>
    <x v="0"/>
    <x v="0"/>
    <d v="2025-11-28T00:00:00"/>
    <n v="23"/>
    <n v="5"/>
    <n v="1"/>
    <n v="4"/>
    <n v="2"/>
    <x v="0"/>
  </r>
  <r>
    <s v="L1985"/>
    <x v="1"/>
    <x v="2"/>
    <x v="0"/>
    <d v="2025-10-23T00:00:00"/>
    <x v="0"/>
    <x v="8"/>
    <d v="2025-11-04T00:00:00"/>
    <x v="0"/>
    <x v="0"/>
    <d v="2025-11-28T00:00:00"/>
    <n v="24"/>
    <n v="2"/>
    <n v="3"/>
    <n v="7"/>
    <n v="7"/>
    <x v="1"/>
  </r>
  <r>
    <s v="L1986"/>
    <x v="0"/>
    <x v="2"/>
    <x v="0"/>
    <d v="2025-10-04T00:00:00"/>
    <x v="15"/>
    <x v="5"/>
    <d v="2025-10-15T00:00:00"/>
    <x v="0"/>
    <x v="0"/>
    <d v="2025-10-26T00:00:00"/>
    <n v="11"/>
    <n v="3"/>
    <n v="1"/>
    <n v="7"/>
    <n v="8"/>
    <x v="1"/>
  </r>
  <r>
    <s v="L1987"/>
    <x v="2"/>
    <x v="2"/>
    <x v="0"/>
    <d v="2025-10-28T00:00:00"/>
    <x v="34"/>
    <x v="4"/>
    <d v="2025-11-08T00:00:00"/>
    <x v="0"/>
    <x v="0"/>
    <d v="2025-11-20T00:00:00"/>
    <n v="12"/>
    <n v="5"/>
    <n v="2"/>
    <n v="4"/>
    <n v="0"/>
    <x v="0"/>
  </r>
  <r>
    <s v="L1988"/>
    <x v="0"/>
    <x v="0"/>
    <x v="0"/>
    <d v="2025-10-21T00:00:00"/>
    <x v="9"/>
    <x v="26"/>
    <d v="2025-11-01T00:00:00"/>
    <x v="0"/>
    <x v="0"/>
    <d v="2025-11-19T00:00:00"/>
    <n v="18"/>
    <n v="3"/>
    <n v="2"/>
    <n v="6"/>
    <n v="4"/>
    <x v="0"/>
  </r>
  <r>
    <s v="L1989"/>
    <x v="2"/>
    <x v="1"/>
    <x v="1"/>
    <d v="2025-10-21T00:00:00"/>
    <x v="2"/>
    <x v="2"/>
    <m/>
    <x v="1"/>
    <x v="2"/>
    <m/>
    <s v=""/>
    <m/>
    <m/>
    <m/>
    <m/>
    <x v="2"/>
  </r>
  <r>
    <s v="L1990"/>
    <x v="3"/>
    <x v="0"/>
    <x v="0"/>
    <d v="2025-10-29T00:00:00"/>
    <x v="4"/>
    <x v="7"/>
    <d v="2025-11-07T00:00:00"/>
    <x v="0"/>
    <x v="0"/>
    <d v="2025-12-07T00:00:00"/>
    <n v="30"/>
    <n v="2"/>
    <n v="5"/>
    <n v="2"/>
    <n v="6"/>
    <x v="0"/>
  </r>
  <r>
    <s v="L1991"/>
    <x v="1"/>
    <x v="2"/>
    <x v="0"/>
    <d v="2025-10-25T00:00:00"/>
    <x v="23"/>
    <x v="31"/>
    <d v="2025-11-07T00:00:00"/>
    <x v="0"/>
    <x v="0"/>
    <d v="2025-11-27T00:00:00"/>
    <n v="20"/>
    <n v="4"/>
    <n v="2"/>
    <n v="7"/>
    <n v="3"/>
    <x v="0"/>
  </r>
  <r>
    <s v="L1992"/>
    <x v="3"/>
    <x v="2"/>
    <x v="0"/>
    <d v="2025-10-18T00:00:00"/>
    <x v="18"/>
    <x v="8"/>
    <d v="2025-11-04T00:00:00"/>
    <x v="0"/>
    <x v="0"/>
    <d v="2025-11-14T00:00:00"/>
    <n v="10"/>
    <n v="5"/>
    <n v="5"/>
    <n v="7"/>
    <n v="5"/>
    <x v="0"/>
  </r>
  <r>
    <s v="L1993"/>
    <x v="3"/>
    <x v="2"/>
    <x v="0"/>
    <d v="2025-10-24T00:00:00"/>
    <x v="12"/>
    <x v="0"/>
    <d v="2025-11-02T00:00:00"/>
    <x v="0"/>
    <x v="0"/>
    <d v="2025-11-28T00:00:00"/>
    <n v="26"/>
    <n v="3"/>
    <n v="2"/>
    <n v="4"/>
    <n v="7"/>
    <x v="1"/>
  </r>
  <r>
    <s v="L1994"/>
    <x v="2"/>
    <x v="2"/>
    <x v="0"/>
    <d v="2025-10-28T00:00:00"/>
    <x v="34"/>
    <x v="7"/>
    <d v="2025-11-11T00:00:00"/>
    <x v="0"/>
    <x v="0"/>
    <d v="2025-12-09T00:00:00"/>
    <n v="28"/>
    <n v="5"/>
    <n v="3"/>
    <n v="6"/>
    <n v="1"/>
    <x v="0"/>
  </r>
  <r>
    <s v="L1995"/>
    <x v="3"/>
    <x v="2"/>
    <x v="0"/>
    <d v="2025-10-07T00:00:00"/>
    <x v="21"/>
    <x v="17"/>
    <d v="2025-10-21T00:00:00"/>
    <x v="0"/>
    <x v="0"/>
    <d v="2025-11-18T00:00:00"/>
    <n v="28"/>
    <n v="3"/>
    <n v="5"/>
    <n v="6"/>
    <n v="5"/>
    <x v="0"/>
  </r>
  <r>
    <s v="L1996"/>
    <x v="2"/>
    <x v="2"/>
    <x v="0"/>
    <d v="2025-10-14T00:00:00"/>
    <x v="22"/>
    <x v="16"/>
    <d v="2025-10-26T00:00:00"/>
    <x v="0"/>
    <x v="0"/>
    <d v="2025-11-12T00:00:00"/>
    <n v="17"/>
    <n v="5"/>
    <n v="4"/>
    <n v="3"/>
    <n v="7"/>
    <x v="1"/>
  </r>
  <r>
    <s v="L1997"/>
    <x v="0"/>
    <x v="0"/>
    <x v="0"/>
    <d v="2025-10-15T00:00:00"/>
    <x v="5"/>
    <x v="28"/>
    <d v="2025-10-30T00:00:00"/>
    <x v="0"/>
    <x v="0"/>
    <d v="2025-11-19T00:00:00"/>
    <n v="20"/>
    <n v="5"/>
    <n v="4"/>
    <n v="6"/>
    <n v="3"/>
    <x v="0"/>
  </r>
  <r>
    <s v="L1998"/>
    <x v="0"/>
    <x v="1"/>
    <x v="1"/>
    <d v="2025-10-29T00:00:00"/>
    <x v="2"/>
    <x v="2"/>
    <m/>
    <x v="1"/>
    <x v="3"/>
    <m/>
    <s v=""/>
    <m/>
    <m/>
    <m/>
    <m/>
    <x v="2"/>
  </r>
  <r>
    <s v="L1999"/>
    <x v="2"/>
    <x v="0"/>
    <x v="0"/>
    <d v="2025-10-08T00:00:00"/>
    <x v="19"/>
    <x v="17"/>
    <d v="2025-10-18T00:00:00"/>
    <x v="0"/>
    <x v="0"/>
    <d v="2025-11-13T00:00:00"/>
    <n v="26"/>
    <n v="5"/>
    <n v="2"/>
    <n v="3"/>
    <n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433AA09-A77B-42ED-93AD-991094FC5EF9}" name="PivotTable4"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rowHeaderCaption="Cancellation Reason">
  <location ref="B137:C142" firstHeaderRow="1" firstDataRow="1" firstDataCol="1" rowPageCount="1" colPageCount="1"/>
  <pivotFields count="17">
    <pivotField dataField="1" showAll="0"/>
    <pivotField showAll="0">
      <items count="5">
        <item x="0"/>
        <item x="3"/>
        <item x="1"/>
        <item x="2"/>
        <item t="default"/>
      </items>
    </pivotField>
    <pivotField name="Lead_Type" showAll="0">
      <items count="4">
        <item x="1"/>
        <item x="2"/>
        <item x="0"/>
        <item t="default"/>
      </items>
    </pivotField>
    <pivotField showAll="0"/>
    <pivotField numFmtId="164" showAll="0"/>
    <pivotField showAll="0"/>
    <pivotField showAll="0"/>
    <pivotField showAll="0"/>
    <pivotField axis="axisPage" multipleItemSelectionAllowed="1" showAll="0">
      <items count="3">
        <item h="1" x="0"/>
        <item x="1"/>
        <item t="default"/>
      </items>
    </pivotField>
    <pivotField axis="axisRow" showAll="0">
      <items count="7">
        <item x="3"/>
        <item x="4"/>
        <item x="2"/>
        <item x="1"/>
        <item x="5"/>
        <item x="0"/>
        <item t="default"/>
      </items>
    </pivotField>
    <pivotField showAll="0"/>
    <pivotField showAll="0"/>
    <pivotField showAll="0"/>
    <pivotField showAll="0"/>
    <pivotField showAll="0"/>
    <pivotField showAll="0"/>
    <pivotField showAll="0"/>
  </pivotFields>
  <rowFields count="1">
    <field x="9"/>
  </rowFields>
  <rowItems count="5">
    <i>
      <x/>
    </i>
    <i>
      <x v="1"/>
    </i>
    <i>
      <x v="2"/>
    </i>
    <i>
      <x v="3"/>
    </i>
    <i>
      <x v="4"/>
    </i>
  </rowItems>
  <colItems count="1">
    <i/>
  </colItems>
  <pageFields count="1">
    <pageField fld="8" hier="-1"/>
  </pageFields>
  <dataFields count="1">
    <dataField name="Count " fld="0" subtotal="count" baseField="8" baseItem="0"/>
  </dataFields>
  <formats count="5">
    <format dxfId="170">
      <pivotArea type="all" dataOnly="0" outline="0" fieldPosition="0"/>
    </format>
    <format dxfId="169">
      <pivotArea outline="0" collapsedLevelsAreSubtotals="1" fieldPosition="0"/>
    </format>
    <format dxfId="168">
      <pivotArea field="9" type="button" dataOnly="0" labelOnly="1" outline="0" axis="axisRow" fieldPosition="0"/>
    </format>
    <format dxfId="167">
      <pivotArea dataOnly="0" labelOnly="1" fieldPosition="0">
        <references count="1">
          <reference field="9" count="5">
            <x v="0"/>
            <x v="1"/>
            <x v="2"/>
            <x v="3"/>
            <x v="4"/>
          </reference>
        </references>
      </pivotArea>
    </format>
    <format dxfId="166">
      <pivotArea dataOnly="0" labelOnly="1" outline="0" axis="axisValues" fieldPosition="0"/>
    </format>
  </formats>
  <chartFormats count="1">
    <chartFormat chart="7" format="0" series="1">
      <pivotArea type="data" outline="0" fieldPosition="0">
        <references count="1">
          <reference field="4294967294" count="1" selected="0">
            <x v="0"/>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2AA0F14-8B15-487B-B026-D9A95774BBFF}" name="PivotTable11"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1" rowHeaderCaption="Lead_type">
  <location ref="C118:C119" firstHeaderRow="1" firstDataRow="1" firstDataCol="0" rowPageCount="2" colPageCount="1"/>
  <pivotFields count="17">
    <pivotField dataField="1" showAll="0"/>
    <pivotField showAll="0">
      <items count="5">
        <item x="0"/>
        <item x="3"/>
        <item x="1"/>
        <item x="2"/>
        <item t="default"/>
      </items>
    </pivotField>
    <pivotField name="Lead_Type" showAll="0">
      <items count="4">
        <item x="1"/>
        <item x="2"/>
        <item x="0"/>
        <item t="default"/>
      </items>
    </pivotField>
    <pivotField showAll="0"/>
    <pivotField numFmtId="164" showAll="0"/>
    <pivotField multipleItemSelectionAllowed="1" showAll="0"/>
    <pivotField axis="axisPage" multipleItemSelectionAllowed="1"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h="1" x="2"/>
        <item t="default"/>
      </items>
    </pivotField>
    <pivotField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s>
  <rowItems count="1">
    <i/>
  </rowItems>
  <colItems count="1">
    <i/>
  </colItems>
  <pageFields count="2">
    <pageField fld="8" hier="-1"/>
    <pageField fld="6" hier="-1"/>
  </pageFields>
  <dataFields count="1">
    <dataField name="Count of Lead ID" fld="0" subtotal="count" baseField="0" baseItem="0"/>
  </dataFields>
  <formats count="5">
    <format dxfId="175">
      <pivotArea type="all" dataOnly="0" outline="0" fieldPosition="0"/>
    </format>
    <format dxfId="174">
      <pivotArea outline="0" collapsedLevelsAreSubtotals="1" fieldPosition="0"/>
    </format>
    <format dxfId="173">
      <pivotArea field="2" type="button" dataOnly="0" labelOnly="1" outline="0"/>
    </format>
    <format dxfId="172">
      <pivotArea dataOnly="0" labelOnly="1" grandRow="1" outline="0" fieldPosition="0"/>
    </format>
    <format dxfId="171">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B135779-85C5-4704-8A6F-84F83A929E0F}" name="PivotTable7"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rowHeaderCaption="Lead_type">
  <location ref="A59:B62" firstHeaderRow="1" firstDataRow="1" firstDataCol="1"/>
  <pivotFields count="17">
    <pivotField dataField="1" showAll="0"/>
    <pivotField showAll="0">
      <items count="5">
        <item x="0"/>
        <item x="3"/>
        <item x="1"/>
        <item x="2"/>
        <item t="default"/>
      </items>
    </pivotField>
    <pivotField name="Lead_Type" axis="axisRow" showAll="0">
      <items count="4">
        <item x="1"/>
        <item x="2"/>
        <item x="0"/>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x v="2"/>
    </i>
  </rowItems>
  <colItems count="1">
    <i/>
  </colItems>
  <dataFields count="1">
    <dataField name="Count of Lead ID" fld="0" subtotal="count" baseField="0" baseItem="0"/>
  </dataFields>
  <formats count="5">
    <format dxfId="180">
      <pivotArea type="all" dataOnly="0" outline="0" fieldPosition="0"/>
    </format>
    <format dxfId="179">
      <pivotArea outline="0" collapsedLevelsAreSubtotals="1" fieldPosition="0"/>
    </format>
    <format dxfId="178">
      <pivotArea field="2" type="button" dataOnly="0" labelOnly="1" outline="0" axis="axisRow" fieldPosition="0"/>
    </format>
    <format dxfId="177">
      <pivotArea dataOnly="0" labelOnly="1" fieldPosition="0">
        <references count="1">
          <reference field="2" count="0"/>
        </references>
      </pivotArea>
    </format>
    <format dxfId="176">
      <pivotArea dataOnly="0" labelOnly="1" outline="0" axis="axisValues" fieldPosition="0"/>
    </format>
  </formats>
  <chartFormats count="5">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2" count="1" selected="0">
            <x v="0"/>
          </reference>
        </references>
      </pivotArea>
    </chartFormat>
    <chartFormat chart="8" format="2">
      <pivotArea type="data" outline="0" fieldPosition="0">
        <references count="2">
          <reference field="4294967294" count="1" selected="0">
            <x v="0"/>
          </reference>
          <reference field="2" count="1" selected="0">
            <x v="1"/>
          </reference>
        </references>
      </pivotArea>
    </chartFormat>
    <chartFormat chart="8" format="3">
      <pivotArea type="data" outline="0" fieldPosition="0">
        <references count="2">
          <reference field="4294967294" count="1" selected="0">
            <x v="0"/>
          </reference>
          <reference field="2" count="1" selected="0">
            <x v="2"/>
          </reference>
        </references>
      </pivotArea>
    </chartFormat>
    <chartFormat chart="8" format="4">
      <pivotArea type="data" outline="0" fieldPosition="0">
        <references count="1">
          <reference field="4294967294"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3573624-27BA-4294-A5CE-5ECEBAECF2A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2" rowHeaderCaption="store">
  <location ref="A30:D35" firstHeaderRow="0" firstDataRow="1" firstDataCol="1"/>
  <pivotFields count="17">
    <pivotField showAll="0"/>
    <pivotField axis="axisRow" showAll="0">
      <items count="5">
        <item x="0"/>
        <item x="3"/>
        <item x="1"/>
        <item x="2"/>
        <item t="default"/>
      </items>
    </pivotField>
    <pivotField showAll="0">
      <items count="4">
        <item x="1"/>
        <item x="2"/>
        <item x="0"/>
        <item t="default"/>
      </items>
    </pivotField>
    <pivotField showAll="0"/>
    <pivotField numFmtId="164"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s>
  <rowFields count="1">
    <field x="1"/>
  </rowFields>
  <rowItems count="5">
    <i>
      <x/>
    </i>
    <i>
      <x v="1"/>
    </i>
    <i>
      <x v="2"/>
    </i>
    <i>
      <x v="3"/>
    </i>
    <i t="grand">
      <x/>
    </i>
  </rowItems>
  <colFields count="1">
    <field x="-2"/>
  </colFields>
  <colItems count="3">
    <i>
      <x/>
    </i>
    <i i="1">
      <x v="1"/>
    </i>
    <i i="2">
      <x v="2"/>
    </i>
  </colItems>
  <dataFields count="3">
    <dataField name="Average of TAT Pre-Booking (Days)" fld="12" subtotal="average" baseField="1" baseItem="0" numFmtId="2"/>
    <dataField name="Average of TAT Booking (Days)" fld="13" subtotal="average" baseField="1" baseItem="0" numFmtId="2"/>
    <dataField name="Average of TAT Delivery (Days)" fld="14" subtotal="average" baseField="1" baseItem="0"/>
  </dataFields>
  <formats count="14">
    <format dxfId="194">
      <pivotArea collapsedLevelsAreSubtotals="1" fieldPosition="0">
        <references count="2">
          <reference field="4294967294" count="1" selected="0">
            <x v="2"/>
          </reference>
          <reference field="1" count="1">
            <x v="1"/>
          </reference>
        </references>
      </pivotArea>
    </format>
    <format dxfId="193">
      <pivotArea dataOnly="0" labelOnly="1" outline="0" fieldPosition="0">
        <references count="1">
          <reference field="4294967294" count="1">
            <x v="2"/>
          </reference>
        </references>
      </pivotArea>
    </format>
    <format dxfId="192">
      <pivotArea collapsedLevelsAreSubtotals="1" fieldPosition="0">
        <references count="2">
          <reference field="4294967294" count="1" selected="0">
            <x v="2"/>
          </reference>
          <reference field="1" count="1">
            <x v="0"/>
          </reference>
        </references>
      </pivotArea>
    </format>
    <format dxfId="191">
      <pivotArea dataOnly="0" labelOnly="1" outline="0" fieldPosition="0">
        <references count="1">
          <reference field="4294967294" count="1">
            <x v="1"/>
          </reference>
        </references>
      </pivotArea>
    </format>
    <format dxfId="190">
      <pivotArea outline="0" collapsedLevelsAreSubtotals="1" fieldPosition="0">
        <references count="1">
          <reference field="4294967294" count="1" selected="0">
            <x v="1"/>
          </reference>
        </references>
      </pivotArea>
    </format>
    <format dxfId="189">
      <pivotArea collapsedLevelsAreSubtotals="1" fieldPosition="0">
        <references count="2">
          <reference field="4294967294" count="1" selected="0">
            <x v="2"/>
          </reference>
          <reference field="1" count="2">
            <x v="2"/>
            <x v="3"/>
          </reference>
        </references>
      </pivotArea>
    </format>
    <format dxfId="188">
      <pivotArea field="1" grandRow="1" outline="0" collapsedLevelsAreSubtotals="1" axis="axisRow" fieldPosition="0">
        <references count="1">
          <reference field="4294967294" count="1" selected="0">
            <x v="2"/>
          </reference>
        </references>
      </pivotArea>
    </format>
    <format dxfId="187">
      <pivotArea outline="0" collapsedLevelsAreSubtotals="1" fieldPosition="0">
        <references count="1">
          <reference field="4294967294" count="1" selected="0">
            <x v="0"/>
          </reference>
        </references>
      </pivotArea>
    </format>
    <format dxfId="186">
      <pivotArea type="all" dataOnly="0" outline="0" fieldPosition="0"/>
    </format>
    <format dxfId="185">
      <pivotArea outline="0" collapsedLevelsAreSubtotals="1" fieldPosition="0"/>
    </format>
    <format dxfId="184">
      <pivotArea field="1" type="button" dataOnly="0" labelOnly="1" outline="0" axis="axisRow" fieldPosition="0"/>
    </format>
    <format dxfId="183">
      <pivotArea dataOnly="0" labelOnly="1" fieldPosition="0">
        <references count="1">
          <reference field="1" count="0"/>
        </references>
      </pivotArea>
    </format>
    <format dxfId="182">
      <pivotArea dataOnly="0" labelOnly="1" grandRow="1" outline="0" fieldPosition="0"/>
    </format>
    <format dxfId="181">
      <pivotArea dataOnly="0" labelOnly="1" outline="0" fieldPosition="0">
        <references count="1">
          <reference field="4294967294" count="3">
            <x v="0"/>
            <x v="1"/>
            <x v="2"/>
          </reference>
        </references>
      </pivotArea>
    </format>
  </formats>
  <chartFormats count="3">
    <chartFormat chart="30" format="0" series="1">
      <pivotArea type="data" outline="0" fieldPosition="0">
        <references count="1">
          <reference field="4294967294" count="1" selected="0">
            <x v="2"/>
          </reference>
        </references>
      </pivotArea>
    </chartFormat>
    <chartFormat chart="30"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0"/>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EF93BE-E4FD-4BDF-9674-DD1A2EA60161}" name="PivotTable6"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5" rowHeaderCaption="Lead_type">
  <location ref="B155:H160" firstHeaderRow="1" firstDataRow="2" firstDataCol="1" rowPageCount="1" colPageCount="1"/>
  <pivotFields count="17">
    <pivotField dataField="1" showAll="0"/>
    <pivotField axis="axisRow" showAll="0">
      <items count="5">
        <item x="0"/>
        <item x="3"/>
        <item x="1"/>
        <item x="2"/>
        <item t="default"/>
      </items>
    </pivotField>
    <pivotField name="Lead_Type" showAll="0">
      <items count="4">
        <item x="1"/>
        <item x="2"/>
        <item x="0"/>
        <item t="default"/>
      </items>
    </pivotField>
    <pivotField showAll="0"/>
    <pivotField numFmtId="164" showAll="0"/>
    <pivotField showAll="0"/>
    <pivotField showAll="0"/>
    <pivotField showAll="0"/>
    <pivotField axis="axisPage" multipleItemSelectionAllowed="1" showAll="0">
      <items count="3">
        <item h="1" x="0"/>
        <item x="1"/>
        <item t="default"/>
      </items>
    </pivotField>
    <pivotField axis="axisCol" showAll="0">
      <items count="7">
        <item x="3"/>
        <item x="4"/>
        <item x="2"/>
        <item x="1"/>
        <item x="5"/>
        <item x="0"/>
        <item t="default"/>
      </items>
    </pivotField>
    <pivotField showAll="0"/>
    <pivotField showAll="0"/>
    <pivotField showAll="0"/>
    <pivotField showAll="0"/>
    <pivotField showAll="0"/>
    <pivotField showAll="0"/>
    <pivotField showAll="0"/>
  </pivotFields>
  <rowFields count="1">
    <field x="1"/>
  </rowFields>
  <rowItems count="4">
    <i>
      <x/>
    </i>
    <i>
      <x v="1"/>
    </i>
    <i>
      <x v="2"/>
    </i>
    <i>
      <x v="3"/>
    </i>
  </rowItems>
  <colFields count="1">
    <field x="9"/>
  </colFields>
  <colItems count="6">
    <i>
      <x/>
    </i>
    <i>
      <x v="1"/>
    </i>
    <i>
      <x v="2"/>
    </i>
    <i>
      <x v="3"/>
    </i>
    <i>
      <x v="4"/>
    </i>
    <i t="grand">
      <x/>
    </i>
  </colItems>
  <pageFields count="1">
    <pageField fld="8" hier="-1"/>
  </pageFields>
  <dataFields count="1">
    <dataField name="Count of Lead ID" fld="0" subtotal="count" baseField="0" baseItem="0"/>
  </dataFields>
  <formats count="9">
    <format dxfId="203">
      <pivotArea type="all" dataOnly="0" outline="0" fieldPosition="0"/>
    </format>
    <format dxfId="202">
      <pivotArea outline="0" collapsedLevelsAreSubtotals="1" fieldPosition="0"/>
    </format>
    <format dxfId="201">
      <pivotArea type="origin" dataOnly="0" labelOnly="1" outline="0" fieldPosition="0"/>
    </format>
    <format dxfId="200">
      <pivotArea field="9" type="button" dataOnly="0" labelOnly="1" outline="0" axis="axisCol" fieldPosition="0"/>
    </format>
    <format dxfId="199">
      <pivotArea type="topRight" dataOnly="0" labelOnly="1" outline="0" fieldPosition="0"/>
    </format>
    <format dxfId="198">
      <pivotArea field="1" type="button" dataOnly="0" labelOnly="1" outline="0" axis="axisRow" fieldPosition="0"/>
    </format>
    <format dxfId="197">
      <pivotArea dataOnly="0" labelOnly="1" fieldPosition="0">
        <references count="1">
          <reference field="1" count="0"/>
        </references>
      </pivotArea>
    </format>
    <format dxfId="196">
      <pivotArea dataOnly="0" labelOnly="1" fieldPosition="0">
        <references count="1">
          <reference field="9" count="5">
            <x v="0"/>
            <x v="1"/>
            <x v="2"/>
            <x v="3"/>
            <x v="4"/>
          </reference>
        </references>
      </pivotArea>
    </format>
    <format dxfId="195">
      <pivotArea dataOnly="0" labelOnly="1" grandCol="1" outline="0" fieldPosition="0"/>
    </format>
  </formats>
  <chartFormats count="5">
    <chartFormat chart="32" format="0" series="1">
      <pivotArea type="data" outline="0" fieldPosition="0">
        <references count="2">
          <reference field="4294967294" count="1" selected="0">
            <x v="0"/>
          </reference>
          <reference field="9" count="1" selected="0">
            <x v="0"/>
          </reference>
        </references>
      </pivotArea>
    </chartFormat>
    <chartFormat chart="32" format="1" series="1">
      <pivotArea type="data" outline="0" fieldPosition="0">
        <references count="2">
          <reference field="4294967294" count="1" selected="0">
            <x v="0"/>
          </reference>
          <reference field="9" count="1" selected="0">
            <x v="1"/>
          </reference>
        </references>
      </pivotArea>
    </chartFormat>
    <chartFormat chart="32" format="2" series="1">
      <pivotArea type="data" outline="0" fieldPosition="0">
        <references count="2">
          <reference field="4294967294" count="1" selected="0">
            <x v="0"/>
          </reference>
          <reference field="9" count="1" selected="0">
            <x v="2"/>
          </reference>
        </references>
      </pivotArea>
    </chartFormat>
    <chartFormat chart="32" format="3" series="1">
      <pivotArea type="data" outline="0" fieldPosition="0">
        <references count="2">
          <reference field="4294967294" count="1" selected="0">
            <x v="0"/>
          </reference>
          <reference field="9" count="1" selected="0">
            <x v="3"/>
          </reference>
        </references>
      </pivotArea>
    </chartFormat>
    <chartFormat chart="32" format="4" series="1">
      <pivotArea type="data" outline="0" fieldPosition="0">
        <references count="2">
          <reference field="4294967294" count="1" selected="0">
            <x v="0"/>
          </reference>
          <reference field="9" count="1" selected="0">
            <x v="4"/>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F9E37E-731D-4732-98F8-DDEAFC667D45}" name="PivotTable10"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1" rowHeaderCaption="Lead_type">
  <location ref="A117:A118" firstHeaderRow="1" firstDataRow="1" firstDataCol="0" rowPageCount="1" colPageCount="1"/>
  <pivotFields count="17">
    <pivotField dataField="1" showAll="0"/>
    <pivotField showAll="0">
      <items count="5">
        <item x="0"/>
        <item x="3"/>
        <item x="1"/>
        <item x="2"/>
        <item t="default"/>
      </items>
    </pivotField>
    <pivotField name="Lead_Type" showAll="0">
      <items count="4">
        <item x="1"/>
        <item x="2"/>
        <item x="0"/>
        <item t="default"/>
      </items>
    </pivotField>
    <pivotField showAll="0"/>
    <pivotField numFmtId="164" showAll="0"/>
    <pivotField axis="axisPage" multipleItemSelectionAllowed="1" showAll="0">
      <items count="37">
        <item h="1" x="29"/>
        <item h="1" x="33"/>
        <item h="1" x="26"/>
        <item h="1" x="6"/>
        <item h="1" x="13"/>
        <item h="1" x="15"/>
        <item h="1" x="30"/>
        <item h="1" x="27"/>
        <item h="1" x="21"/>
        <item h="1" x="17"/>
        <item h="1" x="20"/>
        <item h="1" x="19"/>
        <item h="1" x="1"/>
        <item h="1" x="14"/>
        <item h="1" x="24"/>
        <item h="1" x="7"/>
        <item h="1" x="3"/>
        <item h="1" x="22"/>
        <item h="1" x="5"/>
        <item h="1" x="16"/>
        <item h="1" x="31"/>
        <item h="1" x="18"/>
        <item h="1" x="9"/>
        <item h="1" x="0"/>
        <item h="1" x="25"/>
        <item h="1" x="12"/>
        <item h="1" x="28"/>
        <item h="1" x="23"/>
        <item h="1" x="11"/>
        <item h="1" x="4"/>
        <item h="1" x="10"/>
        <item h="1" x="34"/>
        <item h="1" x="35"/>
        <item h="1" x="8"/>
        <item h="1" x="32"/>
        <item x="2"/>
        <item t="default"/>
      </items>
    </pivotField>
    <pivotField showAll="0"/>
    <pivotField showAll="0"/>
    <pivotField multipleItemSelectionAllowed="1" showAll="0"/>
    <pivotField showAll="0"/>
    <pivotField showAll="0"/>
    <pivotField showAll="0"/>
    <pivotField showAll="0"/>
    <pivotField showAll="0"/>
    <pivotField showAll="0"/>
    <pivotField showAll="0"/>
    <pivotField showAll="0"/>
  </pivotFields>
  <rowItems count="1">
    <i/>
  </rowItems>
  <colItems count="1">
    <i/>
  </colItems>
  <pageFields count="1">
    <pageField fld="5" hier="-1"/>
  </pageFields>
  <dataFields count="1">
    <dataField name="Count of Lead ID" fld="0" subtotal="count" baseField="0" baseItem="0"/>
  </dataFields>
  <formats count="5">
    <format dxfId="208">
      <pivotArea type="all" dataOnly="0" outline="0" fieldPosition="0"/>
    </format>
    <format dxfId="207">
      <pivotArea outline="0" collapsedLevelsAreSubtotals="1" fieldPosition="0"/>
    </format>
    <format dxfId="206">
      <pivotArea field="2" type="button" dataOnly="0" labelOnly="1" outline="0"/>
    </format>
    <format dxfId="205">
      <pivotArea dataOnly="0" labelOnly="1" grandRow="1" outline="0" fieldPosition="0"/>
    </format>
    <format dxfId="204">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B62DF04-186A-4D52-94E0-D6BA42042E99}" name="PivotTable8"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0" rowHeaderCaption="Lead_type">
  <location ref="B105:C109" firstHeaderRow="1" firstDataRow="1" firstDataCol="1" rowPageCount="1" colPageCount="1"/>
  <pivotFields count="17">
    <pivotField dataField="1" showAll="0"/>
    <pivotField showAll="0">
      <items count="5">
        <item x="0"/>
        <item x="3"/>
        <item x="1"/>
        <item x="2"/>
        <item t="default"/>
      </items>
    </pivotField>
    <pivotField name="Lead_Type" axis="axisRow" showAll="0">
      <items count="4">
        <item x="1"/>
        <item x="2"/>
        <item x="0"/>
        <item t="default"/>
      </items>
    </pivotField>
    <pivotField showAll="0"/>
    <pivotField numFmtId="164" showAll="0"/>
    <pivotField showAll="0"/>
    <pivotField showAll="0"/>
    <pivotField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pageFields count="1">
    <pageField fld="8" hier="-1"/>
  </pageFields>
  <dataFields count="1">
    <dataField name="Cancelled_leads_count" fld="0" subtotal="count" baseField="2" baseItem="0"/>
  </dataFields>
  <formats count="6">
    <format dxfId="214">
      <pivotArea type="all" dataOnly="0" outline="0" fieldPosition="0"/>
    </format>
    <format dxfId="213">
      <pivotArea outline="0" collapsedLevelsAreSubtotals="1" fieldPosition="0"/>
    </format>
    <format dxfId="212">
      <pivotArea field="2" type="button" dataOnly="0" labelOnly="1" outline="0" axis="axisRow" fieldPosition="0"/>
    </format>
    <format dxfId="211">
      <pivotArea dataOnly="0" labelOnly="1" fieldPosition="0">
        <references count="1">
          <reference field="2" count="0"/>
        </references>
      </pivotArea>
    </format>
    <format dxfId="210">
      <pivotArea dataOnly="0" labelOnly="1" grandRow="1" outline="0" fieldPosition="0"/>
    </format>
    <format dxfId="209">
      <pivotArea dataOnly="0" labelOnly="1" outline="0" axis="axisValues" fieldPosition="0"/>
    </format>
  </formats>
  <chartFormats count="4">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2" count="1" selected="0">
            <x v="0"/>
          </reference>
        </references>
      </pivotArea>
    </chartFormat>
    <chartFormat chart="13" format="2">
      <pivotArea type="data" outline="0" fieldPosition="0">
        <references count="2">
          <reference field="4294967294" count="1" selected="0">
            <x v="0"/>
          </reference>
          <reference field="2" count="1" selected="0">
            <x v="1"/>
          </reference>
        </references>
      </pivotArea>
    </chartFormat>
    <chartFormat chart="13" format="3">
      <pivotArea type="data" outline="0" fieldPosition="0">
        <references count="2">
          <reference field="4294967294" count="1" selected="0">
            <x v="0"/>
          </reference>
          <reference field="2" count="1" selected="0">
            <x v="2"/>
          </reference>
        </references>
      </pivotArea>
    </chartFormat>
  </chartFormats>
  <pivotTableStyleInfo name="PivotStyleMedium11"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0DCF786-2177-4E7F-8E47-864A9D9B3F39}" name="PivotTable5"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6" rowHeaderCaption="Lead_type">
  <location ref="A80:E85" firstHeaderRow="1" firstDataRow="2" firstDataCol="1"/>
  <pivotFields count="17">
    <pivotField dataField="1" showAll="0"/>
    <pivotField axis="axisRow" showAll="0">
      <items count="5">
        <item x="0"/>
        <item x="3"/>
        <item x="1"/>
        <item x="2"/>
        <item t="default"/>
      </items>
    </pivotField>
    <pivotField name="Lead_Type" axis="axisCol" showAll="0">
      <items count="4">
        <item x="1"/>
        <item x="2"/>
        <item x="0"/>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4">
    <i>
      <x/>
    </i>
    <i>
      <x v="1"/>
    </i>
    <i>
      <x v="2"/>
    </i>
    <i>
      <x v="3"/>
    </i>
  </rowItems>
  <colFields count="1">
    <field x="2"/>
  </colFields>
  <colItems count="4">
    <i>
      <x/>
    </i>
    <i>
      <x v="1"/>
    </i>
    <i>
      <x v="2"/>
    </i>
    <i t="grand">
      <x/>
    </i>
  </colItems>
  <dataFields count="1">
    <dataField name="Count of Lead ID" fld="0" subtotal="count" baseField="0" baseItem="0"/>
  </dataFields>
  <formats count="9">
    <format dxfId="223">
      <pivotArea type="all" dataOnly="0" outline="0" fieldPosition="0"/>
    </format>
    <format dxfId="222">
      <pivotArea outline="0" collapsedLevelsAreSubtotals="1" fieldPosition="0"/>
    </format>
    <format dxfId="221">
      <pivotArea type="origin" dataOnly="0" labelOnly="1" outline="0" fieldPosition="0"/>
    </format>
    <format dxfId="220">
      <pivotArea field="2" type="button" dataOnly="0" labelOnly="1" outline="0" axis="axisCol" fieldPosition="0"/>
    </format>
    <format dxfId="219">
      <pivotArea type="topRight" dataOnly="0" labelOnly="1" outline="0" fieldPosition="0"/>
    </format>
    <format dxfId="218">
      <pivotArea field="1" type="button" dataOnly="0" labelOnly="1" outline="0" axis="axisRow" fieldPosition="0"/>
    </format>
    <format dxfId="217">
      <pivotArea dataOnly="0" labelOnly="1" fieldPosition="0">
        <references count="1">
          <reference field="1" count="0"/>
        </references>
      </pivotArea>
    </format>
    <format dxfId="216">
      <pivotArea dataOnly="0" labelOnly="1" fieldPosition="0">
        <references count="1">
          <reference field="2" count="0"/>
        </references>
      </pivotArea>
    </format>
    <format dxfId="215">
      <pivotArea dataOnly="0" labelOnly="1" grandCol="1" outline="0" fieldPosition="0"/>
    </format>
  </formats>
  <chartFormats count="8">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1" count="1" selected="0">
            <x v="2"/>
          </reference>
        </references>
      </pivotArea>
    </chartFormat>
    <chartFormat chart="1" format="3" series="1">
      <pivotArea type="data" outline="0" fieldPosition="0">
        <references count="2">
          <reference field="4294967294" count="1" selected="0">
            <x v="0"/>
          </reference>
          <reference field="1" count="1" selected="0">
            <x v="3"/>
          </reference>
        </references>
      </pivotArea>
    </chartFormat>
    <chartFormat chart="1" format="4" series="1">
      <pivotArea type="data" outline="0" fieldPosition="0">
        <references count="1">
          <reference field="4294967294" count="1" selected="0">
            <x v="0"/>
          </reference>
        </references>
      </pivotArea>
    </chartFormat>
    <chartFormat chart="1" format="5" series="1">
      <pivotArea type="data" outline="0" fieldPosition="0">
        <references count="2">
          <reference field="4294967294" count="1" selected="0">
            <x v="0"/>
          </reference>
          <reference field="2" count="1" selected="0">
            <x v="1"/>
          </reference>
        </references>
      </pivotArea>
    </chartFormat>
    <chartFormat chart="1" format="6" series="1">
      <pivotArea type="data" outline="0" fieldPosition="0">
        <references count="2">
          <reference field="4294967294" count="1" selected="0">
            <x v="0"/>
          </reference>
          <reference field="2" count="1" selected="0">
            <x v="2"/>
          </reference>
        </references>
      </pivotArea>
    </chartFormat>
    <chartFormat chart="1" format="7" series="1">
      <pivotArea type="data" outline="0" fieldPosition="0">
        <references count="2">
          <reference field="4294967294" count="1" selected="0">
            <x v="0"/>
          </reference>
          <reference field="2" count="1" selected="0">
            <x v="0"/>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C44B4333-7B69-4D98-AD8A-A0102B820919}" name="PivotTable2"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38" rowHeaderCaption="store">
  <location ref="B175:E180" firstHeaderRow="1" firstDataRow="2" firstDataCol="1"/>
  <pivotFields count="17">
    <pivotField dataField="1" showAll="0"/>
    <pivotField axis="axisRow" showAll="0">
      <items count="5">
        <item x="0"/>
        <item x="3"/>
        <item x="1"/>
        <item x="2"/>
        <item t="default"/>
      </items>
    </pivotField>
    <pivotField showAll="0">
      <items count="4">
        <item x="1"/>
        <item x="2"/>
        <item x="0"/>
        <item t="default"/>
      </items>
    </pivotField>
    <pivotField showAll="0"/>
    <pivotField numFmtId="164" showAll="0"/>
    <pivotField showAll="0"/>
    <pivotField showAll="0"/>
    <pivotField showAll="0"/>
    <pivotField multipleItemSelectionAllowed="1" showAll="0"/>
    <pivotField showAll="0"/>
    <pivotField showAll="0"/>
    <pivotField showAll="0"/>
    <pivotField showAll="0"/>
    <pivotField showAll="0"/>
    <pivotField showAll="0"/>
    <pivotField showAll="0"/>
    <pivotField axis="axisCol" showAll="0">
      <items count="5">
        <item x="0"/>
        <item h="1" x="2"/>
        <item x="1"/>
        <item x="3"/>
        <item t="default"/>
      </items>
    </pivotField>
  </pivotFields>
  <rowFields count="1">
    <field x="1"/>
  </rowFields>
  <rowItems count="4">
    <i>
      <x/>
    </i>
    <i>
      <x v="1"/>
    </i>
    <i>
      <x v="2"/>
    </i>
    <i>
      <x v="3"/>
    </i>
  </rowItems>
  <colFields count="1">
    <field x="16"/>
  </colFields>
  <colItems count="3">
    <i>
      <x/>
    </i>
    <i>
      <x v="2"/>
    </i>
    <i>
      <x v="3"/>
    </i>
  </colItems>
  <dataFields count="1">
    <dataField name="Count of Lead ID" fld="0" subtotal="count" showDataAs="percentOfRow" baseField="1" baseItem="1" numFmtId="10"/>
  </dataFields>
  <formats count="8">
    <format dxfId="231">
      <pivotArea type="all" dataOnly="0" outline="0" fieldPosition="0"/>
    </format>
    <format dxfId="230">
      <pivotArea outline="0" collapsedLevelsAreSubtotals="1" fieldPosition="0"/>
    </format>
    <format dxfId="229">
      <pivotArea type="origin" dataOnly="0" labelOnly="1" outline="0" fieldPosition="0"/>
    </format>
    <format dxfId="228">
      <pivotArea field="16" type="button" dataOnly="0" labelOnly="1" outline="0" axis="axisCol" fieldPosition="0"/>
    </format>
    <format dxfId="227">
      <pivotArea type="topRight" dataOnly="0" labelOnly="1" outline="0" fieldPosition="0"/>
    </format>
    <format dxfId="226">
      <pivotArea field="1" type="button" dataOnly="0" labelOnly="1" outline="0" axis="axisRow" fieldPosition="0"/>
    </format>
    <format dxfId="225">
      <pivotArea dataOnly="0" labelOnly="1" fieldPosition="0">
        <references count="1">
          <reference field="1" count="0"/>
        </references>
      </pivotArea>
    </format>
    <format dxfId="224">
      <pivotArea dataOnly="0" labelOnly="1" fieldPosition="0">
        <references count="1">
          <reference field="16" count="0"/>
        </references>
      </pivotArea>
    </format>
  </formats>
  <chartFormats count="3">
    <chartFormat chart="35" format="0" series="1">
      <pivotArea type="data" outline="0" fieldPosition="0">
        <references count="2">
          <reference field="4294967294" count="1" selected="0">
            <x v="0"/>
          </reference>
          <reference field="16" count="1" selected="0">
            <x v="0"/>
          </reference>
        </references>
      </pivotArea>
    </chartFormat>
    <chartFormat chart="35" format="1" series="1">
      <pivotArea type="data" outline="0" fieldPosition="0">
        <references count="2">
          <reference field="4294967294" count="1" selected="0">
            <x v="0"/>
          </reference>
          <reference field="16" count="1" selected="0">
            <x v="2"/>
          </reference>
        </references>
      </pivotArea>
    </chartFormat>
    <chartFormat chart="35" format="2" series="1">
      <pivotArea type="data" outline="0" fieldPosition="0">
        <references count="2">
          <reference field="4294967294" count="1" selected="0">
            <x v="0"/>
          </reference>
          <reference field="16" count="1" selected="0">
            <x v="3"/>
          </reference>
        </references>
      </pivotArea>
    </chartFormat>
  </chartFormats>
  <pivotTableStyleInfo name="PivotStyleMedium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5D22B35-E958-4BC8-BA4A-AC05B028C853}" name="PivotTable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rowHeaderCaption="Store">
  <location ref="D200:E205" firstHeaderRow="1" firstDataRow="1" firstDataCol="1"/>
  <pivotFields count="17">
    <pivotField showAll="0"/>
    <pivotField axis="axisRow" showAll="0">
      <items count="5">
        <item x="0"/>
        <item x="3"/>
        <item x="1"/>
        <item x="2"/>
        <item t="default"/>
      </items>
    </pivotField>
    <pivotField name="Lead_Type" showAll="0">
      <items count="4">
        <item x="1"/>
        <item x="2"/>
        <item x="0"/>
        <item t="default"/>
      </items>
    </pivotField>
    <pivotField showAll="0"/>
    <pivotField numFmtId="164" showAll="0"/>
    <pivotField showAll="0"/>
    <pivotField showAll="0"/>
    <pivotField showAll="0"/>
    <pivotField showAll="0"/>
    <pivotField showAll="0"/>
    <pivotField showAll="0"/>
    <pivotField dataField="1" showAll="0"/>
    <pivotField showAll="0"/>
    <pivotField showAll="0"/>
    <pivotField showAll="0"/>
    <pivotField showAll="0"/>
    <pivotField showAll="0">
      <items count="5">
        <item x="0"/>
        <item h="1" x="2"/>
        <item x="1"/>
        <item x="3"/>
        <item t="default"/>
      </items>
    </pivotField>
  </pivotFields>
  <rowFields count="1">
    <field x="1"/>
  </rowFields>
  <rowItems count="5">
    <i>
      <x/>
    </i>
    <i>
      <x v="1"/>
    </i>
    <i>
      <x v="2"/>
    </i>
    <i>
      <x v="3"/>
    </i>
    <i t="grand">
      <x/>
    </i>
  </rowItems>
  <colItems count="1">
    <i/>
  </colItems>
  <dataFields count="1">
    <dataField name="Average of Service Follow-up Time(Days)" fld="11" subtotal="average" baseField="1" baseItem="0" numFmtId="166"/>
  </dataFields>
  <formats count="14">
    <format dxfId="29">
      <pivotArea type="all" dataOnly="0" outline="0" fieldPosition="0"/>
    </format>
    <format dxfId="28">
      <pivotArea outline="0" collapsedLevelsAreSubtotals="1" fieldPosition="0"/>
    </format>
    <format dxfId="27">
      <pivotArea field="2" type="button" dataOnly="0" labelOnly="1" outline="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1" type="button" dataOnly="0" labelOnly="1" outline="0" axis="axisRow" fieldPosition="0"/>
    </format>
    <format dxfId="22">
      <pivotArea dataOnly="0" labelOnly="1" outline="0" axis="axisValues" fieldPosition="0"/>
    </format>
    <format dxfId="21">
      <pivotArea type="all" dataOnly="0" outline="0" fieldPosition="0"/>
    </format>
    <format dxfId="20">
      <pivotArea outline="0" collapsedLevelsAreSubtotals="1" fieldPosition="0"/>
    </format>
    <format dxfId="19">
      <pivotArea field="1" type="button" dataOnly="0" labelOnly="1" outline="0" axis="axisRow" fieldPosition="0"/>
    </format>
    <format dxfId="18">
      <pivotArea dataOnly="0" labelOnly="1" fieldPosition="0">
        <references count="1">
          <reference field="1" count="0"/>
        </references>
      </pivotArea>
    </format>
    <format dxfId="17">
      <pivotArea dataOnly="0" labelOnly="1" grandRow="1" outline="0" fieldPosition="0"/>
    </format>
    <format dxfId="16">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5A404E6-AFFF-499A-865C-12360606B4EB}" name="PivotTable3"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1" rowHeaderCaption="Lead_type">
  <location ref="H76:H77" firstHeaderRow="1" firstDataRow="1" firstDataCol="0" rowPageCount="2" colPageCount="1"/>
  <pivotFields count="17">
    <pivotField dataField="1" showAll="0"/>
    <pivotField showAll="0">
      <items count="5">
        <item x="0"/>
        <item x="3"/>
        <item x="1"/>
        <item x="2"/>
        <item t="default"/>
      </items>
    </pivotField>
    <pivotField name="Lead_Type" showAll="0">
      <items count="4">
        <item x="1"/>
        <item x="2"/>
        <item x="0"/>
        <item t="default"/>
      </items>
    </pivotField>
    <pivotField showAll="0"/>
    <pivotField numFmtId="164" showAll="0"/>
    <pivotField multipleItemSelectionAllowed="1" showAll="0"/>
    <pivotField axis="axisPage" multipleItemSelectionAllowed="1" showAll="0">
      <items count="41">
        <item x="35"/>
        <item x="34"/>
        <item x="32"/>
        <item x="29"/>
        <item x="36"/>
        <item x="5"/>
        <item x="37"/>
        <item x="13"/>
        <item x="30"/>
        <item x="14"/>
        <item x="21"/>
        <item x="23"/>
        <item x="17"/>
        <item x="20"/>
        <item x="25"/>
        <item x="11"/>
        <item x="1"/>
        <item x="6"/>
        <item x="3"/>
        <item x="24"/>
        <item x="16"/>
        <item x="28"/>
        <item x="27"/>
        <item x="26"/>
        <item x="18"/>
        <item x="8"/>
        <item x="0"/>
        <item x="15"/>
        <item x="31"/>
        <item x="12"/>
        <item x="10"/>
        <item x="22"/>
        <item x="4"/>
        <item x="7"/>
        <item x="9"/>
        <item x="38"/>
        <item x="33"/>
        <item x="19"/>
        <item x="39"/>
        <item h="1" x="2"/>
        <item t="default"/>
      </items>
    </pivotField>
    <pivotField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s>
  <rowItems count="1">
    <i/>
  </rowItems>
  <colItems count="1">
    <i/>
  </colItems>
  <pageFields count="2">
    <pageField fld="8" hier="-1"/>
    <pageField fld="6" hier="-1"/>
  </pageFields>
  <dataFields count="1">
    <dataField name="Count of Lead ID" fld="0" subtotal="count" baseField="0" baseItem="0"/>
  </dataFields>
  <formats count="5">
    <format dxfId="34">
      <pivotArea type="all" dataOnly="0" outline="0" fieldPosition="0"/>
    </format>
    <format dxfId="33">
      <pivotArea outline="0" collapsedLevelsAreSubtotals="1" fieldPosition="0"/>
    </format>
    <format dxfId="32">
      <pivotArea field="2" type="button" dataOnly="0" labelOnly="1" outline="0"/>
    </format>
    <format dxfId="31">
      <pivotArea dataOnly="0" labelOnly="1" grandRow="1" outline="0" fieldPosition="0"/>
    </format>
    <format dxfId="30">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C206FCA4-824B-4D62-8615-0EA30904621E}" name="PivotTable9"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20" rowHeaderCaption="Cancellation Reason">
  <location ref="A85:B91" firstHeaderRow="1" firstDataRow="1" firstDataCol="1" rowPageCount="1" colPageCount="1"/>
  <pivotFields count="17">
    <pivotField dataField="1" showAll="0"/>
    <pivotField showAll="0">
      <items count="5">
        <item x="0"/>
        <item x="3"/>
        <item x="1"/>
        <item x="2"/>
        <item t="default"/>
      </items>
    </pivotField>
    <pivotField name="Lead_Type" showAll="0">
      <items count="4">
        <item x="1"/>
        <item x="2"/>
        <item x="0"/>
        <item t="default"/>
      </items>
    </pivotField>
    <pivotField showAll="0"/>
    <pivotField numFmtId="164" showAll="0"/>
    <pivotField showAll="0"/>
    <pivotField showAll="0"/>
    <pivotField showAll="0"/>
    <pivotField axis="axisPage" multipleItemSelectionAllowed="1" showAll="0">
      <items count="3">
        <item h="1" x="0"/>
        <item x="1"/>
        <item t="default"/>
      </items>
    </pivotField>
    <pivotField axis="axisRow" showAll="0">
      <items count="7">
        <item x="3"/>
        <item x="4"/>
        <item x="2"/>
        <item x="1"/>
        <item x="5"/>
        <item x="0"/>
        <item t="default"/>
      </items>
    </pivotField>
    <pivotField showAll="0"/>
    <pivotField showAll="0"/>
    <pivotField showAll="0"/>
    <pivotField showAll="0"/>
    <pivotField showAll="0"/>
    <pivotField showAll="0"/>
    <pivotField showAll="0"/>
  </pivotFields>
  <rowFields count="1">
    <field x="9"/>
  </rowFields>
  <rowItems count="6">
    <i>
      <x/>
    </i>
    <i>
      <x v="1"/>
    </i>
    <i>
      <x v="2"/>
    </i>
    <i>
      <x v="3"/>
    </i>
    <i>
      <x v="4"/>
    </i>
    <i t="grand">
      <x/>
    </i>
  </rowItems>
  <colItems count="1">
    <i/>
  </colItems>
  <pageFields count="1">
    <pageField fld="8" hier="-1"/>
  </pageFields>
  <dataFields count="1">
    <dataField name="Count " fld="0" subtotal="count" baseField="8" baseItem="0"/>
  </dataFields>
  <formats count="6">
    <format dxfId="40">
      <pivotArea type="all" dataOnly="0" outline="0" fieldPosition="0"/>
    </format>
    <format dxfId="39">
      <pivotArea outline="0" collapsedLevelsAreSubtotals="1" fieldPosition="0"/>
    </format>
    <format dxfId="38">
      <pivotArea field="9" type="button" dataOnly="0" labelOnly="1" outline="0" axis="axisRow" fieldPosition="0"/>
    </format>
    <format dxfId="37">
      <pivotArea dataOnly="0" labelOnly="1" fieldPosition="0">
        <references count="1">
          <reference field="9" count="5">
            <x v="0"/>
            <x v="1"/>
            <x v="2"/>
            <x v="3"/>
            <x v="4"/>
          </reference>
        </references>
      </pivotArea>
    </format>
    <format dxfId="36">
      <pivotArea dataOnly="0" labelOnly="1" grandRow="1" outline="0" fieldPosition="0"/>
    </format>
    <format dxfId="35">
      <pivotArea dataOnly="0" labelOnly="1" outline="0" axis="axisValues" fieldPosition="0"/>
    </format>
  </formats>
  <chartFormats count="1">
    <chartFormat chart="7" format="0"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F3D22091-FFF2-46F1-AA9A-9602DCE79CD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E12:F17" firstHeaderRow="1" firstDataRow="1" firstDataCol="1" rowPageCount="1" colPageCount="1"/>
  <pivotFields count="17">
    <pivotField dataField="1" showAll="0"/>
    <pivotField axis="axisRow" showAll="0">
      <items count="5">
        <item x="0"/>
        <item x="3"/>
        <item x="1"/>
        <item x="2"/>
        <item t="default"/>
      </items>
    </pivotField>
    <pivotField showAll="0">
      <items count="4">
        <item x="1"/>
        <item x="2"/>
        <item x="0"/>
        <item t="default"/>
      </items>
    </pivotField>
    <pivotField showAll="0"/>
    <pivotField numFmtId="164" showAll="0"/>
    <pivotField showAll="0"/>
    <pivotField showAll="0"/>
    <pivotField showAll="0"/>
    <pivotField axis="axisPage" multipleItemSelectionAllowed="1" showAll="0">
      <items count="3">
        <item x="0"/>
        <item h="1" x="1"/>
        <item t="default"/>
      </items>
    </pivotField>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Items count="1">
    <i/>
  </colItems>
  <pageFields count="1">
    <pageField fld="8" hier="-1"/>
  </pageFields>
  <dataFields count="1">
    <dataField name="Delivered Leads Count" fld="0" subtotal="count" baseField="1" baseItem="2"/>
  </dataFields>
  <formats count="4">
    <format dxfId="44">
      <pivotArea type="all" dataOnly="0" outline="0" fieldPosition="0"/>
    </format>
    <format dxfId="43">
      <pivotArea outline="0" collapsedLevelsAreSubtotals="1" fieldPosition="0"/>
    </format>
    <format dxfId="42">
      <pivotArea field="1" type="button" dataOnly="0" labelOnly="1" outline="0" axis="axisRow" fieldPosition="0"/>
    </format>
    <format dxfId="41">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6178B56A-9150-4AC5-9FCB-2F1E2A3A29AF}" name="PivotTable8"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52" rowHeaderCaption="Lead_type">
  <location ref="B160:C164" firstHeaderRow="1" firstDataRow="1" firstDataCol="1"/>
  <pivotFields count="17">
    <pivotField showAll="0"/>
    <pivotField axis="axisRow" showAll="0">
      <items count="5">
        <item x="0"/>
        <item x="3"/>
        <item x="1"/>
        <item x="2"/>
        <item t="default"/>
      </items>
    </pivotField>
    <pivotField name="Lead_Type" showAll="0">
      <items count="4">
        <item x="1"/>
        <item x="2"/>
        <item x="0"/>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1"/>
  </rowFields>
  <rowItems count="4">
    <i>
      <x/>
    </i>
    <i>
      <x v="1"/>
    </i>
    <i>
      <x v="2"/>
    </i>
    <i>
      <x v="3"/>
    </i>
  </rowItems>
  <colItems count="1">
    <i/>
  </colItems>
  <dataFields count="1">
    <dataField name="Average of Customer Rating" fld="15" subtotal="average" baseField="1" baseItem="0" numFmtId="166"/>
  </dataFields>
  <formats count="6">
    <format dxfId="50">
      <pivotArea outline="0" collapsedLevelsAreSubtotals="1" fieldPosition="0"/>
    </format>
    <format dxfId="49">
      <pivotArea type="all" dataOnly="0" outline="0" fieldPosition="0"/>
    </format>
    <format dxfId="48">
      <pivotArea outline="0" collapsedLevelsAreSubtotals="1" fieldPosition="0"/>
    </format>
    <format dxfId="47">
      <pivotArea field="1" type="button" dataOnly="0" labelOnly="1" outline="0" axis="axisRow" fieldPosition="0"/>
    </format>
    <format dxfId="46">
      <pivotArea dataOnly="0" labelOnly="1" fieldPosition="0">
        <references count="1">
          <reference field="1" count="0"/>
        </references>
      </pivotArea>
    </format>
    <format dxfId="45">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313DC9E7-96B6-4B5E-83F3-6ED15AAF08CA}" name="PivotTable4"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80" rowHeaderCaption="store">
  <location ref="A54:D59" firstHeaderRow="0" firstDataRow="1" firstDataCol="1"/>
  <pivotFields count="17">
    <pivotField showAll="0"/>
    <pivotField axis="axisRow" showAll="0">
      <items count="5">
        <item x="0"/>
        <item x="3"/>
        <item x="1"/>
        <item x="2"/>
        <item t="default"/>
      </items>
    </pivotField>
    <pivotField showAll="0">
      <items count="4">
        <item x="1"/>
        <item x="2"/>
        <item x="0"/>
        <item t="default"/>
      </items>
    </pivotField>
    <pivotField showAll="0"/>
    <pivotField numFmtId="164"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s>
  <rowFields count="1">
    <field x="1"/>
  </rowFields>
  <rowItems count="5">
    <i>
      <x/>
    </i>
    <i>
      <x v="1"/>
    </i>
    <i>
      <x v="2"/>
    </i>
    <i>
      <x v="3"/>
    </i>
    <i t="grand">
      <x/>
    </i>
  </rowItems>
  <colFields count="1">
    <field x="-2"/>
  </colFields>
  <colItems count="3">
    <i>
      <x/>
    </i>
    <i i="1">
      <x v="1"/>
    </i>
    <i i="2">
      <x v="2"/>
    </i>
  </colItems>
  <dataFields count="3">
    <dataField name="Avg_TAT_Pre-Booking " fld="12" subtotal="average" baseField="1" baseItem="0" numFmtId="2"/>
    <dataField name="Avg_TAT_Booking " fld="13" subtotal="average" baseField="1" baseItem="0" numFmtId="2"/>
    <dataField name="Avg_TAT_Delivery" fld="14" subtotal="average" baseField="1" baseItem="0"/>
  </dataFields>
  <formats count="14">
    <format dxfId="64">
      <pivotArea collapsedLevelsAreSubtotals="1" fieldPosition="0">
        <references count="2">
          <reference field="4294967294" count="1" selected="0">
            <x v="2"/>
          </reference>
          <reference field="1" count="1">
            <x v="1"/>
          </reference>
        </references>
      </pivotArea>
    </format>
    <format dxfId="63">
      <pivotArea dataOnly="0" labelOnly="1" outline="0" fieldPosition="0">
        <references count="1">
          <reference field="4294967294" count="1">
            <x v="2"/>
          </reference>
        </references>
      </pivotArea>
    </format>
    <format dxfId="62">
      <pivotArea collapsedLevelsAreSubtotals="1" fieldPosition="0">
        <references count="2">
          <reference field="4294967294" count="1" selected="0">
            <x v="2"/>
          </reference>
          <reference field="1" count="1">
            <x v="0"/>
          </reference>
        </references>
      </pivotArea>
    </format>
    <format dxfId="61">
      <pivotArea dataOnly="0" labelOnly="1" outline="0" fieldPosition="0">
        <references count="1">
          <reference field="4294967294" count="1">
            <x v="1"/>
          </reference>
        </references>
      </pivotArea>
    </format>
    <format dxfId="60">
      <pivotArea outline="0" collapsedLevelsAreSubtotals="1" fieldPosition="0">
        <references count="1">
          <reference field="4294967294" count="1" selected="0">
            <x v="1"/>
          </reference>
        </references>
      </pivotArea>
    </format>
    <format dxfId="59">
      <pivotArea collapsedLevelsAreSubtotals="1" fieldPosition="0">
        <references count="2">
          <reference field="4294967294" count="1" selected="0">
            <x v="2"/>
          </reference>
          <reference field="1" count="2">
            <x v="2"/>
            <x v="3"/>
          </reference>
        </references>
      </pivotArea>
    </format>
    <format dxfId="58">
      <pivotArea field="1" grandRow="1" outline="0" collapsedLevelsAreSubtotals="1" axis="axisRow" fieldPosition="0">
        <references count="1">
          <reference field="4294967294" count="1" selected="0">
            <x v="2"/>
          </reference>
        </references>
      </pivotArea>
    </format>
    <format dxfId="57">
      <pivotArea outline="0" collapsedLevelsAreSubtotals="1" fieldPosition="0">
        <references count="1">
          <reference field="4294967294" count="1" selected="0">
            <x v="0"/>
          </reference>
        </references>
      </pivotArea>
    </format>
    <format dxfId="56">
      <pivotArea type="all" dataOnly="0" outline="0" fieldPosition="0"/>
    </format>
    <format dxfId="55">
      <pivotArea outline="0" collapsedLevelsAreSubtotals="1" fieldPosition="0"/>
    </format>
    <format dxfId="54">
      <pivotArea field="1" type="button" dataOnly="0" labelOnly="1" outline="0" axis="axisRow" fieldPosition="0"/>
    </format>
    <format dxfId="53">
      <pivotArea dataOnly="0" labelOnly="1" fieldPosition="0">
        <references count="1">
          <reference field="1" count="0"/>
        </references>
      </pivotArea>
    </format>
    <format dxfId="52">
      <pivotArea dataOnly="0" labelOnly="1" grandRow="1" outline="0" fieldPosition="0"/>
    </format>
    <format dxfId="51">
      <pivotArea dataOnly="0" labelOnly="1" outline="0" fieldPosition="0">
        <references count="1">
          <reference field="4294967294" count="3">
            <x v="0"/>
            <x v="1"/>
            <x v="2"/>
          </reference>
        </references>
      </pivotArea>
    </format>
  </formats>
  <chartFormats count="12">
    <chartFormat chart="30" format="0" series="1">
      <pivotArea type="data" outline="0" fieldPosition="0">
        <references count="1">
          <reference field="4294967294" count="1" selected="0">
            <x v="2"/>
          </reference>
        </references>
      </pivotArea>
    </chartFormat>
    <chartFormat chart="30" format="1" series="1">
      <pivotArea type="data" outline="0" fieldPosition="0">
        <references count="1">
          <reference field="4294967294" count="1" selected="0">
            <x v="1"/>
          </reference>
        </references>
      </pivotArea>
    </chartFormat>
    <chartFormat chart="30" format="2" series="1">
      <pivotArea type="data" outline="0" fieldPosition="0">
        <references count="1">
          <reference field="4294967294" count="1" selected="0">
            <x v="0"/>
          </reference>
        </references>
      </pivotArea>
    </chartFormat>
    <chartFormat chart="70" format="0" series="1">
      <pivotArea type="data" outline="0" fieldPosition="0">
        <references count="1">
          <reference field="4294967294" count="1" selected="0">
            <x v="0"/>
          </reference>
        </references>
      </pivotArea>
    </chartFormat>
    <chartFormat chart="70" format="1" series="1">
      <pivotArea type="data" outline="0" fieldPosition="0">
        <references count="1">
          <reference field="4294967294" count="1" selected="0">
            <x v="1"/>
          </reference>
        </references>
      </pivotArea>
    </chartFormat>
    <chartFormat chart="70" format="2" series="1">
      <pivotArea type="data" outline="0" fieldPosition="0">
        <references count="1">
          <reference field="4294967294" count="1" selected="0">
            <x v="2"/>
          </reference>
        </references>
      </pivotArea>
    </chartFormat>
    <chartFormat chart="78" format="3" series="1">
      <pivotArea type="data" outline="0" fieldPosition="0">
        <references count="1">
          <reference field="4294967294" count="1" selected="0">
            <x v="0"/>
          </reference>
        </references>
      </pivotArea>
    </chartFormat>
    <chartFormat chart="78" format="4" series="1">
      <pivotArea type="data" outline="0" fieldPosition="0">
        <references count="1">
          <reference field="4294967294" count="1" selected="0">
            <x v="1"/>
          </reference>
        </references>
      </pivotArea>
    </chartFormat>
    <chartFormat chart="78" format="5" series="1">
      <pivotArea type="data" outline="0" fieldPosition="0">
        <references count="1">
          <reference field="4294967294" count="1" selected="0">
            <x v="2"/>
          </reference>
        </references>
      </pivotArea>
    </chartFormat>
    <chartFormat chart="79" format="6" series="1">
      <pivotArea type="data" outline="0" fieldPosition="0">
        <references count="1">
          <reference field="4294967294" count="1" selected="0">
            <x v="0"/>
          </reference>
        </references>
      </pivotArea>
    </chartFormat>
    <chartFormat chart="79" format="7" series="1">
      <pivotArea type="data" outline="0" fieldPosition="0">
        <references count="1">
          <reference field="4294967294" count="1" selected="0">
            <x v="1"/>
          </reference>
        </references>
      </pivotArea>
    </chartFormat>
    <chartFormat chart="79" format="8"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5E2515B9-0575-447B-955E-591C5DC36B3A}" name="PivotTable2"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1" rowHeaderCaption="Lead_type">
  <location ref="H69:H70" firstHeaderRow="1" firstDataRow="1" firstDataCol="0" rowPageCount="1" colPageCount="1"/>
  <pivotFields count="17">
    <pivotField dataField="1" showAll="0"/>
    <pivotField showAll="0">
      <items count="5">
        <item x="0"/>
        <item x="3"/>
        <item x="1"/>
        <item x="2"/>
        <item t="default"/>
      </items>
    </pivotField>
    <pivotField name="Lead_Type" showAll="0">
      <items count="4">
        <item x="1"/>
        <item x="2"/>
        <item x="0"/>
        <item t="default"/>
      </items>
    </pivotField>
    <pivotField showAll="0"/>
    <pivotField numFmtId="164" showAll="0"/>
    <pivotField axis="axisPage" multipleItemSelectionAllowed="1" showAll="0">
      <items count="37">
        <item h="1" x="29"/>
        <item h="1" x="33"/>
        <item h="1" x="26"/>
        <item h="1" x="6"/>
        <item h="1" x="13"/>
        <item h="1" x="15"/>
        <item h="1" x="30"/>
        <item h="1" x="27"/>
        <item h="1" x="21"/>
        <item h="1" x="17"/>
        <item h="1" x="20"/>
        <item h="1" x="19"/>
        <item h="1" x="1"/>
        <item h="1" x="14"/>
        <item h="1" x="24"/>
        <item h="1" x="7"/>
        <item h="1" x="3"/>
        <item h="1" x="22"/>
        <item h="1" x="5"/>
        <item h="1" x="16"/>
        <item h="1" x="31"/>
        <item h="1" x="18"/>
        <item h="1" x="9"/>
        <item h="1" x="0"/>
        <item h="1" x="25"/>
        <item h="1" x="12"/>
        <item h="1" x="28"/>
        <item h="1" x="23"/>
        <item h="1" x="11"/>
        <item h="1" x="4"/>
        <item h="1" x="10"/>
        <item h="1" x="34"/>
        <item h="1" x="35"/>
        <item h="1" x="8"/>
        <item h="1" x="32"/>
        <item x="2"/>
        <item t="default"/>
      </items>
    </pivotField>
    <pivotField showAll="0"/>
    <pivotField showAll="0"/>
    <pivotField multipleItemSelectionAllowed="1" showAll="0"/>
    <pivotField showAll="0"/>
    <pivotField showAll="0"/>
    <pivotField showAll="0"/>
    <pivotField showAll="0"/>
    <pivotField showAll="0"/>
    <pivotField showAll="0"/>
    <pivotField showAll="0"/>
    <pivotField showAll="0"/>
  </pivotFields>
  <rowItems count="1">
    <i/>
  </rowItems>
  <colItems count="1">
    <i/>
  </colItems>
  <pageFields count="1">
    <pageField fld="5" hier="-1"/>
  </pageFields>
  <dataFields count="1">
    <dataField name="Count of Lead ID" fld="0" subtotal="count" baseField="0" baseItem="0"/>
  </dataFields>
  <formats count="5">
    <format dxfId="69">
      <pivotArea type="all" dataOnly="0" outline="0" fieldPosition="0"/>
    </format>
    <format dxfId="68">
      <pivotArea outline="0" collapsedLevelsAreSubtotals="1" fieldPosition="0"/>
    </format>
    <format dxfId="67">
      <pivotArea field="2" type="button" dataOnly="0" labelOnly="1" outline="0"/>
    </format>
    <format dxfId="66">
      <pivotArea dataOnly="0" labelOnly="1" grandRow="1" outline="0" fieldPosition="0"/>
    </format>
    <format dxfId="65">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C0D28008-66B1-4270-B96B-4F283A9CA8C2}" name="PivotTable7"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44" rowHeaderCaption="Lead_type">
  <location ref="A172:B178" firstHeaderRow="1" firstDataRow="2" firstDataCol="1"/>
  <pivotFields count="17">
    <pivotField dataField="1" showAll="0"/>
    <pivotField axis="axisRow" showAll="0">
      <items count="5">
        <item x="0"/>
        <item x="3"/>
        <item x="1"/>
        <item x="2"/>
        <item t="default"/>
      </items>
    </pivotField>
    <pivotField name="Lead_Type" showAll="0">
      <items count="4">
        <item x="1"/>
        <item x="2"/>
        <item x="0"/>
        <item t="default"/>
      </items>
    </pivotField>
    <pivotField axis="axisCol" showAll="0">
      <items count="3">
        <item x="0"/>
        <item h="1" x="1"/>
        <item t="default"/>
      </items>
    </pivotField>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Fields count="1">
    <field x="3"/>
  </colFields>
  <colItems count="1">
    <i>
      <x/>
    </i>
  </colItems>
  <dataFields count="1">
    <dataField name="Count of Lead ID" fld="0" subtotal="count" baseField="0" baseItem="0"/>
  </dataFields>
  <formats count="8">
    <format dxfId="77">
      <pivotArea type="all" dataOnly="0" outline="0" fieldPosition="0"/>
    </format>
    <format dxfId="76">
      <pivotArea outline="0" collapsedLevelsAreSubtotals="1" fieldPosition="0"/>
    </format>
    <format dxfId="75">
      <pivotArea type="origin" dataOnly="0" labelOnly="1" outline="0" fieldPosition="0"/>
    </format>
    <format dxfId="74">
      <pivotArea field="3" type="button" dataOnly="0" labelOnly="1" outline="0" axis="axisCol" fieldPosition="0"/>
    </format>
    <format dxfId="73">
      <pivotArea field="1" type="button" dataOnly="0" labelOnly="1" outline="0" axis="axisRow" fieldPosition="0"/>
    </format>
    <format dxfId="72">
      <pivotArea dataOnly="0" labelOnly="1" fieldPosition="0">
        <references count="1">
          <reference field="1" count="0"/>
        </references>
      </pivotArea>
    </format>
    <format dxfId="71">
      <pivotArea dataOnly="0" labelOnly="1" grandRow="1" outline="0" fieldPosition="0"/>
    </format>
    <format dxfId="70">
      <pivotArea dataOnly="0" labelOnly="1" fieldPosition="0">
        <references count="1">
          <reference field="3" count="0"/>
        </references>
      </pivotArea>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27A4FD6F-F4AC-4CFF-917F-83F7AC78B8E7}"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12:D17" firstHeaderRow="0" firstDataRow="1" firstDataCol="1"/>
  <pivotFields count="17">
    <pivotField dataField="1" showAll="0"/>
    <pivotField axis="axisRow" showAll="0">
      <items count="5">
        <item x="0"/>
        <item x="3"/>
        <item x="1"/>
        <item x="2"/>
        <item t="default"/>
      </items>
    </pivotField>
    <pivotField showAll="0">
      <items count="4">
        <item x="1"/>
        <item x="2"/>
        <item x="0"/>
        <item t="default"/>
      </items>
    </pivotField>
    <pivotField showAll="0"/>
    <pivotField numFmtId="164"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s>
  <rowFields count="1">
    <field x="1"/>
  </rowFields>
  <rowItems count="5">
    <i>
      <x/>
    </i>
    <i>
      <x v="1"/>
    </i>
    <i>
      <x v="2"/>
    </i>
    <i>
      <x v="3"/>
    </i>
    <i t="grand">
      <x/>
    </i>
  </rowItems>
  <colFields count="1">
    <field x="-2"/>
  </colFields>
  <colItems count="3">
    <i>
      <x/>
    </i>
    <i i="1">
      <x v="1"/>
    </i>
    <i i="2">
      <x v="2"/>
    </i>
  </colItems>
  <dataFields count="3">
    <dataField name="Count of Lead ID" fld="0" subtotal="count" baseField="0" baseItem="0"/>
    <dataField name="Count of Pre-Booking Date" fld="5" subtotal="count" baseField="1" baseItem="3"/>
    <dataField name="Count of Booking Date" fld="6" subtotal="count" baseField="0" baseItem="0"/>
  </dataFields>
  <formats count="6">
    <format dxfId="83">
      <pivotArea type="all" dataOnly="0" outline="0" fieldPosition="0"/>
    </format>
    <format dxfId="82">
      <pivotArea outline="0" collapsedLevelsAreSubtotals="1" fieldPosition="0"/>
    </format>
    <format dxfId="81">
      <pivotArea field="1" type="button" dataOnly="0" labelOnly="1" outline="0" axis="axisRow" fieldPosition="0"/>
    </format>
    <format dxfId="80">
      <pivotArea dataOnly="0" labelOnly="1" fieldPosition="0">
        <references count="1">
          <reference field="1" count="0"/>
        </references>
      </pivotArea>
    </format>
    <format dxfId="79">
      <pivotArea dataOnly="0" labelOnly="1" grandRow="1" outline="0" fieldPosition="0"/>
    </format>
    <format dxfId="78">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50D97229-97E8-4EA5-AD5D-0A3D1D3CC0A6}" name="PivotTable11"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3" rowHeaderCaption="Lead_type">
  <location ref="A121:B124" firstHeaderRow="1" firstDataRow="1" firstDataCol="1"/>
  <pivotFields count="17">
    <pivotField dataField="1" showAll="0"/>
    <pivotField showAll="0">
      <items count="5">
        <item x="0"/>
        <item x="3"/>
        <item x="1"/>
        <item x="2"/>
        <item t="default"/>
      </items>
    </pivotField>
    <pivotField name="Lead_Type" axis="axisRow" showAll="0">
      <items count="4">
        <item x="1"/>
        <item x="2"/>
        <item x="0"/>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
    <i>
      <x/>
    </i>
    <i>
      <x v="1"/>
    </i>
    <i>
      <x v="2"/>
    </i>
  </rowItems>
  <colItems count="1">
    <i/>
  </colItems>
  <dataFields count="1">
    <dataField name="Count of Lead ID" fld="0" subtotal="count" baseField="0" baseItem="0"/>
  </dataFields>
  <formats count="5">
    <format dxfId="88">
      <pivotArea type="all" dataOnly="0" outline="0" fieldPosition="0"/>
    </format>
    <format dxfId="87">
      <pivotArea outline="0" collapsedLevelsAreSubtotals="1" fieldPosition="0"/>
    </format>
    <format dxfId="86">
      <pivotArea field="2" type="button" dataOnly="0" labelOnly="1" outline="0" axis="axisRow" fieldPosition="0"/>
    </format>
    <format dxfId="85">
      <pivotArea dataOnly="0" labelOnly="1" fieldPosition="0">
        <references count="1">
          <reference field="2" count="0"/>
        </references>
      </pivotArea>
    </format>
    <format dxfId="84">
      <pivotArea dataOnly="0" labelOnly="1" outline="0" axis="axisValues" fieldPosition="0"/>
    </format>
  </formats>
  <chartFormats count="4">
    <chartFormat chart="8" format="0" series="1">
      <pivotArea type="data" outline="0" fieldPosition="0">
        <references count="1">
          <reference field="4294967294" count="1" selected="0">
            <x v="0"/>
          </reference>
        </references>
      </pivotArea>
    </chartFormat>
    <chartFormat chart="8" format="1">
      <pivotArea type="data" outline="0" fieldPosition="0">
        <references count="2">
          <reference field="4294967294" count="1" selected="0">
            <x v="0"/>
          </reference>
          <reference field="2" count="1" selected="0">
            <x v="0"/>
          </reference>
        </references>
      </pivotArea>
    </chartFormat>
    <chartFormat chart="8" format="2">
      <pivotArea type="data" outline="0" fieldPosition="0">
        <references count="2">
          <reference field="4294967294" count="1" selected="0">
            <x v="0"/>
          </reference>
          <reference field="2" count="1" selected="0">
            <x v="1"/>
          </reference>
        </references>
      </pivotArea>
    </chartFormat>
    <chartFormat chart="8" format="3">
      <pivotArea type="data" outline="0" fieldPosition="0">
        <references count="2">
          <reference field="4294967294" count="1" selected="0">
            <x v="0"/>
          </reference>
          <reference field="2"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C2E26E8-CD73-45B4-A8EC-C5CF9DB92E66}" name="PivotTable12"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6" rowHeaderCaption="Lead_type">
  <location ref="B139:C142" firstHeaderRow="1" firstDataRow="1" firstDataCol="1"/>
  <pivotFields count="17">
    <pivotField dataField="1" showAll="0"/>
    <pivotField showAll="0">
      <items count="5">
        <item x="0"/>
        <item x="3"/>
        <item x="1"/>
        <item x="2"/>
        <item t="default"/>
      </items>
    </pivotField>
    <pivotField name="Lead_Type" showAll="0">
      <items count="4">
        <item x="1"/>
        <item x="2"/>
        <item x="0"/>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0"/>
        <item h="1" x="2"/>
        <item x="1"/>
        <item x="3"/>
        <item t="default"/>
      </items>
    </pivotField>
  </pivotFields>
  <rowFields count="1">
    <field x="16"/>
  </rowFields>
  <rowItems count="3">
    <i>
      <x/>
    </i>
    <i>
      <x v="2"/>
    </i>
    <i>
      <x v="3"/>
    </i>
  </rowItems>
  <colItems count="1">
    <i/>
  </colItems>
  <dataFields count="1">
    <dataField name="Count of Lead ID" fld="0" subtotal="count" baseField="0" baseItem="0"/>
  </dataFields>
  <formats count="5">
    <format dxfId="93">
      <pivotArea type="all" dataOnly="0" outline="0" fieldPosition="0"/>
    </format>
    <format dxfId="92">
      <pivotArea outline="0" collapsedLevelsAreSubtotals="1" fieldPosition="0"/>
    </format>
    <format dxfId="91">
      <pivotArea field="16" type="button" dataOnly="0" labelOnly="1" outline="0" axis="axisRow" fieldPosition="0"/>
    </format>
    <format dxfId="90">
      <pivotArea dataOnly="0" labelOnly="1" fieldPosition="0">
        <references count="1">
          <reference field="16" count="0"/>
        </references>
      </pivotArea>
    </format>
    <format dxfId="89">
      <pivotArea dataOnly="0" labelOnly="1" outline="0" axis="axisValues" fieldPosition="0"/>
    </format>
  </formats>
  <chartFormats count="8">
    <chartFormat chart="21" format="0" series="1">
      <pivotArea type="data" outline="0" fieldPosition="0">
        <references count="1">
          <reference field="4294967294" count="1" selected="0">
            <x v="0"/>
          </reference>
        </references>
      </pivotArea>
    </chartFormat>
    <chartFormat chart="21" format="1">
      <pivotArea type="data" outline="0" fieldPosition="0">
        <references count="2">
          <reference field="4294967294" count="1" selected="0">
            <x v="0"/>
          </reference>
          <reference field="16" count="1" selected="0">
            <x v="0"/>
          </reference>
        </references>
      </pivotArea>
    </chartFormat>
    <chartFormat chart="21" format="2">
      <pivotArea type="data" outline="0" fieldPosition="0">
        <references count="2">
          <reference field="4294967294" count="1" selected="0">
            <x v="0"/>
          </reference>
          <reference field="16" count="1" selected="0">
            <x v="2"/>
          </reference>
        </references>
      </pivotArea>
    </chartFormat>
    <chartFormat chart="21" format="3">
      <pivotArea type="data" outline="0" fieldPosition="0">
        <references count="2">
          <reference field="4294967294" count="1" selected="0">
            <x v="0"/>
          </reference>
          <reference field="16" count="1" selected="0">
            <x v="3"/>
          </reference>
        </references>
      </pivotArea>
    </chartFormat>
    <chartFormat chart="31" format="8" series="1">
      <pivotArea type="data" outline="0" fieldPosition="0">
        <references count="1">
          <reference field="4294967294" count="1" selected="0">
            <x v="0"/>
          </reference>
        </references>
      </pivotArea>
    </chartFormat>
    <chartFormat chart="31" format="9">
      <pivotArea type="data" outline="0" fieldPosition="0">
        <references count="2">
          <reference field="4294967294" count="1" selected="0">
            <x v="0"/>
          </reference>
          <reference field="16" count="1" selected="0">
            <x v="0"/>
          </reference>
        </references>
      </pivotArea>
    </chartFormat>
    <chartFormat chart="31" format="10">
      <pivotArea type="data" outline="0" fieldPosition="0">
        <references count="2">
          <reference field="4294967294" count="1" selected="0">
            <x v="0"/>
          </reference>
          <reference field="16" count="1" selected="0">
            <x v="2"/>
          </reference>
        </references>
      </pivotArea>
    </chartFormat>
    <chartFormat chart="31" format="11">
      <pivotArea type="data" outline="0" fieldPosition="0">
        <references count="2">
          <reference field="4294967294" count="1" selected="0">
            <x v="0"/>
          </reference>
          <reference field="16" count="1" selected="0">
            <x v="3"/>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E5740BE9-BF8F-4247-B509-0D5D05FE042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D4" firstHeaderRow="1" firstDataRow="1" firstDataCol="0" rowPageCount="1" colPageCount="1"/>
  <pivotFields count="17">
    <pivotField dataField="1" showAll="0"/>
    <pivotField showAll="0">
      <items count="5">
        <item x="0"/>
        <item x="3"/>
        <item x="1"/>
        <item x="2"/>
        <item t="default"/>
      </items>
    </pivotField>
    <pivotField showAll="0">
      <items count="4">
        <item x="1"/>
        <item x="2"/>
        <item x="0"/>
        <item t="default"/>
      </items>
    </pivotField>
    <pivotField showAll="0"/>
    <pivotField numFmtId="164" showAll="0"/>
    <pivotField showAll="0"/>
    <pivotField showAll="0"/>
    <pivotField showAll="0"/>
    <pivotField axis="axisPage" multipleItemSelectionAllowed="1" showAll="0">
      <items count="3">
        <item x="0"/>
        <item h="1" x="1"/>
        <item t="default"/>
      </items>
    </pivotField>
    <pivotField showAll="0"/>
    <pivotField showAll="0"/>
    <pivotField showAll="0"/>
    <pivotField showAll="0"/>
    <pivotField showAll="0"/>
    <pivotField showAll="0"/>
    <pivotField showAll="0"/>
    <pivotField showAll="0"/>
  </pivotFields>
  <rowItems count="1">
    <i/>
  </rowItems>
  <colItems count="1">
    <i/>
  </colItems>
  <pageFields count="1">
    <pageField fld="8" hier="-1"/>
  </pageFields>
  <dataFields count="1">
    <dataField name="Total Delivered Lead" fld="0" subtotal="count" baseField="0" baseItem="0"/>
  </dataFields>
  <formats count="10">
    <format dxfId="103">
      <pivotArea type="all" dataOnly="0" outline="0" fieldPosition="0"/>
    </format>
    <format dxfId="102">
      <pivotArea outline="0" collapsedLevelsAreSubtotals="1" fieldPosition="0"/>
    </format>
    <format dxfId="101">
      <pivotArea field="1" type="button" dataOnly="0" labelOnly="1" outline="0"/>
    </format>
    <format dxfId="100">
      <pivotArea dataOnly="0" labelOnly="1" grandRow="1" outline="0" fieldPosition="0"/>
    </format>
    <format dxfId="99">
      <pivotArea type="all" dataOnly="0" outline="0" fieldPosition="0"/>
    </format>
    <format dxfId="98">
      <pivotArea outline="0" collapsedLevelsAreSubtotals="1" fieldPosition="0"/>
    </format>
    <format dxfId="97">
      <pivotArea dataOnly="0" labelOnly="1" outline="0" axis="axisValues" fieldPosition="0"/>
    </format>
    <format dxfId="96">
      <pivotArea type="all" dataOnly="0" outline="0" fieldPosition="0"/>
    </format>
    <format dxfId="95">
      <pivotArea outline="0" collapsedLevelsAreSubtotals="1" fieldPosition="0"/>
    </format>
    <format dxfId="9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6384F79C-E759-4582-B999-C12FDB70B60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B2:C3" firstHeaderRow="0" firstDataRow="1" firstDataCol="0"/>
  <pivotFields count="17">
    <pivotField dataField="1" showAll="0"/>
    <pivotField showAll="0">
      <items count="5">
        <item x="0"/>
        <item x="3"/>
        <item x="1"/>
        <item x="2"/>
        <item t="default"/>
      </items>
    </pivotField>
    <pivotField showAll="0">
      <items count="4">
        <item x="1"/>
        <item x="2"/>
        <item x="0"/>
        <item t="default"/>
      </items>
    </pivotField>
    <pivotField showAll="0"/>
    <pivotField numFmtId="164"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Fields count="1">
    <field x="-2"/>
  </colFields>
  <colItems count="2">
    <i>
      <x/>
    </i>
    <i i="1">
      <x v="1"/>
    </i>
  </colItems>
  <dataFields count="2">
    <dataField name="Total Lead" fld="0" subtotal="count" baseField="0" baseItem="1"/>
    <dataField name="Avg Customer Rating" fld="15" subtotal="average" baseField="0" baseItem="1" numFmtId="2"/>
  </dataFields>
  <formats count="12">
    <format dxfId="115">
      <pivotArea type="all" dataOnly="0" outline="0" fieldPosition="0"/>
    </format>
    <format dxfId="114">
      <pivotArea outline="0" collapsedLevelsAreSubtotals="1" fieldPosition="0"/>
    </format>
    <format dxfId="113">
      <pivotArea field="1" type="button" dataOnly="0" labelOnly="1" outline="0"/>
    </format>
    <format dxfId="112">
      <pivotArea dataOnly="0" labelOnly="1" grandRow="1" outline="0" fieldPosition="0"/>
    </format>
    <format dxfId="111">
      <pivotArea outline="0" collapsedLevelsAreSubtotals="1" fieldPosition="0">
        <references count="1">
          <reference field="4294967294" count="1" selected="0">
            <x v="1"/>
          </reference>
        </references>
      </pivotArea>
    </format>
    <format dxfId="110">
      <pivotArea type="all" dataOnly="0" outline="0" fieldPosition="0"/>
    </format>
    <format dxfId="109">
      <pivotArea outline="0" collapsedLevelsAreSubtotals="1" fieldPosition="0"/>
    </format>
    <format dxfId="108">
      <pivotArea dataOnly="0" labelOnly="1" outline="0" fieldPosition="0">
        <references count="1">
          <reference field="4294967294" count="2">
            <x v="0"/>
            <x v="1"/>
          </reference>
        </references>
      </pivotArea>
    </format>
    <format dxfId="107">
      <pivotArea outline="0" collapsedLevelsAreSubtotals="1" fieldPosition="0">
        <references count="1">
          <reference field="4294967294" count="1" selected="0">
            <x v="1"/>
          </reference>
        </references>
      </pivotArea>
    </format>
    <format dxfId="106">
      <pivotArea dataOnly="0" labelOnly="1" outline="0" fieldPosition="0">
        <references count="1">
          <reference field="4294967294" count="1">
            <x v="1"/>
          </reference>
        </references>
      </pivotArea>
    </format>
    <format dxfId="105">
      <pivotArea outline="0" collapsedLevelsAreSubtotals="1" fieldPosition="0">
        <references count="1">
          <reference field="4294967294" count="1" selected="0">
            <x v="0"/>
          </reference>
        </references>
      </pivotArea>
    </format>
    <format dxfId="104">
      <pivotArea dataOnly="0" labelOnly="1" outline="0" fieldPosition="0">
        <references count="1">
          <reference field="4294967294"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AEF94C71-7B87-408A-B732-8408A13D13BB}" name="PivotTable5"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31" rowHeaderCaption="Lead_type">
  <location ref="A68:B72" firstHeaderRow="1" firstDataRow="1" firstDataCol="1" rowPageCount="1" colPageCount="1"/>
  <pivotFields count="17">
    <pivotField dataField="1" showAll="0"/>
    <pivotField showAll="0">
      <items count="5">
        <item x="0"/>
        <item x="3"/>
        <item x="1"/>
        <item x="2"/>
        <item t="default"/>
      </items>
    </pivotField>
    <pivotField name="Lead_Type" axis="axisRow" showAll="0">
      <items count="4">
        <item x="1"/>
        <item x="2"/>
        <item x="0"/>
        <item t="default"/>
      </items>
    </pivotField>
    <pivotField showAll="0"/>
    <pivotField numFmtId="164" showAll="0"/>
    <pivotField showAll="0"/>
    <pivotField showAll="0"/>
    <pivotField showAll="0"/>
    <pivotField axis="axisPage" multipleItemSelectionAllowed="1" showAll="0">
      <items count="3">
        <item h="1" x="0"/>
        <item x="1"/>
        <item t="default"/>
      </items>
    </pivotField>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pageFields count="1">
    <pageField fld="8" hier="-1"/>
  </pageFields>
  <dataFields count="1">
    <dataField name="Cancelled_leads_count" fld="0" subtotal="count" baseField="2" baseItem="0"/>
  </dataFields>
  <formats count="6">
    <format dxfId="121">
      <pivotArea type="all" dataOnly="0" outline="0" fieldPosition="0"/>
    </format>
    <format dxfId="120">
      <pivotArea outline="0" collapsedLevelsAreSubtotals="1" fieldPosition="0"/>
    </format>
    <format dxfId="119">
      <pivotArea field="2" type="button" dataOnly="0" labelOnly="1" outline="0" axis="axisRow" fieldPosition="0"/>
    </format>
    <format dxfId="118">
      <pivotArea dataOnly="0" labelOnly="1" fieldPosition="0">
        <references count="1">
          <reference field="2" count="0"/>
        </references>
      </pivotArea>
    </format>
    <format dxfId="117">
      <pivotArea dataOnly="0" labelOnly="1" grandRow="1" outline="0" fieldPosition="0"/>
    </format>
    <format dxfId="116">
      <pivotArea dataOnly="0" labelOnly="1" outline="0" axis="axisValues" fieldPosition="0"/>
    </format>
  </formats>
  <chartFormats count="4">
    <chartFormat chart="13" format="0" series="1">
      <pivotArea type="data" outline="0" fieldPosition="0">
        <references count="1">
          <reference field="4294967294" count="1" selected="0">
            <x v="0"/>
          </reference>
        </references>
      </pivotArea>
    </chartFormat>
    <chartFormat chart="13" format="1">
      <pivotArea type="data" outline="0" fieldPosition="0">
        <references count="2">
          <reference field="4294967294" count="1" selected="0">
            <x v="0"/>
          </reference>
          <reference field="2" count="1" selected="0">
            <x v="0"/>
          </reference>
        </references>
      </pivotArea>
    </chartFormat>
    <chartFormat chart="13" format="2">
      <pivotArea type="data" outline="0" fieldPosition="0">
        <references count="2">
          <reference field="4294967294" count="1" selected="0">
            <x v="0"/>
          </reference>
          <reference field="2" count="1" selected="0">
            <x v="1"/>
          </reference>
        </references>
      </pivotArea>
    </chartFormat>
    <chartFormat chart="13" format="3">
      <pivotArea type="data" outline="0" fieldPosition="0">
        <references count="2">
          <reference field="4294967294" count="1" selected="0">
            <x v="0"/>
          </reference>
          <reference field="2"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66C57ED-8C8F-427E-AE15-402E4C968341}" name="PivotTable10" cacheId="0"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7" rowHeaderCaption="Lead_type">
  <location ref="A106:G111" firstHeaderRow="1" firstDataRow="2" firstDataCol="1" rowPageCount="1" colPageCount="1"/>
  <pivotFields count="17">
    <pivotField dataField="1" showAll="0"/>
    <pivotField axis="axisRow" showAll="0">
      <items count="5">
        <item x="0"/>
        <item x="3"/>
        <item x="1"/>
        <item x="2"/>
        <item t="default"/>
      </items>
    </pivotField>
    <pivotField name="Lead_Type" showAll="0">
      <items count="4">
        <item x="1"/>
        <item x="2"/>
        <item x="0"/>
        <item t="default"/>
      </items>
    </pivotField>
    <pivotField showAll="0"/>
    <pivotField numFmtId="164" showAll="0"/>
    <pivotField showAll="0"/>
    <pivotField showAll="0"/>
    <pivotField showAll="0"/>
    <pivotField axis="axisPage" multipleItemSelectionAllowed="1" showAll="0">
      <items count="3">
        <item h="1" x="0"/>
        <item x="1"/>
        <item t="default"/>
      </items>
    </pivotField>
    <pivotField axis="axisCol" showAll="0">
      <items count="7">
        <item x="3"/>
        <item x="4"/>
        <item x="2"/>
        <item x="1"/>
        <item x="5"/>
        <item x="0"/>
        <item t="default"/>
      </items>
    </pivotField>
    <pivotField showAll="0"/>
    <pivotField showAll="0"/>
    <pivotField showAll="0"/>
    <pivotField showAll="0"/>
    <pivotField showAll="0"/>
    <pivotField showAll="0"/>
    <pivotField showAll="0"/>
  </pivotFields>
  <rowFields count="1">
    <field x="1"/>
  </rowFields>
  <rowItems count="4">
    <i>
      <x/>
    </i>
    <i>
      <x v="1"/>
    </i>
    <i>
      <x v="2"/>
    </i>
    <i>
      <x v="3"/>
    </i>
  </rowItems>
  <colFields count="1">
    <field x="9"/>
  </colFields>
  <colItems count="6">
    <i>
      <x/>
    </i>
    <i>
      <x v="1"/>
    </i>
    <i>
      <x v="2"/>
    </i>
    <i>
      <x v="3"/>
    </i>
    <i>
      <x v="4"/>
    </i>
    <i t="grand">
      <x/>
    </i>
  </colItems>
  <pageFields count="1">
    <pageField fld="8" hier="-1"/>
  </pageFields>
  <dataFields count="1">
    <dataField name="Count of Lead ID" fld="0" subtotal="count" baseField="0" baseItem="0"/>
  </dataFields>
  <formats count="9">
    <format dxfId="130">
      <pivotArea type="all" dataOnly="0" outline="0" fieldPosition="0"/>
    </format>
    <format dxfId="129">
      <pivotArea outline="0" collapsedLevelsAreSubtotals="1" fieldPosition="0"/>
    </format>
    <format dxfId="128">
      <pivotArea type="origin" dataOnly="0" labelOnly="1" outline="0" fieldPosition="0"/>
    </format>
    <format dxfId="127">
      <pivotArea field="9" type="button" dataOnly="0" labelOnly="1" outline="0" axis="axisCol" fieldPosition="0"/>
    </format>
    <format dxfId="126">
      <pivotArea type="topRight" dataOnly="0" labelOnly="1" outline="0" fieldPosition="0"/>
    </format>
    <format dxfId="125">
      <pivotArea field="1" type="button" dataOnly="0" labelOnly="1" outline="0" axis="axisRow" fieldPosition="0"/>
    </format>
    <format dxfId="124">
      <pivotArea dataOnly="0" labelOnly="1" fieldPosition="0">
        <references count="1">
          <reference field="1" count="0"/>
        </references>
      </pivotArea>
    </format>
    <format dxfId="123">
      <pivotArea dataOnly="0" labelOnly="1" fieldPosition="0">
        <references count="1">
          <reference field="9" count="5">
            <x v="0"/>
            <x v="1"/>
            <x v="2"/>
            <x v="3"/>
            <x v="4"/>
          </reference>
        </references>
      </pivotArea>
    </format>
    <format dxfId="122">
      <pivotArea dataOnly="0" labelOnly="1" grandCol="1" outline="0" fieldPosition="0"/>
    </format>
  </formats>
  <chartFormats count="5">
    <chartFormat chart="32" format="0" series="1">
      <pivotArea type="data" outline="0" fieldPosition="0">
        <references count="2">
          <reference field="4294967294" count="1" selected="0">
            <x v="0"/>
          </reference>
          <reference field="9" count="1" selected="0">
            <x v="0"/>
          </reference>
        </references>
      </pivotArea>
    </chartFormat>
    <chartFormat chart="32" format="1" series="1">
      <pivotArea type="data" outline="0" fieldPosition="0">
        <references count="2">
          <reference field="4294967294" count="1" selected="0">
            <x v="0"/>
          </reference>
          <reference field="9" count="1" selected="0">
            <x v="1"/>
          </reference>
        </references>
      </pivotArea>
    </chartFormat>
    <chartFormat chart="32" format="2" series="1">
      <pivotArea type="data" outline="0" fieldPosition="0">
        <references count="2">
          <reference field="4294967294" count="1" selected="0">
            <x v="0"/>
          </reference>
          <reference field="9" count="1" selected="0">
            <x v="2"/>
          </reference>
        </references>
      </pivotArea>
    </chartFormat>
    <chartFormat chart="32" format="3" series="1">
      <pivotArea type="data" outline="0" fieldPosition="0">
        <references count="2">
          <reference field="4294967294" count="1" selected="0">
            <x v="0"/>
          </reference>
          <reference field="9" count="1" selected="0">
            <x v="3"/>
          </reference>
        </references>
      </pivotArea>
    </chartFormat>
    <chartFormat chart="32" format="4" series="1">
      <pivotArea type="data" outline="0" fieldPosition="0">
        <references count="2">
          <reference field="4294967294" count="1" selected="0">
            <x v="0"/>
          </reference>
          <reference field="9" count="1" selected="0">
            <x v="4"/>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894D97D3-FA7E-4B62-A01B-80EADB0A263F}" name="PivotTable16" cacheId="0" applyNumberFormats="0" applyBorderFormats="0" applyFontFormats="0" applyPatternFormats="0" applyAlignmentFormats="0" applyWidthHeightFormats="1" dataCaption="Values" updatedVersion="8" minRefreshableVersion="3" useAutoFormatting="1" colGrandTotals="0" itemPrintTitles="1" createdVersion="8" indent="0" outline="1" outlineData="1" multipleFieldFilters="0" chartFormat="13" rowHeaderCaption="Consumer_type">
  <location ref="A200:B204" firstHeaderRow="1" firstDataRow="1" firstDataCol="1"/>
  <pivotFields count="17">
    <pivotField showAll="0"/>
    <pivotField showAll="0">
      <items count="5">
        <item x="0"/>
        <item x="3"/>
        <item x="1"/>
        <item x="2"/>
        <item t="default"/>
      </items>
    </pivotField>
    <pivotField name="Lead_Type" showAll="0">
      <items count="4">
        <item x="1"/>
        <item x="2"/>
        <item x="0"/>
        <item t="default"/>
      </items>
    </pivotField>
    <pivotField showAll="0"/>
    <pivotField numFmtId="164" showAll="0"/>
    <pivotField showAll="0"/>
    <pivotField showAll="0"/>
    <pivotField showAll="0"/>
    <pivotField showAll="0"/>
    <pivotField showAll="0"/>
    <pivotField showAll="0"/>
    <pivotField dataField="1" showAll="0"/>
    <pivotField showAll="0"/>
    <pivotField showAll="0"/>
    <pivotField showAll="0"/>
    <pivotField showAll="0"/>
    <pivotField axis="axisRow" showAll="0">
      <items count="5">
        <item x="0"/>
        <item h="1" x="2"/>
        <item x="1"/>
        <item x="3"/>
        <item t="default"/>
      </items>
    </pivotField>
  </pivotFields>
  <rowFields count="1">
    <field x="16"/>
  </rowFields>
  <rowItems count="4">
    <i>
      <x/>
    </i>
    <i>
      <x v="2"/>
    </i>
    <i>
      <x v="3"/>
    </i>
    <i t="grand">
      <x/>
    </i>
  </rowItems>
  <colItems count="1">
    <i/>
  </colItems>
  <dataFields count="1">
    <dataField name="Average of Service Follow-up Time(Days)" fld="11" subtotal="average" baseField="1" baseItem="0" numFmtId="166"/>
  </dataFields>
  <formats count="14">
    <format dxfId="144">
      <pivotArea type="all" dataOnly="0" outline="0" fieldPosition="0"/>
    </format>
    <format dxfId="143">
      <pivotArea outline="0" collapsedLevelsAreSubtotals="1" fieldPosition="0"/>
    </format>
    <format dxfId="142">
      <pivotArea field="2" type="button" dataOnly="0" labelOnly="1" outline="0"/>
    </format>
    <format dxfId="141">
      <pivotArea dataOnly="0" labelOnly="1" outline="0" axis="axisValues" fieldPosition="0"/>
    </format>
    <format dxfId="140">
      <pivotArea type="all" dataOnly="0" outline="0" fieldPosition="0"/>
    </format>
    <format dxfId="139">
      <pivotArea outline="0" collapsedLevelsAreSubtotals="1" fieldPosition="0"/>
    </format>
    <format dxfId="138">
      <pivotArea field="1" type="button" dataOnly="0" labelOnly="1" outline="0"/>
    </format>
    <format dxfId="137">
      <pivotArea dataOnly="0" labelOnly="1" outline="0" axis="axisValues" fieldPosition="0"/>
    </format>
    <format dxfId="136">
      <pivotArea type="all" dataOnly="0" outline="0" fieldPosition="0"/>
    </format>
    <format dxfId="135">
      <pivotArea outline="0" collapsedLevelsAreSubtotals="1" fieldPosition="0"/>
    </format>
    <format dxfId="134">
      <pivotArea field="16" type="button" dataOnly="0" labelOnly="1" outline="0" axis="axisRow" fieldPosition="0"/>
    </format>
    <format dxfId="133">
      <pivotArea dataOnly="0" labelOnly="1" fieldPosition="0">
        <references count="1">
          <reference field="16" count="0"/>
        </references>
      </pivotArea>
    </format>
    <format dxfId="132">
      <pivotArea dataOnly="0" labelOnly="1" grandRow="1" outline="0" fieldPosition="0"/>
    </format>
    <format dxfId="131">
      <pivotArea dataOnly="0" labelOnly="1" outline="0" axis="axisValues"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1" xr10:uid="{5484368A-E18C-49A2-8AFA-7D03578A12D8}" sourceName="Store Name">
  <pivotTables>
    <pivotTable tabId="5" name="PivotTable1"/>
    <pivotTable tabId="3" name="PivotTable1"/>
    <pivotTable tabId="3" name="PivotTable2"/>
    <pivotTable tabId="3" name="PivotTable4"/>
    <pivotTable tabId="3" name="PivotTable5"/>
    <pivotTable tabId="3" name="PivotTable6"/>
    <pivotTable tabId="3" name="PivotTable7"/>
    <pivotTable tabId="3" name="PivotTable8"/>
    <pivotTable tabId="5" name="PivotTable10"/>
    <pivotTable tabId="5" name="PivotTable8"/>
    <pivotTable tabId="5" name="PivotTable7"/>
    <pivotTable tabId="5" name="PivotTable12"/>
    <pivotTable tabId="5" name="PivotTable11"/>
    <pivotTable tabId="5" name="PivotTable4"/>
    <pivotTable tabId="5" name="PivotTable5"/>
    <pivotTable tabId="5" name="PivotTable9"/>
    <pivotTable tabId="5" name="PivotTable2"/>
    <pivotTable tabId="5" name="PivotTable3"/>
    <pivotTable tabId="3" name="PivotTable10"/>
    <pivotTable tabId="3" name="PivotTable11"/>
    <pivotTable tabId="5" name="PivotTable13"/>
    <pivotTable tabId="5" name="PivotTable14"/>
    <pivotTable tabId="5" name="PivotTable15"/>
    <pivotTable tabId="5" name="PivotTable16"/>
    <pivotTable tabId="5" name="PivotTable6"/>
  </pivotTables>
  <data>
    <tabular pivotCacheId="1150121715">
      <items count="4">
        <i x="0" s="1"/>
        <i x="3"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ead_Type" xr10:uid="{1BEDB373-2FB4-4AB8-9837-2C7E45FE9617}" sourceName="Lead Type">
  <pivotTables>
    <pivotTable tabId="5" name="PivotTable1"/>
    <pivotTable tabId="3" name="PivotTable1"/>
    <pivotTable tabId="3" name="PivotTable2"/>
    <pivotTable tabId="3" name="PivotTable4"/>
    <pivotTable tabId="3" name="PivotTable5"/>
    <pivotTable tabId="3" name="PivotTable6"/>
    <pivotTable tabId="3" name="PivotTable7"/>
    <pivotTable tabId="3" name="PivotTable8"/>
    <pivotTable tabId="5" name="PivotTable10"/>
    <pivotTable tabId="5" name="PivotTable11"/>
    <pivotTable tabId="5" name="PivotTable12"/>
    <pivotTable tabId="5" name="PivotTable4"/>
    <pivotTable tabId="5" name="PivotTable5"/>
    <pivotTable tabId="5" name="PivotTable7"/>
    <pivotTable tabId="5" name="PivotTable8"/>
    <pivotTable tabId="5" name="PivotTable9"/>
    <pivotTable tabId="5" name="PivotTable2"/>
    <pivotTable tabId="5" name="PivotTable3"/>
    <pivotTable tabId="3" name="PivotTable10"/>
    <pivotTable tabId="3" name="PivotTable11"/>
    <pivotTable tabId="5" name="PivotTable13"/>
    <pivotTable tabId="5" name="PivotTable14"/>
    <pivotTable tabId="5" name="PivotTable15"/>
    <pivotTable tabId="5" name="PivotTable16"/>
    <pivotTable tabId="5" name="PivotTable6"/>
  </pivotTables>
  <data>
    <tabular pivotCacheId="1150121715">
      <items count="3">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1" xr10:uid="{6E4F1777-34AC-4DFB-B7D4-CAF00E91FD19}" cache="Slicer_Store_Name1" caption="Store Name" style="SlicerStyleLight3" rowHeight="234950"/>
  <slicer name="Lead Type" xr10:uid="{93E6B646-D11F-4D35-B91A-08AB57D87722}" cache="Slicer_Lead_Type" caption="Lead Type"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ore Name 2" xr10:uid="{AD43CCAC-2EBB-4378-A317-5710C591954B}" cache="Slicer_Store_Name1" caption="Store Name" style="Slicer Style 2" rowHeight="234950"/>
  <slicer name="Lead Type 1" xr10:uid="{3668FA2F-248A-4116-8405-8612C65BD50B}" cache="Slicer_Lead_Type" caption="Lead Type" style="Slicer Style 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AC5C49F-5833-427B-B6E0-C891E6B7E343}" name="Data" displayName="Data" ref="A1:Q1001" totalsRowShown="0" headerRowDxfId="162" dataDxfId="161" headerRowCellStyle="60% - Accent3">
  <autoFilter ref="A1:Q1001" xr:uid="{00000000-0009-0000-0000-000000000000}"/>
  <tableColumns count="17">
    <tableColumn id="1" xr3:uid="{E29183BF-7416-49CF-ACFD-D433739066AB}" name="Lead ID" dataDxfId="160"/>
    <tableColumn id="2" xr3:uid="{E00609BF-3BED-43BC-B0F4-A69880FAE942}" name="Store Name" dataDxfId="159"/>
    <tableColumn id="3" xr3:uid="{41026E54-8021-4A84-B0A1-D94034F476F2}" name="Lead Type" dataDxfId="158"/>
    <tableColumn id="18" xr3:uid="{B2634F66-49B4-47A8-9C7F-683EBD8A6CF6}" name="Lead Potential" dataDxfId="157">
      <calculatedColumnFormula>IF(Data[[#This Row],[Cancellation Status]]="No", "High Potential", "Normal")</calculatedColumnFormula>
    </tableColumn>
    <tableColumn id="4" xr3:uid="{1A7F92EF-86F1-47D1-84E8-CAF36FAFD4C1}" name="Lead Date" dataDxfId="156"/>
    <tableColumn id="5" xr3:uid="{EC383876-369C-4462-A6FF-B4E2B755AE5B}" name="Pre-Booking Date" dataDxfId="155"/>
    <tableColumn id="6" xr3:uid="{E6F484E0-F1AF-426A-A973-DA1BB56C3C3B}" name="Booking Date" dataDxfId="154"/>
    <tableColumn id="7" xr3:uid="{D7A2FFD6-899A-436F-981A-04EA24376BA5}" name="Delivery Date" dataDxfId="153"/>
    <tableColumn id="8" xr3:uid="{581638FD-B436-4667-9A5A-8B3478AC3B70}" name="Cancellation Status" dataDxfId="152"/>
    <tableColumn id="9" xr3:uid="{3D1269C4-66F5-4008-AC8B-1DB658EDEE10}" name="Cancellation Reason"/>
    <tableColumn id="10" xr3:uid="{20DF65D5-03E4-40F7-93B1-D5FE2840F383}" name="Service Follow-up Date" dataDxfId="151"/>
    <tableColumn id="16" xr3:uid="{DF34E5A3-3793-4F5A-A51F-165D5A66D03D}" name="Service Follow-up Time(Days)" dataDxfId="150">
      <calculatedColumnFormula>IF(OR(Data[[#This Row],[Service Follow-up Date]]="",Data[[#This Row],[Delivery Date]]=""),"",INT(Data[[#This Row],[Service Follow-up Date]]-Data[[#This Row],[Delivery Date]]))</calculatedColumnFormula>
    </tableColumn>
    <tableColumn id="11" xr3:uid="{54686B6D-3F4A-4F51-96B5-0A78BBF823A0}" name="TAT Pre-Booking (Days)" dataDxfId="149"/>
    <tableColumn id="12" xr3:uid="{FD42166A-EEB8-4B0D-AF6A-F1DCC71DEF83}" name="TAT Booking (Days)" dataDxfId="148"/>
    <tableColumn id="13" xr3:uid="{4845EF3B-0EE6-489B-AB97-154470AD068B}" name="TAT Delivery (Days)" dataDxfId="147"/>
    <tableColumn id="14" xr3:uid="{C950D6BC-9C16-4E3D-A055-65C722FCF224}" name="Customer Rating" dataDxfId="146"/>
    <tableColumn id="15" xr3:uid="{71D9FEC3-EF1A-4F7C-A5B0-A6E10EC66FB5}" name="NPS Category" dataDxfId="145">
      <calculatedColumnFormula>IF(ISBLANK(Data[[#This Row],[Customer Rating]]),"No Rating",IF(Data[[#This Row],[Customer Rating]]&gt;=9,"Promoter",IF(Data[[#This Row],[Customer Rating]]&gt;=7,"Passive","Detractor")))</calculatedColumnFormula>
    </tableColumn>
  </tableColumns>
  <tableStyleInfo name="Table Style 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1D5F7B-4FCA-403C-B77C-57F83BAFE242}" name="Table2" displayName="Table2" ref="B8:D9" totalsRowShown="0">
  <autoFilter ref="B8:D9" xr:uid="{D81D5F7B-4FCA-403C-B77C-57F83BAFE242}"/>
  <tableColumns count="3">
    <tableColumn id="1" xr3:uid="{FEF5C63D-C37A-44AD-A97E-B98823439F7D}" name="Total leads">
      <calculatedColumnFormula>COUNTA(Data[Lead ID])</calculatedColumnFormula>
    </tableColumn>
    <tableColumn id="2" xr3:uid="{E51091E8-8A1F-4FA3-9351-CD65AC77C1B1}" name="totleads_prebooked">
      <calculatedColumnFormula>COUNTIF(Data[Pre-Booking Date],"&lt;&gt;")</calculatedColumnFormula>
    </tableColumn>
    <tableColumn id="3" xr3:uid="{56FAB059-AA3C-4F9A-8899-CDC715C2C068}" name="Conversion_rate_prebooking" dataDxfId="165" dataCellStyle="Percent">
      <calculatedColumnFormula>COUNTIF(Data[Pre-Booking Date],"&lt;&gt;" ) / COUNTA(Data[Lead ID])</calculatedColumnFormula>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A55420E-44B9-4C68-99E6-133A9AE688BE}" name="Table3" displayName="Table3" ref="B12:D13" totalsRowShown="0">
  <autoFilter ref="B12:D13" xr:uid="{9A55420E-44B9-4C68-99E6-133A9AE688BE}"/>
  <tableColumns count="3">
    <tableColumn id="1" xr3:uid="{A2F6D6A0-5292-498B-B575-9D5876CB7A2E}" name="totleads_prebooked">
      <calculatedColumnFormula>COUNTIF(Data[Pre-Booking Date],"&lt;&gt;")</calculatedColumnFormula>
    </tableColumn>
    <tableColumn id="2" xr3:uid="{9FEE3DFE-FE32-4FC5-934F-6D19ACFE46DA}" name="totleads_booked">
      <calculatedColumnFormula>COUNTIF(Data[Booking Date],"&lt;&gt;")</calculatedColumnFormula>
    </tableColumn>
    <tableColumn id="3" xr3:uid="{3183F388-00A0-4A36-9A63-0495A3F58A35}" name="Conversion_rate_booking" dataDxfId="164" dataCellStyle="Percent">
      <calculatedColumnFormula>COUNTIF(Data[Booking Date],"&lt;&gt;")/COUNTIF(Data[Pre-Booking Date],"&lt;&gt;")</calculatedColumnFormula>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8BCDC46A-DD60-43B3-9928-E0E75C3DB470}" name="Table4" displayName="Table4" ref="B16:D17" totalsRowShown="0">
  <autoFilter ref="B16:D17" xr:uid="{8BCDC46A-DD60-43B3-9928-E0E75C3DB470}"/>
  <tableColumns count="3">
    <tableColumn id="1" xr3:uid="{A328446D-9F1B-4F94-9105-A2818E9115A6}" name="totleads_booked">
      <calculatedColumnFormula>COUNTIF(Data[Booking Date],"&lt;&gt;")</calculatedColumnFormula>
    </tableColumn>
    <tableColumn id="2" xr3:uid="{5C751CC5-6543-4E5B-9BD0-4C0D33E65BFE}" name="totleads_delivered">
      <calculatedColumnFormula>COUNTIF(Data[Cancellation Status],"No")</calculatedColumnFormula>
    </tableColumn>
    <tableColumn id="3" xr3:uid="{B0C9EB11-7BEA-4F0B-AD12-51B22A35C5F1}" name="Conversion_rate_delivery" dataDxfId="163" dataCellStyle="Percent">
      <calculatedColumnFormula>Table4[[#This Row],[totleads_delivered]]/Table4[[#This Row],[totleads_booked]]</calculatedColumnFormula>
    </tableColumn>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156B47A-1D27-44D5-B15F-E40451A91335}" name="Table5" displayName="Table5" ref="G12:J16" totalsRowShown="0" headerRowDxfId="15" dataDxfId="14" dataCellStyle="Percent">
  <autoFilter ref="G12:J16" xr:uid="{F156B47A-1D27-44D5-B15F-E40451A91335}"/>
  <tableColumns count="4">
    <tableColumn id="1" xr3:uid="{A987E132-DC36-4471-A3DE-32C3A438B32C}" name="Store" dataDxfId="13"/>
    <tableColumn id="2" xr3:uid="{4893A8D9-D9A4-43FD-BA25-5E5192C368E0}" name="conv_rate_pre_booking" dataDxfId="12" dataCellStyle="Percent"/>
    <tableColumn id="3" xr3:uid="{D8A3A310-5A1D-4140-80DF-6E2DA47A5FCF}" name="conv_rate_booking" dataDxfId="11" dataCellStyle="Percent"/>
    <tableColumn id="4" xr3:uid="{C83907EB-3D8B-4979-AFE0-F351C774FF8B}" name="conv_rate_delivery" dataDxfId="10" dataCellStyle="Percent">
      <calculatedColumnFormula>GETPIVOTDATA("Lead ID",$E$12,"Store Name","Chennai MBC")/GETPIVOTDATA("Count of Booking Date",$A$12,"Store Name","Chennai MBC")</calculatedColumnFormula>
    </tableColumn>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A699BD-C0CA-48E5-A063-4697D22D5FA5}" name="Table6" displayName="Table6" ref="E160:F164" totalsRowShown="0" tableBorderDxfId="9">
  <autoFilter ref="E160:F164" xr:uid="{DAA699BD-C0CA-48E5-A063-4697D22D5FA5}"/>
  <tableColumns count="2">
    <tableColumn id="1" xr3:uid="{832F7953-325C-40AD-AB15-8E0BC1113D80}" name="Lead_type" dataDxfId="8"/>
    <tableColumn id="2" xr3:uid="{0170B027-ABAE-43BD-8CE2-E3940435D74C}" name="Avg Rating" dataDxfId="7"/>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93C3E83D-767A-4DB5-BC16-53FB3D784EF4}" name="Table7" displayName="Table7" ref="D174:E178" totalsRowShown="0" tableBorderDxfId="6">
  <autoFilter ref="D174:E178" xr:uid="{93C3E83D-767A-4DB5-BC16-53FB3D784EF4}"/>
  <tableColumns count="2">
    <tableColumn id="1" xr3:uid="{6100E58E-21D2-4FBF-8983-D0DA7DB53658}" name="Store" dataDxfId="5"/>
    <tableColumn id="2" xr3:uid="{5487EC99-4703-4600-880D-25B334A96B38}" name="High Potential Lead"/>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21BF2A0C-F48A-480A-A22F-464CED70E2A4}" name="Table8" displayName="Table8" ref="D121:E124" totalsRowShown="0" tableBorderDxfId="4">
  <autoFilter ref="D121:E124" xr:uid="{21BF2A0C-F48A-480A-A22F-464CED70E2A4}"/>
  <tableColumns count="2">
    <tableColumn id="1" xr3:uid="{CE5F3C46-B96C-40CF-AE84-61F8075196D4}" name="Lead_type" dataDxfId="3"/>
    <tableColumn id="2" xr3:uid="{EAC2E2D7-5D42-4875-AAE3-CCA7F4ED66DC}" name="Count"/>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37D08D54-B1CC-44DB-9DC5-0D1F589ED25F}" name="Table9" displayName="Table9" ref="D68:E71" totalsRowShown="0" tableBorderDxfId="2">
  <autoFilter ref="D68:E71" xr:uid="{37D08D54-B1CC-44DB-9DC5-0D1F589ED25F}"/>
  <tableColumns count="2">
    <tableColumn id="1" xr3:uid="{F51DAD55-8F13-4414-8987-00447AFA3370}" name="Lead_type" dataDxfId="1"/>
    <tableColumn id="2" xr3:uid="{19A5A5D6-CC37-441D-A1EF-97876609474D}" name="Cancelled_leads"/>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table" Target="../tables/table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table" Target="../tables/table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rinterSettings" Target="../printerSettings/printerSettings2.bin"/><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table" Target="../tables/table4.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7.xml"/><Relationship Id="rId13" Type="http://schemas.openxmlformats.org/officeDocument/2006/relationships/pivotTable" Target="../pivotTables/pivotTable22.xml"/><Relationship Id="rId18" Type="http://schemas.openxmlformats.org/officeDocument/2006/relationships/table" Target="../tables/table5.xml"/><Relationship Id="rId3" Type="http://schemas.openxmlformats.org/officeDocument/2006/relationships/pivotTable" Target="../pivotTables/pivotTable12.xml"/><Relationship Id="rId21" Type="http://schemas.openxmlformats.org/officeDocument/2006/relationships/table" Target="../tables/table8.xml"/><Relationship Id="rId7" Type="http://schemas.openxmlformats.org/officeDocument/2006/relationships/pivotTable" Target="../pivotTables/pivotTable16.xml"/><Relationship Id="rId12" Type="http://schemas.openxmlformats.org/officeDocument/2006/relationships/pivotTable" Target="../pivotTables/pivotTable21.xml"/><Relationship Id="rId17" Type="http://schemas.openxmlformats.org/officeDocument/2006/relationships/drawing" Target="../drawings/drawing2.xml"/><Relationship Id="rId2" Type="http://schemas.openxmlformats.org/officeDocument/2006/relationships/pivotTable" Target="../pivotTables/pivotTable11.xml"/><Relationship Id="rId16" Type="http://schemas.openxmlformats.org/officeDocument/2006/relationships/pivotTable" Target="../pivotTables/pivotTable25.xml"/><Relationship Id="rId20" Type="http://schemas.openxmlformats.org/officeDocument/2006/relationships/table" Target="../tables/table7.xml"/><Relationship Id="rId1" Type="http://schemas.openxmlformats.org/officeDocument/2006/relationships/pivotTable" Target="../pivotTables/pivotTable10.xml"/><Relationship Id="rId6" Type="http://schemas.openxmlformats.org/officeDocument/2006/relationships/pivotTable" Target="../pivotTables/pivotTable15.xml"/><Relationship Id="rId11" Type="http://schemas.openxmlformats.org/officeDocument/2006/relationships/pivotTable" Target="../pivotTables/pivotTable20.xml"/><Relationship Id="rId5" Type="http://schemas.openxmlformats.org/officeDocument/2006/relationships/pivotTable" Target="../pivotTables/pivotTable14.xml"/><Relationship Id="rId15" Type="http://schemas.openxmlformats.org/officeDocument/2006/relationships/pivotTable" Target="../pivotTables/pivotTable24.xml"/><Relationship Id="rId23" Type="http://schemas.microsoft.com/office/2007/relationships/slicer" Target="../slicers/slicer1.xml"/><Relationship Id="rId10" Type="http://schemas.openxmlformats.org/officeDocument/2006/relationships/pivotTable" Target="../pivotTables/pivotTable19.xml"/><Relationship Id="rId19" Type="http://schemas.openxmlformats.org/officeDocument/2006/relationships/table" Target="../tables/table6.xml"/><Relationship Id="rId4" Type="http://schemas.openxmlformats.org/officeDocument/2006/relationships/pivotTable" Target="../pivotTables/pivotTable13.xml"/><Relationship Id="rId9" Type="http://schemas.openxmlformats.org/officeDocument/2006/relationships/pivotTable" Target="../pivotTables/pivotTable18.xml"/><Relationship Id="rId14" Type="http://schemas.openxmlformats.org/officeDocument/2006/relationships/pivotTable" Target="../pivotTables/pivotTable23.xml"/><Relationship Id="rId22" Type="http://schemas.openxmlformats.org/officeDocument/2006/relationships/table" Target="../tables/table9.xml"/></Relationships>
</file>

<file path=xl/worksheets/_rels/sheet4.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6D00B"/>
  </sheetPr>
  <dimension ref="A1:Q1001"/>
  <sheetViews>
    <sheetView tabSelected="1" zoomScale="95" zoomScaleNormal="70" workbookViewId="0">
      <selection sqref="A1:XFD1048576"/>
    </sheetView>
  </sheetViews>
  <sheetFormatPr defaultColWidth="14.44140625" defaultRowHeight="15" customHeight="1" x14ac:dyDescent="0.3"/>
  <cols>
    <col min="1" max="1" width="11.5546875" bestFit="1" customWidth="1"/>
    <col min="2" max="2" width="15.33203125" bestFit="1" customWidth="1"/>
    <col min="3" max="3" width="13.77734375" bestFit="1" customWidth="1"/>
    <col min="4" max="4" width="17.33203125" bestFit="1" customWidth="1"/>
    <col min="5" max="5" width="13.6640625" bestFit="1" customWidth="1"/>
    <col min="6" max="6" width="19.88671875" bestFit="1" customWidth="1"/>
    <col min="7" max="8" width="16.44140625" bestFit="1" customWidth="1"/>
    <col min="9" max="9" width="21.44140625" bestFit="1" customWidth="1"/>
    <col min="10" max="10" width="22.21875" bestFit="1" customWidth="1"/>
    <col min="11" max="11" width="24.44140625" bestFit="1" customWidth="1"/>
    <col min="12" max="12" width="29.77734375" bestFit="1" customWidth="1"/>
    <col min="13" max="13" width="24.77734375" bestFit="1" customWidth="1"/>
    <col min="14" max="15" width="21.44140625" bestFit="1" customWidth="1"/>
    <col min="16" max="16" width="17.109375" bestFit="1" customWidth="1"/>
    <col min="17" max="17" width="16.6640625" bestFit="1" customWidth="1"/>
    <col min="18" max="27" width="8.6640625" customWidth="1"/>
  </cols>
  <sheetData>
    <row r="1" spans="1:17" s="11" customFormat="1" ht="14.25" customHeight="1" x14ac:dyDescent="0.3">
      <c r="A1" s="10" t="s">
        <v>0</v>
      </c>
      <c r="B1" s="10" t="s">
        <v>1</v>
      </c>
      <c r="C1" s="10" t="s">
        <v>2</v>
      </c>
      <c r="D1" s="10" t="s">
        <v>1051</v>
      </c>
      <c r="E1" s="10" t="s">
        <v>3</v>
      </c>
      <c r="F1" s="10" t="s">
        <v>4</v>
      </c>
      <c r="G1" s="10" t="s">
        <v>5</v>
      </c>
      <c r="H1" s="10" t="s">
        <v>6</v>
      </c>
      <c r="I1" s="10" t="s">
        <v>7</v>
      </c>
      <c r="J1" s="10" t="s">
        <v>8</v>
      </c>
      <c r="K1" s="10" t="s">
        <v>9</v>
      </c>
      <c r="L1" s="95" t="s">
        <v>1103</v>
      </c>
      <c r="M1" s="10" t="s">
        <v>10</v>
      </c>
      <c r="N1" s="10" t="s">
        <v>11</v>
      </c>
      <c r="O1" s="10" t="s">
        <v>12</v>
      </c>
      <c r="P1" s="11" t="s">
        <v>13</v>
      </c>
      <c r="Q1" s="12" t="s">
        <v>1046</v>
      </c>
    </row>
    <row r="2" spans="1:17" ht="14.25" customHeight="1" x14ac:dyDescent="0.3">
      <c r="A2" s="1" t="s">
        <v>14</v>
      </c>
      <c r="B2" s="1" t="s">
        <v>15</v>
      </c>
      <c r="C2" s="1" t="s">
        <v>16</v>
      </c>
      <c r="D2" s="1" t="str">
        <f>IF(Data[[#This Row],[Cancellation Status]]="No", "High Potential", "Normal")</f>
        <v>High Potential</v>
      </c>
      <c r="E2" s="2">
        <v>45951</v>
      </c>
      <c r="F2" s="2">
        <v>45955</v>
      </c>
      <c r="G2" s="2">
        <v>45959</v>
      </c>
      <c r="H2" s="2">
        <v>45964</v>
      </c>
      <c r="I2" s="1" t="s">
        <v>17</v>
      </c>
      <c r="K2" s="2">
        <v>45989</v>
      </c>
      <c r="L2" s="88">
        <f>IF(OR(Data[[#This Row],[Service Follow-up Date]]="",Data[[#This Row],[Delivery Date]]=""),"",INT(Data[[#This Row],[Service Follow-up Date]]-Data[[#This Row],[Delivery Date]]))</f>
        <v>25</v>
      </c>
      <c r="M2" s="1">
        <v>4</v>
      </c>
      <c r="N2" s="1">
        <v>4</v>
      </c>
      <c r="O2" s="1">
        <v>5</v>
      </c>
      <c r="P2" s="1">
        <v>2</v>
      </c>
      <c r="Q2" t="str">
        <f>IF(ISBLANK(Data[[#This Row],[Customer Rating]]),"No Rating",IF(Data[[#This Row],[Customer Rating]]&gt;=9,"Promoter",IF(Data[[#This Row],[Customer Rating]]&gt;=7,"Passive","Detractor")))</f>
        <v>Detractor</v>
      </c>
    </row>
    <row r="3" spans="1:17" ht="14.25" customHeight="1" x14ac:dyDescent="0.3">
      <c r="A3" s="1" t="s">
        <v>18</v>
      </c>
      <c r="B3" s="1" t="s">
        <v>19</v>
      </c>
      <c r="C3" s="1" t="s">
        <v>16</v>
      </c>
      <c r="D3" s="1" t="str">
        <f>IF(Data[[#This Row],[Cancellation Status]]="No", "High Potential", "Normal")</f>
        <v>High Potential</v>
      </c>
      <c r="E3" s="2">
        <v>45941</v>
      </c>
      <c r="F3" s="2">
        <v>45944</v>
      </c>
      <c r="G3" s="2">
        <v>45949</v>
      </c>
      <c r="H3" s="2">
        <v>45956</v>
      </c>
      <c r="I3" s="1" t="s">
        <v>17</v>
      </c>
      <c r="K3" s="2">
        <v>45983</v>
      </c>
      <c r="L3" s="88">
        <f>IF(OR(Data[[#This Row],[Service Follow-up Date]]="",Data[[#This Row],[Delivery Date]]=""),"",INT(Data[[#This Row],[Service Follow-up Date]]-Data[[#This Row],[Delivery Date]]))</f>
        <v>27</v>
      </c>
      <c r="M3" s="1">
        <v>3</v>
      </c>
      <c r="N3" s="1">
        <v>5</v>
      </c>
      <c r="O3" s="1">
        <v>7</v>
      </c>
      <c r="P3" s="1">
        <v>8</v>
      </c>
      <c r="Q3" t="str">
        <f>IF(ISBLANK(Data[[#This Row],[Customer Rating]]),"No Rating",IF(Data[[#This Row],[Customer Rating]]&gt;=9,"Promoter",IF(Data[[#This Row],[Customer Rating]]&gt;=7,"Passive","Detractor")))</f>
        <v>Passive</v>
      </c>
    </row>
    <row r="4" spans="1:17" ht="14.25" customHeight="1" x14ac:dyDescent="0.3">
      <c r="A4" s="1" t="s">
        <v>20</v>
      </c>
      <c r="B4" s="1" t="s">
        <v>21</v>
      </c>
      <c r="C4" s="1" t="s">
        <v>22</v>
      </c>
      <c r="D4" s="1" t="str">
        <f>IF(Data[[#This Row],[Cancellation Status]]="No", "High Potential", "Normal")</f>
        <v>Normal</v>
      </c>
      <c r="E4" s="2">
        <v>45931</v>
      </c>
      <c r="I4" s="1" t="s">
        <v>23</v>
      </c>
      <c r="J4" s="1" t="s">
        <v>24</v>
      </c>
      <c r="L4" s="88" t="str">
        <f>IF(OR(Data[[#This Row],[Service Follow-up Date]]="",Data[[#This Row],[Delivery Date]]=""),"",INT(Data[[#This Row],[Service Follow-up Date]]-Data[[#This Row],[Delivery Date]]))</f>
        <v/>
      </c>
      <c r="Q4" t="str">
        <f>IF(ISBLANK(Data[[#This Row],[Customer Rating]]),"No Rating",IF(Data[[#This Row],[Customer Rating]]&gt;=9,"Promoter",IF(Data[[#This Row],[Customer Rating]]&gt;=7,"Passive","Detractor")))</f>
        <v>No Rating</v>
      </c>
    </row>
    <row r="5" spans="1:17" ht="14.25" customHeight="1" x14ac:dyDescent="0.3">
      <c r="A5" s="1" t="s">
        <v>25</v>
      </c>
      <c r="B5" s="1" t="s">
        <v>15</v>
      </c>
      <c r="C5" s="1" t="s">
        <v>22</v>
      </c>
      <c r="D5" s="1" t="str">
        <f>IF(Data[[#This Row],[Cancellation Status]]="No", "High Potential", "Normal")</f>
        <v>Normal</v>
      </c>
      <c r="E5" s="2">
        <v>45958</v>
      </c>
      <c r="I5" s="1" t="s">
        <v>23</v>
      </c>
      <c r="J5" s="1" t="s">
        <v>26</v>
      </c>
      <c r="L5" s="88" t="str">
        <f>IF(OR(Data[[#This Row],[Service Follow-up Date]]="",Data[[#This Row],[Delivery Date]]=""),"",INT(Data[[#This Row],[Service Follow-up Date]]-Data[[#This Row],[Delivery Date]]))</f>
        <v/>
      </c>
      <c r="Q5" t="str">
        <f>IF(ISBLANK(Data[[#This Row],[Customer Rating]]),"No Rating",IF(Data[[#This Row],[Customer Rating]]&gt;=9,"Promoter",IF(Data[[#This Row],[Customer Rating]]&gt;=7,"Passive","Detractor")))</f>
        <v>No Rating</v>
      </c>
    </row>
    <row r="6" spans="1:17" ht="14.25" customHeight="1" x14ac:dyDescent="0.3">
      <c r="A6" s="1" t="s">
        <v>27</v>
      </c>
      <c r="B6" s="1" t="s">
        <v>19</v>
      </c>
      <c r="C6" s="1" t="s">
        <v>16</v>
      </c>
      <c r="D6" s="1" t="str">
        <f>IF(Data[[#This Row],[Cancellation Status]]="No", "High Potential", "Normal")</f>
        <v>High Potential</v>
      </c>
      <c r="E6" s="2">
        <v>45944</v>
      </c>
      <c r="F6" s="2">
        <v>45948</v>
      </c>
      <c r="G6" s="2">
        <v>45951</v>
      </c>
      <c r="H6" s="2">
        <v>45954</v>
      </c>
      <c r="I6" s="1" t="s">
        <v>17</v>
      </c>
      <c r="K6" s="2">
        <v>45973</v>
      </c>
      <c r="L6" s="88">
        <f>IF(OR(Data[[#This Row],[Service Follow-up Date]]="",Data[[#This Row],[Delivery Date]]=""),"",INT(Data[[#This Row],[Service Follow-up Date]]-Data[[#This Row],[Delivery Date]]))</f>
        <v>19</v>
      </c>
      <c r="M6" s="1">
        <v>4</v>
      </c>
      <c r="N6" s="1">
        <v>3</v>
      </c>
      <c r="O6" s="1">
        <v>3</v>
      </c>
      <c r="P6" s="1">
        <v>8</v>
      </c>
      <c r="Q6" t="str">
        <f>IF(ISBLANK(Data[[#This Row],[Customer Rating]]),"No Rating",IF(Data[[#This Row],[Customer Rating]]&gt;=9,"Promoter",IF(Data[[#This Row],[Customer Rating]]&gt;=7,"Passive","Detractor")))</f>
        <v>Passive</v>
      </c>
    </row>
    <row r="7" spans="1:17" ht="14.25" customHeight="1" x14ac:dyDescent="0.3">
      <c r="A7" s="1" t="s">
        <v>28</v>
      </c>
      <c r="B7" s="1" t="s">
        <v>19</v>
      </c>
      <c r="C7" s="1" t="s">
        <v>16</v>
      </c>
      <c r="D7" s="1" t="str">
        <f>IF(Data[[#This Row],[Cancellation Status]]="No", "High Potential", "Normal")</f>
        <v>High Potential</v>
      </c>
      <c r="E7" s="2">
        <v>45957</v>
      </c>
      <c r="F7" s="2">
        <v>45961</v>
      </c>
      <c r="G7" s="2">
        <v>45965</v>
      </c>
      <c r="H7" s="2">
        <v>45968</v>
      </c>
      <c r="I7" s="1" t="s">
        <v>17</v>
      </c>
      <c r="K7" s="2">
        <v>45983</v>
      </c>
      <c r="L7" s="88">
        <f>IF(OR(Data[[#This Row],[Service Follow-up Date]]="",Data[[#This Row],[Delivery Date]]=""),"",INT(Data[[#This Row],[Service Follow-up Date]]-Data[[#This Row],[Delivery Date]]))</f>
        <v>15</v>
      </c>
      <c r="M7" s="1">
        <v>4</v>
      </c>
      <c r="N7" s="1">
        <v>4</v>
      </c>
      <c r="O7" s="1">
        <v>3</v>
      </c>
      <c r="P7" s="1">
        <v>9</v>
      </c>
      <c r="Q7" t="str">
        <f>IF(ISBLANK(Data[[#This Row],[Customer Rating]]),"No Rating",IF(Data[[#This Row],[Customer Rating]]&gt;=9,"Promoter",IF(Data[[#This Row],[Customer Rating]]&gt;=7,"Passive","Detractor")))</f>
        <v>Promoter</v>
      </c>
    </row>
    <row r="8" spans="1:17" ht="14.25" customHeight="1" x14ac:dyDescent="0.3">
      <c r="A8" s="1" t="s">
        <v>29</v>
      </c>
      <c r="B8" s="1" t="s">
        <v>21</v>
      </c>
      <c r="C8" s="1" t="s">
        <v>30</v>
      </c>
      <c r="D8" s="1" t="str">
        <f>IF(Data[[#This Row],[Cancellation Status]]="No", "High Potential", "Normal")</f>
        <v>High Potential</v>
      </c>
      <c r="E8" s="2">
        <v>45946</v>
      </c>
      <c r="F8" s="2">
        <v>45950</v>
      </c>
      <c r="G8" s="2">
        <v>45951</v>
      </c>
      <c r="H8" s="2">
        <v>45958</v>
      </c>
      <c r="I8" s="1" t="s">
        <v>17</v>
      </c>
      <c r="K8" s="2">
        <v>45983</v>
      </c>
      <c r="L8" s="88">
        <f>IF(OR(Data[[#This Row],[Service Follow-up Date]]="",Data[[#This Row],[Delivery Date]]=""),"",INT(Data[[#This Row],[Service Follow-up Date]]-Data[[#This Row],[Delivery Date]]))</f>
        <v>25</v>
      </c>
      <c r="M8" s="1">
        <v>4</v>
      </c>
      <c r="N8" s="1">
        <v>1</v>
      </c>
      <c r="O8" s="1">
        <v>7</v>
      </c>
      <c r="P8" s="1">
        <v>10</v>
      </c>
      <c r="Q8" t="str">
        <f>IF(ISBLANK(Data[[#This Row],[Customer Rating]]),"No Rating",IF(Data[[#This Row],[Customer Rating]]&gt;=9,"Promoter",IF(Data[[#This Row],[Customer Rating]]&gt;=7,"Passive","Detractor")))</f>
        <v>Promoter</v>
      </c>
    </row>
    <row r="9" spans="1:17" ht="14.25" customHeight="1" x14ac:dyDescent="0.3">
      <c r="A9" s="1" t="s">
        <v>31</v>
      </c>
      <c r="B9" s="1" t="s">
        <v>32</v>
      </c>
      <c r="C9" s="1" t="s">
        <v>16</v>
      </c>
      <c r="D9" s="1" t="str">
        <f>IF(Data[[#This Row],[Cancellation Status]]="No", "High Potential", "Normal")</f>
        <v>Normal</v>
      </c>
      <c r="E9" s="2">
        <v>45934</v>
      </c>
      <c r="F9" s="2">
        <v>45935</v>
      </c>
      <c r="G9" s="2">
        <v>45938</v>
      </c>
      <c r="H9" s="2">
        <v>45945</v>
      </c>
      <c r="I9" s="1" t="s">
        <v>23</v>
      </c>
      <c r="J9" s="1" t="s">
        <v>33</v>
      </c>
      <c r="L9" s="88" t="str">
        <f>IF(OR(Data[[#This Row],[Service Follow-up Date]]="",Data[[#This Row],[Delivery Date]]=""),"",INT(Data[[#This Row],[Service Follow-up Date]]-Data[[#This Row],[Delivery Date]]))</f>
        <v/>
      </c>
      <c r="M9" s="1">
        <v>1</v>
      </c>
      <c r="N9" s="1">
        <v>3</v>
      </c>
      <c r="O9" s="1">
        <v>7</v>
      </c>
      <c r="Q9" t="str">
        <f>IF(ISBLANK(Data[[#This Row],[Customer Rating]]),"No Rating",IF(Data[[#This Row],[Customer Rating]]&gt;=9,"Promoter",IF(Data[[#This Row],[Customer Rating]]&gt;=7,"Passive","Detractor")))</f>
        <v>No Rating</v>
      </c>
    </row>
    <row r="10" spans="1:17" ht="14.25" customHeight="1" x14ac:dyDescent="0.3">
      <c r="A10" s="1" t="s">
        <v>34</v>
      </c>
      <c r="B10" s="1" t="s">
        <v>15</v>
      </c>
      <c r="C10" s="1" t="s">
        <v>30</v>
      </c>
      <c r="D10" s="1" t="str">
        <f>IF(Data[[#This Row],[Cancellation Status]]="No", "High Potential", "Normal")</f>
        <v>High Potential</v>
      </c>
      <c r="E10" s="2">
        <v>45944</v>
      </c>
      <c r="F10" s="2">
        <v>45947</v>
      </c>
      <c r="G10" s="2">
        <v>45950</v>
      </c>
      <c r="H10" s="2">
        <v>45955</v>
      </c>
      <c r="I10" s="1" t="s">
        <v>17</v>
      </c>
      <c r="K10" s="2">
        <v>45966</v>
      </c>
      <c r="L10" s="88">
        <f>IF(OR(Data[[#This Row],[Service Follow-up Date]]="",Data[[#This Row],[Delivery Date]]=""),"",INT(Data[[#This Row],[Service Follow-up Date]]-Data[[#This Row],[Delivery Date]]))</f>
        <v>11</v>
      </c>
      <c r="M10" s="1">
        <v>3</v>
      </c>
      <c r="N10" s="1">
        <v>3</v>
      </c>
      <c r="O10" s="1">
        <v>5</v>
      </c>
      <c r="P10" s="1">
        <v>8</v>
      </c>
      <c r="Q10" t="str">
        <f>IF(ISBLANK(Data[[#This Row],[Customer Rating]]),"No Rating",IF(Data[[#This Row],[Customer Rating]]&gt;=9,"Promoter",IF(Data[[#This Row],[Customer Rating]]&gt;=7,"Passive","Detractor")))</f>
        <v>Passive</v>
      </c>
    </row>
    <row r="11" spans="1:17" ht="14.25" customHeight="1" x14ac:dyDescent="0.3">
      <c r="A11" s="1" t="s">
        <v>35</v>
      </c>
      <c r="B11" s="1" t="s">
        <v>21</v>
      </c>
      <c r="C11" s="1" t="s">
        <v>16</v>
      </c>
      <c r="D11" s="1" t="str">
        <f>IF(Data[[#This Row],[Cancellation Status]]="No", "High Potential", "Normal")</f>
        <v>High Potential</v>
      </c>
      <c r="E11" s="2">
        <v>45961</v>
      </c>
      <c r="F11" s="2">
        <v>45965</v>
      </c>
      <c r="G11" s="2">
        <v>45966</v>
      </c>
      <c r="H11" s="2">
        <v>45971</v>
      </c>
      <c r="I11" s="1" t="s">
        <v>17</v>
      </c>
      <c r="K11" s="2">
        <v>45983</v>
      </c>
      <c r="L11" s="88">
        <f>IF(OR(Data[[#This Row],[Service Follow-up Date]]="",Data[[#This Row],[Delivery Date]]=""),"",INT(Data[[#This Row],[Service Follow-up Date]]-Data[[#This Row],[Delivery Date]]))</f>
        <v>12</v>
      </c>
      <c r="M11" s="1">
        <v>4</v>
      </c>
      <c r="N11" s="1">
        <v>1</v>
      </c>
      <c r="O11" s="1">
        <v>5</v>
      </c>
      <c r="P11" s="1">
        <v>6</v>
      </c>
      <c r="Q11" t="str">
        <f>IF(ISBLANK(Data[[#This Row],[Customer Rating]]),"No Rating",IF(Data[[#This Row],[Customer Rating]]&gt;=9,"Promoter",IF(Data[[#This Row],[Customer Rating]]&gt;=7,"Passive","Detractor")))</f>
        <v>Detractor</v>
      </c>
    </row>
    <row r="12" spans="1:17" ht="14.25" customHeight="1" x14ac:dyDescent="0.3">
      <c r="A12" s="1" t="s">
        <v>36</v>
      </c>
      <c r="B12" s="1" t="s">
        <v>15</v>
      </c>
      <c r="C12" s="1" t="s">
        <v>22</v>
      </c>
      <c r="D12" s="1" t="str">
        <f>IF(Data[[#This Row],[Cancellation Status]]="No", "High Potential", "Normal")</f>
        <v>Normal</v>
      </c>
      <c r="E12" s="2">
        <v>45942</v>
      </c>
      <c r="I12" s="1" t="s">
        <v>23</v>
      </c>
      <c r="J12" s="1" t="s">
        <v>24</v>
      </c>
      <c r="L12" s="88" t="str">
        <f>IF(OR(Data[[#This Row],[Service Follow-up Date]]="",Data[[#This Row],[Delivery Date]]=""),"",INT(Data[[#This Row],[Service Follow-up Date]]-Data[[#This Row],[Delivery Date]]))</f>
        <v/>
      </c>
      <c r="Q12" t="str">
        <f>IF(ISBLANK(Data[[#This Row],[Customer Rating]]),"No Rating",IF(Data[[#This Row],[Customer Rating]]&gt;=9,"Promoter",IF(Data[[#This Row],[Customer Rating]]&gt;=7,"Passive","Detractor")))</f>
        <v>No Rating</v>
      </c>
    </row>
    <row r="13" spans="1:17" ht="14.25" customHeight="1" x14ac:dyDescent="0.3">
      <c r="A13" s="1" t="s">
        <v>37</v>
      </c>
      <c r="B13" s="1" t="s">
        <v>19</v>
      </c>
      <c r="C13" s="1" t="s">
        <v>16</v>
      </c>
      <c r="D13" s="1" t="str">
        <f>IF(Data[[#This Row],[Cancellation Status]]="No", "High Potential", "Normal")</f>
        <v>High Potential</v>
      </c>
      <c r="E13" s="2">
        <v>45951</v>
      </c>
      <c r="F13" s="2">
        <v>45954</v>
      </c>
      <c r="G13" s="2">
        <v>45958</v>
      </c>
      <c r="H13" s="2">
        <v>45960</v>
      </c>
      <c r="I13" s="1" t="s">
        <v>17</v>
      </c>
      <c r="K13" s="2">
        <v>45971</v>
      </c>
      <c r="L13" s="88">
        <f>IF(OR(Data[[#This Row],[Service Follow-up Date]]="",Data[[#This Row],[Delivery Date]]=""),"",INT(Data[[#This Row],[Service Follow-up Date]]-Data[[#This Row],[Delivery Date]]))</f>
        <v>11</v>
      </c>
      <c r="M13" s="1">
        <v>3</v>
      </c>
      <c r="N13" s="1">
        <v>4</v>
      </c>
      <c r="O13" s="1">
        <v>2</v>
      </c>
      <c r="P13" s="1">
        <v>0</v>
      </c>
      <c r="Q13" t="str">
        <f>IF(ISBLANK(Data[[#This Row],[Customer Rating]]),"No Rating",IF(Data[[#This Row],[Customer Rating]]&gt;=9,"Promoter",IF(Data[[#This Row],[Customer Rating]]&gt;=7,"Passive","Detractor")))</f>
        <v>Detractor</v>
      </c>
    </row>
    <row r="14" spans="1:17" ht="14.25" customHeight="1" x14ac:dyDescent="0.3">
      <c r="A14" s="1" t="s">
        <v>38</v>
      </c>
      <c r="B14" s="1" t="s">
        <v>19</v>
      </c>
      <c r="C14" s="1" t="s">
        <v>16</v>
      </c>
      <c r="D14" s="1" t="str">
        <f>IF(Data[[#This Row],[Cancellation Status]]="No", "High Potential", "Normal")</f>
        <v>High Potential</v>
      </c>
      <c r="E14" s="2">
        <v>45959</v>
      </c>
      <c r="F14" s="2">
        <v>45962</v>
      </c>
      <c r="G14" s="2">
        <v>45967</v>
      </c>
      <c r="H14" s="2">
        <v>45974</v>
      </c>
      <c r="I14" s="1" t="s">
        <v>17</v>
      </c>
      <c r="K14" s="2">
        <v>45991</v>
      </c>
      <c r="L14" s="88">
        <f>IF(OR(Data[[#This Row],[Service Follow-up Date]]="",Data[[#This Row],[Delivery Date]]=""),"",INT(Data[[#This Row],[Service Follow-up Date]]-Data[[#This Row],[Delivery Date]]))</f>
        <v>17</v>
      </c>
      <c r="M14" s="1">
        <v>3</v>
      </c>
      <c r="N14" s="1">
        <v>5</v>
      </c>
      <c r="O14" s="1">
        <v>7</v>
      </c>
      <c r="P14" s="1">
        <v>10</v>
      </c>
      <c r="Q14" t="str">
        <f>IF(ISBLANK(Data[[#This Row],[Customer Rating]]),"No Rating",IF(Data[[#This Row],[Customer Rating]]&gt;=9,"Promoter",IF(Data[[#This Row],[Customer Rating]]&gt;=7,"Passive","Detractor")))</f>
        <v>Promoter</v>
      </c>
    </row>
    <row r="15" spans="1:17" ht="14.25" customHeight="1" x14ac:dyDescent="0.3">
      <c r="A15" s="1" t="s">
        <v>39</v>
      </c>
      <c r="B15" s="1" t="s">
        <v>32</v>
      </c>
      <c r="C15" s="1" t="s">
        <v>16</v>
      </c>
      <c r="D15" s="1" t="str">
        <f>IF(Data[[#This Row],[Cancellation Status]]="No", "High Potential", "Normal")</f>
        <v>High Potential</v>
      </c>
      <c r="E15" s="2">
        <v>45957</v>
      </c>
      <c r="F15" s="2">
        <v>45960</v>
      </c>
      <c r="G15" s="2">
        <v>45963</v>
      </c>
      <c r="H15" s="2">
        <v>45969</v>
      </c>
      <c r="I15" s="1" t="s">
        <v>17</v>
      </c>
      <c r="K15" s="2">
        <v>45998</v>
      </c>
      <c r="L15" s="88">
        <f>IF(OR(Data[[#This Row],[Service Follow-up Date]]="",Data[[#This Row],[Delivery Date]]=""),"",INT(Data[[#This Row],[Service Follow-up Date]]-Data[[#This Row],[Delivery Date]]))</f>
        <v>29</v>
      </c>
      <c r="M15" s="1">
        <v>3</v>
      </c>
      <c r="N15" s="1">
        <v>3</v>
      </c>
      <c r="O15" s="1">
        <v>6</v>
      </c>
      <c r="P15" s="1">
        <v>2</v>
      </c>
      <c r="Q15" t="str">
        <f>IF(ISBLANK(Data[[#This Row],[Customer Rating]]),"No Rating",IF(Data[[#This Row],[Customer Rating]]&gt;=9,"Promoter",IF(Data[[#This Row],[Customer Rating]]&gt;=7,"Passive","Detractor")))</f>
        <v>Detractor</v>
      </c>
    </row>
    <row r="16" spans="1:17" ht="14.25" customHeight="1" x14ac:dyDescent="0.3">
      <c r="A16" s="1" t="s">
        <v>40</v>
      </c>
      <c r="B16" s="1" t="s">
        <v>19</v>
      </c>
      <c r="C16" s="1" t="s">
        <v>30</v>
      </c>
      <c r="D16" s="1" t="str">
        <f>IF(Data[[#This Row],[Cancellation Status]]="No", "High Potential", "Normal")</f>
        <v>Normal</v>
      </c>
      <c r="E16" s="2">
        <v>45945</v>
      </c>
      <c r="F16" s="2">
        <v>45947</v>
      </c>
      <c r="G16" s="2">
        <v>45948</v>
      </c>
      <c r="H16" s="2">
        <v>45951</v>
      </c>
      <c r="I16" s="1" t="s">
        <v>23</v>
      </c>
      <c r="J16" s="1" t="s">
        <v>33</v>
      </c>
      <c r="L16" s="88" t="str">
        <f>IF(OR(Data[[#This Row],[Service Follow-up Date]]="",Data[[#This Row],[Delivery Date]]=""),"",INT(Data[[#This Row],[Service Follow-up Date]]-Data[[#This Row],[Delivery Date]]))</f>
        <v/>
      </c>
      <c r="M16" s="1">
        <v>2</v>
      </c>
      <c r="N16" s="1">
        <v>1</v>
      </c>
      <c r="O16" s="1">
        <v>3</v>
      </c>
      <c r="Q16" t="str">
        <f>IF(ISBLANK(Data[[#This Row],[Customer Rating]]),"No Rating",IF(Data[[#This Row],[Customer Rating]]&gt;=9,"Promoter",IF(Data[[#This Row],[Customer Rating]]&gt;=7,"Passive","Detractor")))</f>
        <v>No Rating</v>
      </c>
    </row>
    <row r="17" spans="1:17" ht="14.25" customHeight="1" x14ac:dyDescent="0.3">
      <c r="A17" s="1" t="s">
        <v>41</v>
      </c>
      <c r="B17" s="1" t="s">
        <v>19</v>
      </c>
      <c r="C17" s="1" t="s">
        <v>16</v>
      </c>
      <c r="D17" s="1" t="str">
        <f>IF(Data[[#This Row],[Cancellation Status]]="No", "High Potential", "Normal")</f>
        <v>High Potential</v>
      </c>
      <c r="E17" s="2">
        <v>45953</v>
      </c>
      <c r="F17" s="2">
        <v>45957</v>
      </c>
      <c r="G17" s="2">
        <v>45962</v>
      </c>
      <c r="H17" s="2">
        <v>45967</v>
      </c>
      <c r="I17" s="1" t="s">
        <v>17</v>
      </c>
      <c r="K17" s="2">
        <v>45984</v>
      </c>
      <c r="L17" s="88">
        <f>IF(OR(Data[[#This Row],[Service Follow-up Date]]="",Data[[#This Row],[Delivery Date]]=""),"",INT(Data[[#This Row],[Service Follow-up Date]]-Data[[#This Row],[Delivery Date]]))</f>
        <v>17</v>
      </c>
      <c r="M17" s="1">
        <v>4</v>
      </c>
      <c r="N17" s="1">
        <v>5</v>
      </c>
      <c r="O17" s="1">
        <v>5</v>
      </c>
      <c r="P17" s="1">
        <v>8</v>
      </c>
      <c r="Q17" t="str">
        <f>IF(ISBLANK(Data[[#This Row],[Customer Rating]]),"No Rating",IF(Data[[#This Row],[Customer Rating]]&gt;=9,"Promoter",IF(Data[[#This Row],[Customer Rating]]&gt;=7,"Passive","Detractor")))</f>
        <v>Passive</v>
      </c>
    </row>
    <row r="18" spans="1:17" ht="14.25" customHeight="1" x14ac:dyDescent="0.3">
      <c r="A18" s="1" t="s">
        <v>42</v>
      </c>
      <c r="B18" s="1" t="s">
        <v>21</v>
      </c>
      <c r="C18" s="1" t="s">
        <v>30</v>
      </c>
      <c r="D18" s="1" t="str">
        <f>IF(Data[[#This Row],[Cancellation Status]]="No", "High Potential", "Normal")</f>
        <v>High Potential</v>
      </c>
      <c r="E18" s="2">
        <v>45935</v>
      </c>
      <c r="F18" s="2">
        <v>45936</v>
      </c>
      <c r="G18" s="2">
        <v>45940</v>
      </c>
      <c r="H18" s="2">
        <v>45946</v>
      </c>
      <c r="I18" s="1" t="s">
        <v>17</v>
      </c>
      <c r="K18" s="2">
        <v>45956</v>
      </c>
      <c r="L18" s="88">
        <f>IF(OR(Data[[#This Row],[Service Follow-up Date]]="",Data[[#This Row],[Delivery Date]]=""),"",INT(Data[[#This Row],[Service Follow-up Date]]-Data[[#This Row],[Delivery Date]]))</f>
        <v>10</v>
      </c>
      <c r="M18" s="1">
        <v>1</v>
      </c>
      <c r="N18" s="1">
        <v>4</v>
      </c>
      <c r="O18" s="1">
        <v>6</v>
      </c>
      <c r="P18" s="1">
        <v>2</v>
      </c>
      <c r="Q18" t="str">
        <f>IF(ISBLANK(Data[[#This Row],[Customer Rating]]),"No Rating",IF(Data[[#This Row],[Customer Rating]]&gt;=9,"Promoter",IF(Data[[#This Row],[Customer Rating]]&gt;=7,"Passive","Detractor")))</f>
        <v>Detractor</v>
      </c>
    </row>
    <row r="19" spans="1:17" ht="14.25" customHeight="1" x14ac:dyDescent="0.3">
      <c r="A19" s="1" t="s">
        <v>43</v>
      </c>
      <c r="B19" s="1" t="s">
        <v>15</v>
      </c>
      <c r="C19" s="1" t="s">
        <v>30</v>
      </c>
      <c r="D19" s="1" t="str">
        <f>IF(Data[[#This Row],[Cancellation Status]]="No", "High Potential", "Normal")</f>
        <v>High Potential</v>
      </c>
      <c r="E19" s="2">
        <v>45944</v>
      </c>
      <c r="F19" s="2">
        <v>45945</v>
      </c>
      <c r="G19" s="2">
        <v>45948</v>
      </c>
      <c r="H19" s="2">
        <v>45953</v>
      </c>
      <c r="I19" s="1" t="s">
        <v>17</v>
      </c>
      <c r="K19" s="2">
        <v>45979</v>
      </c>
      <c r="L19" s="88">
        <f>IF(OR(Data[[#This Row],[Service Follow-up Date]]="",Data[[#This Row],[Delivery Date]]=""),"",INT(Data[[#This Row],[Service Follow-up Date]]-Data[[#This Row],[Delivery Date]]))</f>
        <v>26</v>
      </c>
      <c r="M19" s="1">
        <v>1</v>
      </c>
      <c r="N19" s="1">
        <v>3</v>
      </c>
      <c r="O19" s="1">
        <v>5</v>
      </c>
      <c r="P19" s="1">
        <v>0</v>
      </c>
      <c r="Q19" t="str">
        <f>IF(ISBLANK(Data[[#This Row],[Customer Rating]]),"No Rating",IF(Data[[#This Row],[Customer Rating]]&gt;=9,"Promoter",IF(Data[[#This Row],[Customer Rating]]&gt;=7,"Passive","Detractor")))</f>
        <v>Detractor</v>
      </c>
    </row>
    <row r="20" spans="1:17" ht="14.25" customHeight="1" x14ac:dyDescent="0.3">
      <c r="A20" s="1" t="s">
        <v>44</v>
      </c>
      <c r="B20" s="1" t="s">
        <v>15</v>
      </c>
      <c r="C20" s="1" t="s">
        <v>16</v>
      </c>
      <c r="D20" s="1" t="str">
        <f>IF(Data[[#This Row],[Cancellation Status]]="No", "High Potential", "Normal")</f>
        <v>High Potential</v>
      </c>
      <c r="E20" s="2">
        <v>45936</v>
      </c>
      <c r="F20" s="2">
        <v>45937</v>
      </c>
      <c r="G20" s="2">
        <v>45942</v>
      </c>
      <c r="H20" s="2">
        <v>45947</v>
      </c>
      <c r="I20" s="1" t="s">
        <v>17</v>
      </c>
      <c r="K20" s="2">
        <v>45972</v>
      </c>
      <c r="L20" s="88">
        <f>IF(OR(Data[[#This Row],[Service Follow-up Date]]="",Data[[#This Row],[Delivery Date]]=""),"",INT(Data[[#This Row],[Service Follow-up Date]]-Data[[#This Row],[Delivery Date]]))</f>
        <v>25</v>
      </c>
      <c r="M20" s="1">
        <v>1</v>
      </c>
      <c r="N20" s="1">
        <v>5</v>
      </c>
      <c r="O20" s="1">
        <v>5</v>
      </c>
      <c r="P20" s="1">
        <v>5</v>
      </c>
      <c r="Q20" t="str">
        <f>IF(ISBLANK(Data[[#This Row],[Customer Rating]]),"No Rating",IF(Data[[#This Row],[Customer Rating]]&gt;=9,"Promoter",IF(Data[[#This Row],[Customer Rating]]&gt;=7,"Passive","Detractor")))</f>
        <v>Detractor</v>
      </c>
    </row>
    <row r="21" spans="1:17" ht="14.25" customHeight="1" x14ac:dyDescent="0.3">
      <c r="A21" s="1" t="s">
        <v>45</v>
      </c>
      <c r="B21" s="1" t="s">
        <v>21</v>
      </c>
      <c r="C21" s="1" t="s">
        <v>16</v>
      </c>
      <c r="D21" s="1" t="str">
        <f>IF(Data[[#This Row],[Cancellation Status]]="No", "High Potential", "Normal")</f>
        <v>High Potential</v>
      </c>
      <c r="E21" s="2">
        <v>45954</v>
      </c>
      <c r="F21" s="2">
        <v>45955</v>
      </c>
      <c r="G21" s="2">
        <v>45960</v>
      </c>
      <c r="H21" s="2">
        <v>45962</v>
      </c>
      <c r="I21" s="1" t="s">
        <v>17</v>
      </c>
      <c r="K21" s="2">
        <v>45972</v>
      </c>
      <c r="L21" s="88">
        <f>IF(OR(Data[[#This Row],[Service Follow-up Date]]="",Data[[#This Row],[Delivery Date]]=""),"",INT(Data[[#This Row],[Service Follow-up Date]]-Data[[#This Row],[Delivery Date]]))</f>
        <v>10</v>
      </c>
      <c r="M21" s="1">
        <v>1</v>
      </c>
      <c r="N21" s="1">
        <v>5</v>
      </c>
      <c r="O21" s="1">
        <v>2</v>
      </c>
      <c r="P21" s="1">
        <v>4</v>
      </c>
      <c r="Q21" t="str">
        <f>IF(ISBLANK(Data[[#This Row],[Customer Rating]]),"No Rating",IF(Data[[#This Row],[Customer Rating]]&gt;=9,"Promoter",IF(Data[[#This Row],[Customer Rating]]&gt;=7,"Passive","Detractor")))</f>
        <v>Detractor</v>
      </c>
    </row>
    <row r="22" spans="1:17" ht="14.25" customHeight="1" x14ac:dyDescent="0.3">
      <c r="A22" s="1" t="s">
        <v>46</v>
      </c>
      <c r="B22" s="1" t="s">
        <v>32</v>
      </c>
      <c r="C22" s="1" t="s">
        <v>16</v>
      </c>
      <c r="D22" s="1" t="str">
        <f>IF(Data[[#This Row],[Cancellation Status]]="No", "High Potential", "Normal")</f>
        <v>High Potential</v>
      </c>
      <c r="E22" s="2">
        <v>45947</v>
      </c>
      <c r="F22" s="2">
        <v>45951</v>
      </c>
      <c r="G22" s="2">
        <v>45953</v>
      </c>
      <c r="H22" s="2">
        <v>45960</v>
      </c>
      <c r="I22" s="1" t="s">
        <v>17</v>
      </c>
      <c r="K22" s="2">
        <v>45980</v>
      </c>
      <c r="L22" s="88">
        <f>IF(OR(Data[[#This Row],[Service Follow-up Date]]="",Data[[#This Row],[Delivery Date]]=""),"",INT(Data[[#This Row],[Service Follow-up Date]]-Data[[#This Row],[Delivery Date]]))</f>
        <v>20</v>
      </c>
      <c r="M22" s="1">
        <v>4</v>
      </c>
      <c r="N22" s="1">
        <v>2</v>
      </c>
      <c r="O22" s="1">
        <v>7</v>
      </c>
      <c r="P22" s="1">
        <v>6</v>
      </c>
      <c r="Q22" t="str">
        <f>IF(ISBLANK(Data[[#This Row],[Customer Rating]]),"No Rating",IF(Data[[#This Row],[Customer Rating]]&gt;=9,"Promoter",IF(Data[[#This Row],[Customer Rating]]&gt;=7,"Passive","Detractor")))</f>
        <v>Detractor</v>
      </c>
    </row>
    <row r="23" spans="1:17" ht="14.25" customHeight="1" x14ac:dyDescent="0.3">
      <c r="A23" s="1" t="s">
        <v>47</v>
      </c>
      <c r="B23" s="1" t="s">
        <v>15</v>
      </c>
      <c r="C23" s="1" t="s">
        <v>30</v>
      </c>
      <c r="D23" s="1" t="str">
        <f>IF(Data[[#This Row],[Cancellation Status]]="No", "High Potential", "Normal")</f>
        <v>High Potential</v>
      </c>
      <c r="E23" s="2">
        <v>45961</v>
      </c>
      <c r="F23" s="2">
        <v>45962</v>
      </c>
      <c r="G23" s="2">
        <v>45963</v>
      </c>
      <c r="H23" s="2">
        <v>45966</v>
      </c>
      <c r="I23" s="1" t="s">
        <v>17</v>
      </c>
      <c r="K23" s="2">
        <v>45995</v>
      </c>
      <c r="L23" s="88">
        <f>IF(OR(Data[[#This Row],[Service Follow-up Date]]="",Data[[#This Row],[Delivery Date]]=""),"",INT(Data[[#This Row],[Service Follow-up Date]]-Data[[#This Row],[Delivery Date]]))</f>
        <v>29</v>
      </c>
      <c r="M23" s="1">
        <v>1</v>
      </c>
      <c r="N23" s="1">
        <v>1</v>
      </c>
      <c r="O23" s="1">
        <v>3</v>
      </c>
      <c r="P23" s="1">
        <v>3</v>
      </c>
      <c r="Q23" t="str">
        <f>IF(ISBLANK(Data[[#This Row],[Customer Rating]]),"No Rating",IF(Data[[#This Row],[Customer Rating]]&gt;=9,"Promoter",IF(Data[[#This Row],[Customer Rating]]&gt;=7,"Passive","Detractor")))</f>
        <v>Detractor</v>
      </c>
    </row>
    <row r="24" spans="1:17" ht="14.25" customHeight="1" x14ac:dyDescent="0.3">
      <c r="A24" s="1" t="s">
        <v>48</v>
      </c>
      <c r="B24" s="1" t="s">
        <v>19</v>
      </c>
      <c r="C24" s="1" t="s">
        <v>16</v>
      </c>
      <c r="D24" s="1" t="str">
        <f>IF(Data[[#This Row],[Cancellation Status]]="No", "High Potential", "Normal")</f>
        <v>High Potential</v>
      </c>
      <c r="E24" s="2">
        <v>45951</v>
      </c>
      <c r="F24" s="2">
        <v>45954</v>
      </c>
      <c r="G24" s="2">
        <v>45959</v>
      </c>
      <c r="H24" s="2">
        <v>45962</v>
      </c>
      <c r="I24" s="1" t="s">
        <v>17</v>
      </c>
      <c r="K24" s="2">
        <v>45978</v>
      </c>
      <c r="L24" s="88">
        <f>IF(OR(Data[[#This Row],[Service Follow-up Date]]="",Data[[#This Row],[Delivery Date]]=""),"",INT(Data[[#This Row],[Service Follow-up Date]]-Data[[#This Row],[Delivery Date]]))</f>
        <v>16</v>
      </c>
      <c r="M24" s="1">
        <v>3</v>
      </c>
      <c r="N24" s="1">
        <v>5</v>
      </c>
      <c r="O24" s="1">
        <v>3</v>
      </c>
      <c r="P24" s="1">
        <v>8</v>
      </c>
      <c r="Q24" t="str">
        <f>IF(ISBLANK(Data[[#This Row],[Customer Rating]]),"No Rating",IF(Data[[#This Row],[Customer Rating]]&gt;=9,"Promoter",IF(Data[[#This Row],[Customer Rating]]&gt;=7,"Passive","Detractor")))</f>
        <v>Passive</v>
      </c>
    </row>
    <row r="25" spans="1:17" ht="14.25" customHeight="1" x14ac:dyDescent="0.3">
      <c r="A25" s="1" t="s">
        <v>49</v>
      </c>
      <c r="B25" s="1" t="s">
        <v>15</v>
      </c>
      <c r="C25" s="1" t="s">
        <v>16</v>
      </c>
      <c r="D25" s="1" t="str">
        <f>IF(Data[[#This Row],[Cancellation Status]]="No", "High Potential", "Normal")</f>
        <v>High Potential</v>
      </c>
      <c r="E25" s="2">
        <v>45939</v>
      </c>
      <c r="F25" s="2">
        <v>45941</v>
      </c>
      <c r="G25" s="2">
        <v>45945</v>
      </c>
      <c r="H25" s="2">
        <v>45949</v>
      </c>
      <c r="I25" s="1" t="s">
        <v>17</v>
      </c>
      <c r="K25" s="2">
        <v>45963</v>
      </c>
      <c r="L25" s="88">
        <f>IF(OR(Data[[#This Row],[Service Follow-up Date]]="",Data[[#This Row],[Delivery Date]]=""),"",INT(Data[[#This Row],[Service Follow-up Date]]-Data[[#This Row],[Delivery Date]]))</f>
        <v>14</v>
      </c>
      <c r="M25" s="1">
        <v>2</v>
      </c>
      <c r="N25" s="1">
        <v>4</v>
      </c>
      <c r="O25" s="1">
        <v>4</v>
      </c>
      <c r="P25" s="1">
        <v>3</v>
      </c>
      <c r="Q25" t="str">
        <f>IF(ISBLANK(Data[[#This Row],[Customer Rating]]),"No Rating",IF(Data[[#This Row],[Customer Rating]]&gt;=9,"Promoter",IF(Data[[#This Row],[Customer Rating]]&gt;=7,"Passive","Detractor")))</f>
        <v>Detractor</v>
      </c>
    </row>
    <row r="26" spans="1:17" ht="14.25" customHeight="1" x14ac:dyDescent="0.3">
      <c r="A26" s="1" t="s">
        <v>50</v>
      </c>
      <c r="B26" s="1" t="s">
        <v>19</v>
      </c>
      <c r="C26" s="1" t="s">
        <v>16</v>
      </c>
      <c r="D26" s="1" t="str">
        <f>IF(Data[[#This Row],[Cancellation Status]]="No", "High Potential", "Normal")</f>
        <v>High Potential</v>
      </c>
      <c r="E26" s="2">
        <v>45950</v>
      </c>
      <c r="F26" s="2">
        <v>45955</v>
      </c>
      <c r="G26" s="2">
        <v>45957</v>
      </c>
      <c r="H26" s="2">
        <v>45964</v>
      </c>
      <c r="I26" s="1" t="s">
        <v>17</v>
      </c>
      <c r="K26" s="2">
        <v>45984</v>
      </c>
      <c r="L26" s="88">
        <f>IF(OR(Data[[#This Row],[Service Follow-up Date]]="",Data[[#This Row],[Delivery Date]]=""),"",INT(Data[[#This Row],[Service Follow-up Date]]-Data[[#This Row],[Delivery Date]]))</f>
        <v>20</v>
      </c>
      <c r="M26" s="1">
        <v>5</v>
      </c>
      <c r="N26" s="1">
        <v>2</v>
      </c>
      <c r="O26" s="1">
        <v>7</v>
      </c>
      <c r="P26" s="1">
        <v>1</v>
      </c>
      <c r="Q26" t="str">
        <f>IF(ISBLANK(Data[[#This Row],[Customer Rating]]),"No Rating",IF(Data[[#This Row],[Customer Rating]]&gt;=9,"Promoter",IF(Data[[#This Row],[Customer Rating]]&gt;=7,"Passive","Detractor")))</f>
        <v>Detractor</v>
      </c>
    </row>
    <row r="27" spans="1:17" ht="14.25" customHeight="1" x14ac:dyDescent="0.3">
      <c r="A27" s="1" t="s">
        <v>51</v>
      </c>
      <c r="B27" s="1" t="s">
        <v>32</v>
      </c>
      <c r="C27" s="1" t="s">
        <v>16</v>
      </c>
      <c r="D27" s="1" t="str">
        <f>IF(Data[[#This Row],[Cancellation Status]]="No", "High Potential", "Normal")</f>
        <v>High Potential</v>
      </c>
      <c r="E27" s="2">
        <v>45956</v>
      </c>
      <c r="F27" s="2">
        <v>45957</v>
      </c>
      <c r="G27" s="2">
        <v>45962</v>
      </c>
      <c r="H27" s="2">
        <v>45964</v>
      </c>
      <c r="I27" s="1" t="s">
        <v>17</v>
      </c>
      <c r="K27" s="2">
        <v>45979</v>
      </c>
      <c r="L27" s="88">
        <f>IF(OR(Data[[#This Row],[Service Follow-up Date]]="",Data[[#This Row],[Delivery Date]]=""),"",INT(Data[[#This Row],[Service Follow-up Date]]-Data[[#This Row],[Delivery Date]]))</f>
        <v>15</v>
      </c>
      <c r="M27" s="1">
        <v>1</v>
      </c>
      <c r="N27" s="1">
        <v>5</v>
      </c>
      <c r="O27" s="1">
        <v>2</v>
      </c>
      <c r="P27" s="1">
        <v>4</v>
      </c>
      <c r="Q27" t="str">
        <f>IF(ISBLANK(Data[[#This Row],[Customer Rating]]),"No Rating",IF(Data[[#This Row],[Customer Rating]]&gt;=9,"Promoter",IF(Data[[#This Row],[Customer Rating]]&gt;=7,"Passive","Detractor")))</f>
        <v>Detractor</v>
      </c>
    </row>
    <row r="28" spans="1:17" ht="14.25" customHeight="1" x14ac:dyDescent="0.3">
      <c r="A28" s="1" t="s">
        <v>52</v>
      </c>
      <c r="B28" s="1" t="s">
        <v>21</v>
      </c>
      <c r="C28" s="1" t="s">
        <v>16</v>
      </c>
      <c r="D28" s="1" t="str">
        <f>IF(Data[[#This Row],[Cancellation Status]]="No", "High Potential", "Normal")</f>
        <v>High Potential</v>
      </c>
      <c r="E28" s="2">
        <v>45960</v>
      </c>
      <c r="F28" s="2">
        <v>45965</v>
      </c>
      <c r="G28" s="2">
        <v>45970</v>
      </c>
      <c r="H28" s="2">
        <v>45976</v>
      </c>
      <c r="I28" s="1" t="s">
        <v>17</v>
      </c>
      <c r="K28" s="2">
        <v>45996</v>
      </c>
      <c r="L28" s="88">
        <f>IF(OR(Data[[#This Row],[Service Follow-up Date]]="",Data[[#This Row],[Delivery Date]]=""),"",INT(Data[[#This Row],[Service Follow-up Date]]-Data[[#This Row],[Delivery Date]]))</f>
        <v>20</v>
      </c>
      <c r="M28" s="1">
        <v>5</v>
      </c>
      <c r="N28" s="1">
        <v>5</v>
      </c>
      <c r="O28" s="1">
        <v>6</v>
      </c>
      <c r="P28" s="1">
        <v>1</v>
      </c>
      <c r="Q28" t="str">
        <f>IF(ISBLANK(Data[[#This Row],[Customer Rating]]),"No Rating",IF(Data[[#This Row],[Customer Rating]]&gt;=9,"Promoter",IF(Data[[#This Row],[Customer Rating]]&gt;=7,"Passive","Detractor")))</f>
        <v>Detractor</v>
      </c>
    </row>
    <row r="29" spans="1:17" ht="14.25" customHeight="1" x14ac:dyDescent="0.3">
      <c r="A29" s="1" t="s">
        <v>53</v>
      </c>
      <c r="B29" s="1" t="s">
        <v>15</v>
      </c>
      <c r="C29" s="1" t="s">
        <v>16</v>
      </c>
      <c r="D29" s="1" t="str">
        <f>IF(Data[[#This Row],[Cancellation Status]]="No", "High Potential", "Normal")</f>
        <v>High Potential</v>
      </c>
      <c r="E29" s="2">
        <v>45948</v>
      </c>
      <c r="F29" s="2">
        <v>45953</v>
      </c>
      <c r="G29" s="2">
        <v>45957</v>
      </c>
      <c r="H29" s="2">
        <v>45959</v>
      </c>
      <c r="I29" s="1" t="s">
        <v>17</v>
      </c>
      <c r="K29" s="2">
        <v>45970</v>
      </c>
      <c r="L29" s="88">
        <f>IF(OR(Data[[#This Row],[Service Follow-up Date]]="",Data[[#This Row],[Delivery Date]]=""),"",INT(Data[[#This Row],[Service Follow-up Date]]-Data[[#This Row],[Delivery Date]]))</f>
        <v>11</v>
      </c>
      <c r="M29" s="1">
        <v>5</v>
      </c>
      <c r="N29" s="1">
        <v>4</v>
      </c>
      <c r="O29" s="1">
        <v>2</v>
      </c>
      <c r="P29" s="1">
        <v>3</v>
      </c>
      <c r="Q29" t="str">
        <f>IF(ISBLANK(Data[[#This Row],[Customer Rating]]),"No Rating",IF(Data[[#This Row],[Customer Rating]]&gt;=9,"Promoter",IF(Data[[#This Row],[Customer Rating]]&gt;=7,"Passive","Detractor")))</f>
        <v>Detractor</v>
      </c>
    </row>
    <row r="30" spans="1:17" ht="14.25" customHeight="1" x14ac:dyDescent="0.3">
      <c r="A30" s="1" t="s">
        <v>54</v>
      </c>
      <c r="B30" s="1" t="s">
        <v>21</v>
      </c>
      <c r="C30" s="1" t="s">
        <v>16</v>
      </c>
      <c r="D30" s="1" t="str">
        <f>IF(Data[[#This Row],[Cancellation Status]]="No", "High Potential", "Normal")</f>
        <v>High Potential</v>
      </c>
      <c r="E30" s="2">
        <v>45955</v>
      </c>
      <c r="F30" s="2">
        <v>45960</v>
      </c>
      <c r="G30" s="2">
        <v>45962</v>
      </c>
      <c r="H30" s="2">
        <v>45968</v>
      </c>
      <c r="I30" s="1" t="s">
        <v>17</v>
      </c>
      <c r="K30" s="2">
        <v>45978</v>
      </c>
      <c r="L30" s="88">
        <f>IF(OR(Data[[#This Row],[Service Follow-up Date]]="",Data[[#This Row],[Delivery Date]]=""),"",INT(Data[[#This Row],[Service Follow-up Date]]-Data[[#This Row],[Delivery Date]]))</f>
        <v>10</v>
      </c>
      <c r="M30" s="1">
        <v>5</v>
      </c>
      <c r="N30" s="1">
        <v>2</v>
      </c>
      <c r="O30" s="1">
        <v>6</v>
      </c>
      <c r="P30" s="1">
        <v>3</v>
      </c>
      <c r="Q30" t="str">
        <f>IF(ISBLANK(Data[[#This Row],[Customer Rating]]),"No Rating",IF(Data[[#This Row],[Customer Rating]]&gt;=9,"Promoter",IF(Data[[#This Row],[Customer Rating]]&gt;=7,"Passive","Detractor")))</f>
        <v>Detractor</v>
      </c>
    </row>
    <row r="31" spans="1:17" ht="14.25" customHeight="1" x14ac:dyDescent="0.3">
      <c r="A31" s="1" t="s">
        <v>55</v>
      </c>
      <c r="B31" s="1" t="s">
        <v>15</v>
      </c>
      <c r="C31" s="1" t="s">
        <v>22</v>
      </c>
      <c r="D31" s="1" t="str">
        <f>IF(Data[[#This Row],[Cancellation Status]]="No", "High Potential", "Normal")</f>
        <v>Normal</v>
      </c>
      <c r="E31" s="2">
        <v>45946</v>
      </c>
      <c r="I31" s="1" t="s">
        <v>23</v>
      </c>
      <c r="J31" s="1" t="s">
        <v>33</v>
      </c>
      <c r="L31" s="88" t="str">
        <f>IF(OR(Data[[#This Row],[Service Follow-up Date]]="",Data[[#This Row],[Delivery Date]]=""),"",INT(Data[[#This Row],[Service Follow-up Date]]-Data[[#This Row],[Delivery Date]]))</f>
        <v/>
      </c>
      <c r="Q31" t="str">
        <f>IF(ISBLANK(Data[[#This Row],[Customer Rating]]),"No Rating",IF(Data[[#This Row],[Customer Rating]]&gt;=9,"Promoter",IF(Data[[#This Row],[Customer Rating]]&gt;=7,"Passive","Detractor")))</f>
        <v>No Rating</v>
      </c>
    </row>
    <row r="32" spans="1:17" ht="14.25" customHeight="1" x14ac:dyDescent="0.3">
      <c r="A32" s="1" t="s">
        <v>56</v>
      </c>
      <c r="B32" s="1" t="s">
        <v>19</v>
      </c>
      <c r="C32" s="1" t="s">
        <v>16</v>
      </c>
      <c r="D32" s="1" t="str">
        <f>IF(Data[[#This Row],[Cancellation Status]]="No", "High Potential", "Normal")</f>
        <v>High Potential</v>
      </c>
      <c r="E32" s="2">
        <v>45945</v>
      </c>
      <c r="F32" s="2">
        <v>45948</v>
      </c>
      <c r="G32" s="2">
        <v>45950</v>
      </c>
      <c r="H32" s="2">
        <v>45953</v>
      </c>
      <c r="I32" s="1" t="s">
        <v>17</v>
      </c>
      <c r="K32" s="2">
        <v>45967</v>
      </c>
      <c r="L32" s="88">
        <f>IF(OR(Data[[#This Row],[Service Follow-up Date]]="",Data[[#This Row],[Delivery Date]]=""),"",INT(Data[[#This Row],[Service Follow-up Date]]-Data[[#This Row],[Delivery Date]]))</f>
        <v>14</v>
      </c>
      <c r="M32" s="1">
        <v>3</v>
      </c>
      <c r="N32" s="1">
        <v>2</v>
      </c>
      <c r="O32" s="1">
        <v>3</v>
      </c>
      <c r="P32" s="1">
        <v>3</v>
      </c>
      <c r="Q32" t="str">
        <f>IF(ISBLANK(Data[[#This Row],[Customer Rating]]),"No Rating",IF(Data[[#This Row],[Customer Rating]]&gt;=9,"Promoter",IF(Data[[#This Row],[Customer Rating]]&gt;=7,"Passive","Detractor")))</f>
        <v>Detractor</v>
      </c>
    </row>
    <row r="33" spans="1:17" ht="14.25" customHeight="1" x14ac:dyDescent="0.3">
      <c r="A33" s="1" t="s">
        <v>57</v>
      </c>
      <c r="B33" s="1" t="s">
        <v>21</v>
      </c>
      <c r="C33" s="1" t="s">
        <v>16</v>
      </c>
      <c r="D33" s="1" t="str">
        <f>IF(Data[[#This Row],[Cancellation Status]]="No", "High Potential", "Normal")</f>
        <v>High Potential</v>
      </c>
      <c r="E33" s="2">
        <v>45944</v>
      </c>
      <c r="F33" s="2">
        <v>45945</v>
      </c>
      <c r="G33" s="2">
        <v>45946</v>
      </c>
      <c r="H33" s="2">
        <v>45950</v>
      </c>
      <c r="I33" s="1" t="s">
        <v>17</v>
      </c>
      <c r="K33" s="2">
        <v>45978</v>
      </c>
      <c r="L33" s="88">
        <f>IF(OR(Data[[#This Row],[Service Follow-up Date]]="",Data[[#This Row],[Delivery Date]]=""),"",INT(Data[[#This Row],[Service Follow-up Date]]-Data[[#This Row],[Delivery Date]]))</f>
        <v>28</v>
      </c>
      <c r="M33" s="1">
        <v>1</v>
      </c>
      <c r="N33" s="1">
        <v>1</v>
      </c>
      <c r="O33" s="1">
        <v>4</v>
      </c>
      <c r="P33" s="1">
        <v>5</v>
      </c>
      <c r="Q33" t="str">
        <f>IF(ISBLANK(Data[[#This Row],[Customer Rating]]),"No Rating",IF(Data[[#This Row],[Customer Rating]]&gt;=9,"Promoter",IF(Data[[#This Row],[Customer Rating]]&gt;=7,"Passive","Detractor")))</f>
        <v>Detractor</v>
      </c>
    </row>
    <row r="34" spans="1:17" ht="14.25" customHeight="1" x14ac:dyDescent="0.3">
      <c r="A34" s="1" t="s">
        <v>58</v>
      </c>
      <c r="B34" s="1" t="s">
        <v>15</v>
      </c>
      <c r="C34" s="1" t="s">
        <v>16</v>
      </c>
      <c r="D34" s="1" t="str">
        <f>IF(Data[[#This Row],[Cancellation Status]]="No", "High Potential", "Normal")</f>
        <v>High Potential</v>
      </c>
      <c r="E34" s="2">
        <v>45957</v>
      </c>
      <c r="F34" s="2">
        <v>45961</v>
      </c>
      <c r="G34" s="2">
        <v>45966</v>
      </c>
      <c r="H34" s="2">
        <v>45970</v>
      </c>
      <c r="I34" s="1" t="s">
        <v>17</v>
      </c>
      <c r="K34" s="2">
        <v>45984</v>
      </c>
      <c r="L34" s="88">
        <f>IF(OR(Data[[#This Row],[Service Follow-up Date]]="",Data[[#This Row],[Delivery Date]]=""),"",INT(Data[[#This Row],[Service Follow-up Date]]-Data[[#This Row],[Delivery Date]]))</f>
        <v>14</v>
      </c>
      <c r="M34" s="1">
        <v>4</v>
      </c>
      <c r="N34" s="1">
        <v>5</v>
      </c>
      <c r="O34" s="1">
        <v>4</v>
      </c>
      <c r="P34" s="1">
        <v>3</v>
      </c>
      <c r="Q34" t="str">
        <f>IF(ISBLANK(Data[[#This Row],[Customer Rating]]),"No Rating",IF(Data[[#This Row],[Customer Rating]]&gt;=9,"Promoter",IF(Data[[#This Row],[Customer Rating]]&gt;=7,"Passive","Detractor")))</f>
        <v>Detractor</v>
      </c>
    </row>
    <row r="35" spans="1:17" ht="14.25" customHeight="1" x14ac:dyDescent="0.3">
      <c r="A35" s="1" t="s">
        <v>59</v>
      </c>
      <c r="B35" s="1" t="s">
        <v>19</v>
      </c>
      <c r="C35" s="1" t="s">
        <v>16</v>
      </c>
      <c r="D35" s="1" t="str">
        <f>IF(Data[[#This Row],[Cancellation Status]]="No", "High Potential", "Normal")</f>
        <v>High Potential</v>
      </c>
      <c r="E35" s="2">
        <v>45954</v>
      </c>
      <c r="F35" s="2">
        <v>45957</v>
      </c>
      <c r="G35" s="2">
        <v>45958</v>
      </c>
      <c r="H35" s="2">
        <v>45961</v>
      </c>
      <c r="I35" s="1" t="s">
        <v>17</v>
      </c>
      <c r="K35" s="2">
        <v>45974</v>
      </c>
      <c r="L35" s="88">
        <f>IF(OR(Data[[#This Row],[Service Follow-up Date]]="",Data[[#This Row],[Delivery Date]]=""),"",INT(Data[[#This Row],[Service Follow-up Date]]-Data[[#This Row],[Delivery Date]]))</f>
        <v>13</v>
      </c>
      <c r="M35" s="1">
        <v>3</v>
      </c>
      <c r="N35" s="1">
        <v>1</v>
      </c>
      <c r="O35" s="1">
        <v>3</v>
      </c>
      <c r="P35" s="1">
        <v>3</v>
      </c>
      <c r="Q35" t="str">
        <f>IF(ISBLANK(Data[[#This Row],[Customer Rating]]),"No Rating",IF(Data[[#This Row],[Customer Rating]]&gt;=9,"Promoter",IF(Data[[#This Row],[Customer Rating]]&gt;=7,"Passive","Detractor")))</f>
        <v>Detractor</v>
      </c>
    </row>
    <row r="36" spans="1:17" ht="14.25" customHeight="1" x14ac:dyDescent="0.3">
      <c r="A36" s="1" t="s">
        <v>60</v>
      </c>
      <c r="B36" s="1" t="s">
        <v>21</v>
      </c>
      <c r="C36" s="1" t="s">
        <v>22</v>
      </c>
      <c r="D36" s="1" t="str">
        <f>IF(Data[[#This Row],[Cancellation Status]]="No", "High Potential", "Normal")</f>
        <v>Normal</v>
      </c>
      <c r="E36" s="2">
        <v>45949</v>
      </c>
      <c r="I36" s="1" t="s">
        <v>23</v>
      </c>
      <c r="J36" s="1" t="s">
        <v>26</v>
      </c>
      <c r="L36" s="88" t="str">
        <f>IF(OR(Data[[#This Row],[Service Follow-up Date]]="",Data[[#This Row],[Delivery Date]]=""),"",INT(Data[[#This Row],[Service Follow-up Date]]-Data[[#This Row],[Delivery Date]]))</f>
        <v/>
      </c>
      <c r="Q36" t="str">
        <f>IF(ISBLANK(Data[[#This Row],[Customer Rating]]),"No Rating",IF(Data[[#This Row],[Customer Rating]]&gt;=9,"Promoter",IF(Data[[#This Row],[Customer Rating]]&gt;=7,"Passive","Detractor")))</f>
        <v>No Rating</v>
      </c>
    </row>
    <row r="37" spans="1:17" ht="14.25" customHeight="1" x14ac:dyDescent="0.3">
      <c r="A37" s="1" t="s">
        <v>61</v>
      </c>
      <c r="B37" s="1" t="s">
        <v>21</v>
      </c>
      <c r="C37" s="1" t="s">
        <v>16</v>
      </c>
      <c r="D37" s="1" t="str">
        <f>IF(Data[[#This Row],[Cancellation Status]]="No", "High Potential", "Normal")</f>
        <v>High Potential</v>
      </c>
      <c r="E37" s="2">
        <v>45939</v>
      </c>
      <c r="F37" s="2">
        <v>45943</v>
      </c>
      <c r="G37" s="2">
        <v>45945</v>
      </c>
      <c r="H37" s="2">
        <v>45950</v>
      </c>
      <c r="I37" s="1" t="s">
        <v>17</v>
      </c>
      <c r="K37" s="2">
        <v>45976</v>
      </c>
      <c r="L37" s="88">
        <f>IF(OR(Data[[#This Row],[Service Follow-up Date]]="",Data[[#This Row],[Delivery Date]]=""),"",INT(Data[[#This Row],[Service Follow-up Date]]-Data[[#This Row],[Delivery Date]]))</f>
        <v>26</v>
      </c>
      <c r="M37" s="1">
        <v>4</v>
      </c>
      <c r="N37" s="1">
        <v>2</v>
      </c>
      <c r="O37" s="1">
        <v>5</v>
      </c>
      <c r="P37" s="1">
        <v>9</v>
      </c>
      <c r="Q37" t="str">
        <f>IF(ISBLANK(Data[[#This Row],[Customer Rating]]),"No Rating",IF(Data[[#This Row],[Customer Rating]]&gt;=9,"Promoter",IF(Data[[#This Row],[Customer Rating]]&gt;=7,"Passive","Detractor")))</f>
        <v>Promoter</v>
      </c>
    </row>
    <row r="38" spans="1:17" ht="14.25" customHeight="1" x14ac:dyDescent="0.3">
      <c r="A38" s="1" t="s">
        <v>62</v>
      </c>
      <c r="B38" s="1" t="s">
        <v>15</v>
      </c>
      <c r="C38" s="1" t="s">
        <v>16</v>
      </c>
      <c r="D38" s="1" t="str">
        <f>IF(Data[[#This Row],[Cancellation Status]]="No", "High Potential", "Normal")</f>
        <v>Normal</v>
      </c>
      <c r="E38" s="2">
        <v>45941</v>
      </c>
      <c r="F38" s="2">
        <v>45942</v>
      </c>
      <c r="G38" s="2">
        <v>45943</v>
      </c>
      <c r="H38" s="2">
        <v>45945</v>
      </c>
      <c r="I38" s="1" t="s">
        <v>23</v>
      </c>
      <c r="J38" s="1" t="s">
        <v>63</v>
      </c>
      <c r="L38" s="88" t="str">
        <f>IF(OR(Data[[#This Row],[Service Follow-up Date]]="",Data[[#This Row],[Delivery Date]]=""),"",INT(Data[[#This Row],[Service Follow-up Date]]-Data[[#This Row],[Delivery Date]]))</f>
        <v/>
      </c>
      <c r="M38" s="1">
        <v>1</v>
      </c>
      <c r="N38" s="1">
        <v>1</v>
      </c>
      <c r="O38" s="1">
        <v>2</v>
      </c>
      <c r="Q38" t="str">
        <f>IF(ISBLANK(Data[[#This Row],[Customer Rating]]),"No Rating",IF(Data[[#This Row],[Customer Rating]]&gt;=9,"Promoter",IF(Data[[#This Row],[Customer Rating]]&gt;=7,"Passive","Detractor")))</f>
        <v>No Rating</v>
      </c>
    </row>
    <row r="39" spans="1:17" ht="14.25" customHeight="1" x14ac:dyDescent="0.3">
      <c r="A39" s="1" t="s">
        <v>64</v>
      </c>
      <c r="B39" s="1" t="s">
        <v>15</v>
      </c>
      <c r="C39" s="1" t="s">
        <v>16</v>
      </c>
      <c r="D39" s="1" t="str">
        <f>IF(Data[[#This Row],[Cancellation Status]]="No", "High Potential", "Normal")</f>
        <v>High Potential</v>
      </c>
      <c r="E39" s="2">
        <v>45958</v>
      </c>
      <c r="F39" s="2">
        <v>45961</v>
      </c>
      <c r="G39" s="2">
        <v>45965</v>
      </c>
      <c r="H39" s="2">
        <v>45969</v>
      </c>
      <c r="I39" s="1" t="s">
        <v>17</v>
      </c>
      <c r="K39" s="2">
        <v>45990</v>
      </c>
      <c r="L39" s="88">
        <f>IF(OR(Data[[#This Row],[Service Follow-up Date]]="",Data[[#This Row],[Delivery Date]]=""),"",INT(Data[[#This Row],[Service Follow-up Date]]-Data[[#This Row],[Delivery Date]]))</f>
        <v>21</v>
      </c>
      <c r="M39" s="1">
        <v>3</v>
      </c>
      <c r="N39" s="1">
        <v>4</v>
      </c>
      <c r="O39" s="1">
        <v>4</v>
      </c>
      <c r="P39" s="1">
        <v>2</v>
      </c>
      <c r="Q39" t="str">
        <f>IF(ISBLANK(Data[[#This Row],[Customer Rating]]),"No Rating",IF(Data[[#This Row],[Customer Rating]]&gt;=9,"Promoter",IF(Data[[#This Row],[Customer Rating]]&gt;=7,"Passive","Detractor")))</f>
        <v>Detractor</v>
      </c>
    </row>
    <row r="40" spans="1:17" ht="14.25" customHeight="1" x14ac:dyDescent="0.3">
      <c r="A40" s="1" t="s">
        <v>65</v>
      </c>
      <c r="B40" s="1" t="s">
        <v>15</v>
      </c>
      <c r="C40" s="1" t="s">
        <v>16</v>
      </c>
      <c r="D40" s="1" t="str">
        <f>IF(Data[[#This Row],[Cancellation Status]]="No", "High Potential", "Normal")</f>
        <v>High Potential</v>
      </c>
      <c r="E40" s="2">
        <v>45938</v>
      </c>
      <c r="F40" s="2">
        <v>45943</v>
      </c>
      <c r="G40" s="2">
        <v>45946</v>
      </c>
      <c r="H40" s="2">
        <v>45953</v>
      </c>
      <c r="I40" s="1" t="s">
        <v>17</v>
      </c>
      <c r="K40" s="2">
        <v>45965</v>
      </c>
      <c r="L40" s="88">
        <f>IF(OR(Data[[#This Row],[Service Follow-up Date]]="",Data[[#This Row],[Delivery Date]]=""),"",INT(Data[[#This Row],[Service Follow-up Date]]-Data[[#This Row],[Delivery Date]]))</f>
        <v>12</v>
      </c>
      <c r="M40" s="1">
        <v>5</v>
      </c>
      <c r="N40" s="1">
        <v>3</v>
      </c>
      <c r="O40" s="1">
        <v>7</v>
      </c>
      <c r="P40" s="1">
        <v>9</v>
      </c>
      <c r="Q40" t="str">
        <f>IF(ISBLANK(Data[[#This Row],[Customer Rating]]),"No Rating",IF(Data[[#This Row],[Customer Rating]]&gt;=9,"Promoter",IF(Data[[#This Row],[Customer Rating]]&gt;=7,"Passive","Detractor")))</f>
        <v>Promoter</v>
      </c>
    </row>
    <row r="41" spans="1:17" ht="14.25" customHeight="1" x14ac:dyDescent="0.3">
      <c r="A41" s="1" t="s">
        <v>66</v>
      </c>
      <c r="B41" s="1" t="s">
        <v>19</v>
      </c>
      <c r="C41" s="1" t="s">
        <v>16</v>
      </c>
      <c r="D41" s="1" t="str">
        <f>IF(Data[[#This Row],[Cancellation Status]]="No", "High Potential", "Normal")</f>
        <v>Normal</v>
      </c>
      <c r="E41" s="2">
        <v>45957</v>
      </c>
      <c r="F41" s="2">
        <v>45960</v>
      </c>
      <c r="G41" s="2">
        <v>45964</v>
      </c>
      <c r="H41" s="2">
        <v>45969</v>
      </c>
      <c r="I41" s="1" t="s">
        <v>23</v>
      </c>
      <c r="J41" s="1" t="s">
        <v>24</v>
      </c>
      <c r="L41" s="88" t="str">
        <f>IF(OR(Data[[#This Row],[Service Follow-up Date]]="",Data[[#This Row],[Delivery Date]]=""),"",INT(Data[[#This Row],[Service Follow-up Date]]-Data[[#This Row],[Delivery Date]]))</f>
        <v/>
      </c>
      <c r="M41" s="1">
        <v>3</v>
      </c>
      <c r="N41" s="1">
        <v>4</v>
      </c>
      <c r="O41" s="1">
        <v>5</v>
      </c>
      <c r="Q41" t="str">
        <f>IF(ISBLANK(Data[[#This Row],[Customer Rating]]),"No Rating",IF(Data[[#This Row],[Customer Rating]]&gt;=9,"Promoter",IF(Data[[#This Row],[Customer Rating]]&gt;=7,"Passive","Detractor")))</f>
        <v>No Rating</v>
      </c>
    </row>
    <row r="42" spans="1:17" ht="14.25" customHeight="1" x14ac:dyDescent="0.3">
      <c r="A42" s="1" t="s">
        <v>67</v>
      </c>
      <c r="B42" s="1" t="s">
        <v>15</v>
      </c>
      <c r="C42" s="1" t="s">
        <v>22</v>
      </c>
      <c r="D42" s="1" t="str">
        <f>IF(Data[[#This Row],[Cancellation Status]]="No", "High Potential", "Normal")</f>
        <v>Normal</v>
      </c>
      <c r="E42" s="2">
        <v>45960</v>
      </c>
      <c r="I42" s="1" t="s">
        <v>23</v>
      </c>
      <c r="J42" s="1" t="s">
        <v>26</v>
      </c>
      <c r="L42" s="88" t="str">
        <f>IF(OR(Data[[#This Row],[Service Follow-up Date]]="",Data[[#This Row],[Delivery Date]]=""),"",INT(Data[[#This Row],[Service Follow-up Date]]-Data[[#This Row],[Delivery Date]]))</f>
        <v/>
      </c>
      <c r="Q42" t="str">
        <f>IF(ISBLANK(Data[[#This Row],[Customer Rating]]),"No Rating",IF(Data[[#This Row],[Customer Rating]]&gt;=9,"Promoter",IF(Data[[#This Row],[Customer Rating]]&gt;=7,"Passive","Detractor")))</f>
        <v>No Rating</v>
      </c>
    </row>
    <row r="43" spans="1:17" ht="14.25" customHeight="1" x14ac:dyDescent="0.3">
      <c r="A43" s="1" t="s">
        <v>68</v>
      </c>
      <c r="B43" s="1" t="s">
        <v>21</v>
      </c>
      <c r="C43" s="1" t="s">
        <v>16</v>
      </c>
      <c r="D43" s="1" t="str">
        <f>IF(Data[[#This Row],[Cancellation Status]]="No", "High Potential", "Normal")</f>
        <v>High Potential</v>
      </c>
      <c r="E43" s="2">
        <v>45933</v>
      </c>
      <c r="F43" s="2">
        <v>45936</v>
      </c>
      <c r="G43" s="2">
        <v>45938</v>
      </c>
      <c r="H43" s="2">
        <v>45944</v>
      </c>
      <c r="I43" s="1" t="s">
        <v>17</v>
      </c>
      <c r="K43" s="2">
        <v>45965</v>
      </c>
      <c r="L43" s="88">
        <f>IF(OR(Data[[#This Row],[Service Follow-up Date]]="",Data[[#This Row],[Delivery Date]]=""),"",INT(Data[[#This Row],[Service Follow-up Date]]-Data[[#This Row],[Delivery Date]]))</f>
        <v>21</v>
      </c>
      <c r="M43" s="1">
        <v>3</v>
      </c>
      <c r="N43" s="1">
        <v>2</v>
      </c>
      <c r="O43" s="1">
        <v>6</v>
      </c>
      <c r="P43" s="1">
        <v>6</v>
      </c>
      <c r="Q43" t="str">
        <f>IF(ISBLANK(Data[[#This Row],[Customer Rating]]),"No Rating",IF(Data[[#This Row],[Customer Rating]]&gt;=9,"Promoter",IF(Data[[#This Row],[Customer Rating]]&gt;=7,"Passive","Detractor")))</f>
        <v>Detractor</v>
      </c>
    </row>
    <row r="44" spans="1:17" ht="14.25" customHeight="1" x14ac:dyDescent="0.3">
      <c r="A44" s="1" t="s">
        <v>69</v>
      </c>
      <c r="B44" s="1" t="s">
        <v>21</v>
      </c>
      <c r="C44" s="1" t="s">
        <v>16</v>
      </c>
      <c r="D44" s="1" t="str">
        <f>IF(Data[[#This Row],[Cancellation Status]]="No", "High Potential", "Normal")</f>
        <v>High Potential</v>
      </c>
      <c r="E44" s="2">
        <v>45939</v>
      </c>
      <c r="F44" s="2">
        <v>45940</v>
      </c>
      <c r="G44" s="2">
        <v>45944</v>
      </c>
      <c r="H44" s="2">
        <v>45951</v>
      </c>
      <c r="I44" s="1" t="s">
        <v>17</v>
      </c>
      <c r="K44" s="2">
        <v>45973</v>
      </c>
      <c r="L44" s="88">
        <f>IF(OR(Data[[#This Row],[Service Follow-up Date]]="",Data[[#This Row],[Delivery Date]]=""),"",INT(Data[[#This Row],[Service Follow-up Date]]-Data[[#This Row],[Delivery Date]]))</f>
        <v>22</v>
      </c>
      <c r="M44" s="1">
        <v>1</v>
      </c>
      <c r="N44" s="1">
        <v>4</v>
      </c>
      <c r="O44" s="1">
        <v>7</v>
      </c>
      <c r="P44" s="1">
        <v>7</v>
      </c>
      <c r="Q44" t="str">
        <f>IF(ISBLANK(Data[[#This Row],[Customer Rating]]),"No Rating",IF(Data[[#This Row],[Customer Rating]]&gt;=9,"Promoter",IF(Data[[#This Row],[Customer Rating]]&gt;=7,"Passive","Detractor")))</f>
        <v>Passive</v>
      </c>
    </row>
    <row r="45" spans="1:17" ht="14.25" customHeight="1" x14ac:dyDescent="0.3">
      <c r="A45" s="1" t="s">
        <v>70</v>
      </c>
      <c r="B45" s="1" t="s">
        <v>15</v>
      </c>
      <c r="C45" s="1" t="s">
        <v>22</v>
      </c>
      <c r="D45" s="1" t="str">
        <f>IF(Data[[#This Row],[Cancellation Status]]="No", "High Potential", "Normal")</f>
        <v>Normal</v>
      </c>
      <c r="E45" s="2">
        <v>45959</v>
      </c>
      <c r="I45" s="1" t="s">
        <v>23</v>
      </c>
      <c r="J45" s="1" t="s">
        <v>33</v>
      </c>
      <c r="L45" s="88" t="str">
        <f>IF(OR(Data[[#This Row],[Service Follow-up Date]]="",Data[[#This Row],[Delivery Date]]=""),"",INT(Data[[#This Row],[Service Follow-up Date]]-Data[[#This Row],[Delivery Date]]))</f>
        <v/>
      </c>
      <c r="Q45" t="str">
        <f>IF(ISBLANK(Data[[#This Row],[Customer Rating]]),"No Rating",IF(Data[[#This Row],[Customer Rating]]&gt;=9,"Promoter",IF(Data[[#This Row],[Customer Rating]]&gt;=7,"Passive","Detractor")))</f>
        <v>No Rating</v>
      </c>
    </row>
    <row r="46" spans="1:17" ht="14.25" customHeight="1" x14ac:dyDescent="0.3">
      <c r="A46" s="1" t="s">
        <v>71</v>
      </c>
      <c r="B46" s="1" t="s">
        <v>15</v>
      </c>
      <c r="C46" s="1" t="s">
        <v>30</v>
      </c>
      <c r="D46" s="1" t="str">
        <f>IF(Data[[#This Row],[Cancellation Status]]="No", "High Potential", "Normal")</f>
        <v>High Potential</v>
      </c>
      <c r="E46" s="2">
        <v>45945</v>
      </c>
      <c r="F46" s="2">
        <v>45950</v>
      </c>
      <c r="G46" s="2">
        <v>45952</v>
      </c>
      <c r="H46" s="2">
        <v>45956</v>
      </c>
      <c r="I46" s="1" t="s">
        <v>17</v>
      </c>
      <c r="K46" s="2">
        <v>45984</v>
      </c>
      <c r="L46" s="88">
        <f>IF(OR(Data[[#This Row],[Service Follow-up Date]]="",Data[[#This Row],[Delivery Date]]=""),"",INT(Data[[#This Row],[Service Follow-up Date]]-Data[[#This Row],[Delivery Date]]))</f>
        <v>28</v>
      </c>
      <c r="M46" s="1">
        <v>5</v>
      </c>
      <c r="N46" s="1">
        <v>2</v>
      </c>
      <c r="O46" s="1">
        <v>4</v>
      </c>
      <c r="P46" s="1">
        <v>8</v>
      </c>
      <c r="Q46" t="str">
        <f>IF(ISBLANK(Data[[#This Row],[Customer Rating]]),"No Rating",IF(Data[[#This Row],[Customer Rating]]&gt;=9,"Promoter",IF(Data[[#This Row],[Customer Rating]]&gt;=7,"Passive","Detractor")))</f>
        <v>Passive</v>
      </c>
    </row>
    <row r="47" spans="1:17" ht="14.25" customHeight="1" x14ac:dyDescent="0.3">
      <c r="A47" s="1" t="s">
        <v>72</v>
      </c>
      <c r="B47" s="1" t="s">
        <v>32</v>
      </c>
      <c r="C47" s="1" t="s">
        <v>30</v>
      </c>
      <c r="D47" s="1" t="str">
        <f>IF(Data[[#This Row],[Cancellation Status]]="No", "High Potential", "Normal")</f>
        <v>High Potential</v>
      </c>
      <c r="E47" s="2">
        <v>45938</v>
      </c>
      <c r="F47" s="2">
        <v>45943</v>
      </c>
      <c r="G47" s="2">
        <v>45947</v>
      </c>
      <c r="H47" s="2">
        <v>45953</v>
      </c>
      <c r="I47" s="1" t="s">
        <v>17</v>
      </c>
      <c r="K47" s="2">
        <v>45966</v>
      </c>
      <c r="L47" s="88">
        <f>IF(OR(Data[[#This Row],[Service Follow-up Date]]="",Data[[#This Row],[Delivery Date]]=""),"",INT(Data[[#This Row],[Service Follow-up Date]]-Data[[#This Row],[Delivery Date]]))</f>
        <v>13</v>
      </c>
      <c r="M47" s="1">
        <v>5</v>
      </c>
      <c r="N47" s="1">
        <v>4</v>
      </c>
      <c r="O47" s="1">
        <v>6</v>
      </c>
      <c r="P47" s="1">
        <v>3</v>
      </c>
      <c r="Q47" t="str">
        <f>IF(ISBLANK(Data[[#This Row],[Customer Rating]]),"No Rating",IF(Data[[#This Row],[Customer Rating]]&gt;=9,"Promoter",IF(Data[[#This Row],[Customer Rating]]&gt;=7,"Passive","Detractor")))</f>
        <v>Detractor</v>
      </c>
    </row>
    <row r="48" spans="1:17" ht="14.25" customHeight="1" x14ac:dyDescent="0.3">
      <c r="A48" s="1" t="s">
        <v>73</v>
      </c>
      <c r="B48" s="1" t="s">
        <v>21</v>
      </c>
      <c r="C48" s="1" t="s">
        <v>16</v>
      </c>
      <c r="D48" s="1" t="str">
        <f>IF(Data[[#This Row],[Cancellation Status]]="No", "High Potential", "Normal")</f>
        <v>High Potential</v>
      </c>
      <c r="E48" s="2">
        <v>45955</v>
      </c>
      <c r="F48" s="2">
        <v>45957</v>
      </c>
      <c r="G48" s="2">
        <v>45962</v>
      </c>
      <c r="H48" s="2">
        <v>45967</v>
      </c>
      <c r="I48" s="1" t="s">
        <v>17</v>
      </c>
      <c r="K48" s="2">
        <v>45987</v>
      </c>
      <c r="L48" s="88">
        <f>IF(OR(Data[[#This Row],[Service Follow-up Date]]="",Data[[#This Row],[Delivery Date]]=""),"",INT(Data[[#This Row],[Service Follow-up Date]]-Data[[#This Row],[Delivery Date]]))</f>
        <v>20</v>
      </c>
      <c r="M48" s="1">
        <v>2</v>
      </c>
      <c r="N48" s="1">
        <v>5</v>
      </c>
      <c r="O48" s="1">
        <v>5</v>
      </c>
      <c r="P48" s="1">
        <v>5</v>
      </c>
      <c r="Q48" t="str">
        <f>IF(ISBLANK(Data[[#This Row],[Customer Rating]]),"No Rating",IF(Data[[#This Row],[Customer Rating]]&gt;=9,"Promoter",IF(Data[[#This Row],[Customer Rating]]&gt;=7,"Passive","Detractor")))</f>
        <v>Detractor</v>
      </c>
    </row>
    <row r="49" spans="1:17" ht="14.25" customHeight="1" x14ac:dyDescent="0.3">
      <c r="A49" s="1" t="s">
        <v>74</v>
      </c>
      <c r="B49" s="1" t="s">
        <v>19</v>
      </c>
      <c r="C49" s="1" t="s">
        <v>22</v>
      </c>
      <c r="D49" s="1" t="str">
        <f>IF(Data[[#This Row],[Cancellation Status]]="No", "High Potential", "Normal")</f>
        <v>Normal</v>
      </c>
      <c r="E49" s="2">
        <v>45945</v>
      </c>
      <c r="I49" s="1" t="s">
        <v>23</v>
      </c>
      <c r="J49" s="1" t="s">
        <v>26</v>
      </c>
      <c r="L49" s="88" t="str">
        <f>IF(OR(Data[[#This Row],[Service Follow-up Date]]="",Data[[#This Row],[Delivery Date]]=""),"",INT(Data[[#This Row],[Service Follow-up Date]]-Data[[#This Row],[Delivery Date]]))</f>
        <v/>
      </c>
      <c r="Q49" t="str">
        <f>IF(ISBLANK(Data[[#This Row],[Customer Rating]]),"No Rating",IF(Data[[#This Row],[Customer Rating]]&gt;=9,"Promoter",IF(Data[[#This Row],[Customer Rating]]&gt;=7,"Passive","Detractor")))</f>
        <v>No Rating</v>
      </c>
    </row>
    <row r="50" spans="1:17" ht="14.25" customHeight="1" x14ac:dyDescent="0.3">
      <c r="A50" s="1" t="s">
        <v>75</v>
      </c>
      <c r="B50" s="1" t="s">
        <v>32</v>
      </c>
      <c r="C50" s="1" t="s">
        <v>30</v>
      </c>
      <c r="D50" s="1" t="str">
        <f>IF(Data[[#This Row],[Cancellation Status]]="No", "High Potential", "Normal")</f>
        <v>High Potential</v>
      </c>
      <c r="E50" s="2">
        <v>45949</v>
      </c>
      <c r="F50" s="2">
        <v>45951</v>
      </c>
      <c r="G50" s="2">
        <v>45956</v>
      </c>
      <c r="H50" s="2">
        <v>45962</v>
      </c>
      <c r="I50" s="1" t="s">
        <v>17</v>
      </c>
      <c r="K50" s="2">
        <v>45981</v>
      </c>
      <c r="L50" s="88">
        <f>IF(OR(Data[[#This Row],[Service Follow-up Date]]="",Data[[#This Row],[Delivery Date]]=""),"",INT(Data[[#This Row],[Service Follow-up Date]]-Data[[#This Row],[Delivery Date]]))</f>
        <v>19</v>
      </c>
      <c r="M50" s="1">
        <v>2</v>
      </c>
      <c r="N50" s="1">
        <v>5</v>
      </c>
      <c r="O50" s="1">
        <v>6</v>
      </c>
      <c r="P50" s="1">
        <v>0</v>
      </c>
      <c r="Q50" t="str">
        <f>IF(ISBLANK(Data[[#This Row],[Customer Rating]]),"No Rating",IF(Data[[#This Row],[Customer Rating]]&gt;=9,"Promoter",IF(Data[[#This Row],[Customer Rating]]&gt;=7,"Passive","Detractor")))</f>
        <v>Detractor</v>
      </c>
    </row>
    <row r="51" spans="1:17" ht="14.25" customHeight="1" x14ac:dyDescent="0.3">
      <c r="A51" s="1" t="s">
        <v>76</v>
      </c>
      <c r="B51" s="1" t="s">
        <v>15</v>
      </c>
      <c r="C51" s="1" t="s">
        <v>30</v>
      </c>
      <c r="D51" s="1" t="str">
        <f>IF(Data[[#This Row],[Cancellation Status]]="No", "High Potential", "Normal")</f>
        <v>High Potential</v>
      </c>
      <c r="E51" s="2">
        <v>45950</v>
      </c>
      <c r="F51" s="2">
        <v>45954</v>
      </c>
      <c r="G51" s="2">
        <v>45958</v>
      </c>
      <c r="H51" s="2">
        <v>45963</v>
      </c>
      <c r="I51" s="1" t="s">
        <v>17</v>
      </c>
      <c r="K51" s="2">
        <v>45983</v>
      </c>
      <c r="L51" s="88">
        <f>IF(OR(Data[[#This Row],[Service Follow-up Date]]="",Data[[#This Row],[Delivery Date]]=""),"",INT(Data[[#This Row],[Service Follow-up Date]]-Data[[#This Row],[Delivery Date]]))</f>
        <v>20</v>
      </c>
      <c r="M51" s="1">
        <v>4</v>
      </c>
      <c r="N51" s="1">
        <v>4</v>
      </c>
      <c r="O51" s="1">
        <v>5</v>
      </c>
      <c r="P51" s="1">
        <v>6</v>
      </c>
      <c r="Q51" t="str">
        <f>IF(ISBLANK(Data[[#This Row],[Customer Rating]]),"No Rating",IF(Data[[#This Row],[Customer Rating]]&gt;=9,"Promoter",IF(Data[[#This Row],[Customer Rating]]&gt;=7,"Passive","Detractor")))</f>
        <v>Detractor</v>
      </c>
    </row>
    <row r="52" spans="1:17" ht="14.25" customHeight="1" x14ac:dyDescent="0.3">
      <c r="A52" s="1" t="s">
        <v>77</v>
      </c>
      <c r="B52" s="1" t="s">
        <v>15</v>
      </c>
      <c r="C52" s="1" t="s">
        <v>30</v>
      </c>
      <c r="D52" s="1" t="str">
        <f>IF(Data[[#This Row],[Cancellation Status]]="No", "High Potential", "Normal")</f>
        <v>High Potential</v>
      </c>
      <c r="E52" s="2">
        <v>45952</v>
      </c>
      <c r="F52" s="2">
        <v>45954</v>
      </c>
      <c r="G52" s="2">
        <v>45955</v>
      </c>
      <c r="H52" s="2">
        <v>45961</v>
      </c>
      <c r="I52" s="1" t="s">
        <v>17</v>
      </c>
      <c r="K52" s="2">
        <v>45975</v>
      </c>
      <c r="L52" s="88">
        <f>IF(OR(Data[[#This Row],[Service Follow-up Date]]="",Data[[#This Row],[Delivery Date]]=""),"",INT(Data[[#This Row],[Service Follow-up Date]]-Data[[#This Row],[Delivery Date]]))</f>
        <v>14</v>
      </c>
      <c r="M52" s="1">
        <v>2</v>
      </c>
      <c r="N52" s="1">
        <v>1</v>
      </c>
      <c r="O52" s="1">
        <v>6</v>
      </c>
      <c r="P52" s="1">
        <v>6</v>
      </c>
      <c r="Q52" t="str">
        <f>IF(ISBLANK(Data[[#This Row],[Customer Rating]]),"No Rating",IF(Data[[#This Row],[Customer Rating]]&gt;=9,"Promoter",IF(Data[[#This Row],[Customer Rating]]&gt;=7,"Passive","Detractor")))</f>
        <v>Detractor</v>
      </c>
    </row>
    <row r="53" spans="1:17" ht="14.25" customHeight="1" x14ac:dyDescent="0.3">
      <c r="A53" s="1" t="s">
        <v>78</v>
      </c>
      <c r="B53" s="1" t="s">
        <v>21</v>
      </c>
      <c r="C53" s="1" t="s">
        <v>30</v>
      </c>
      <c r="D53" s="1" t="str">
        <f>IF(Data[[#This Row],[Cancellation Status]]="No", "High Potential", "Normal")</f>
        <v>High Potential</v>
      </c>
      <c r="E53" s="2">
        <v>45943</v>
      </c>
      <c r="F53" s="2">
        <v>45944</v>
      </c>
      <c r="G53" s="2">
        <v>45946</v>
      </c>
      <c r="H53" s="2">
        <v>45948</v>
      </c>
      <c r="I53" s="1" t="s">
        <v>17</v>
      </c>
      <c r="K53" s="2">
        <v>45963</v>
      </c>
      <c r="L53" s="88">
        <f>IF(OR(Data[[#This Row],[Service Follow-up Date]]="",Data[[#This Row],[Delivery Date]]=""),"",INT(Data[[#This Row],[Service Follow-up Date]]-Data[[#This Row],[Delivery Date]]))</f>
        <v>15</v>
      </c>
      <c r="M53" s="1">
        <v>1</v>
      </c>
      <c r="N53" s="1">
        <v>2</v>
      </c>
      <c r="O53" s="1">
        <v>2</v>
      </c>
      <c r="P53" s="1">
        <v>6</v>
      </c>
      <c r="Q53" t="str">
        <f>IF(ISBLANK(Data[[#This Row],[Customer Rating]]),"No Rating",IF(Data[[#This Row],[Customer Rating]]&gt;=9,"Promoter",IF(Data[[#This Row],[Customer Rating]]&gt;=7,"Passive","Detractor")))</f>
        <v>Detractor</v>
      </c>
    </row>
    <row r="54" spans="1:17" ht="14.25" customHeight="1" x14ac:dyDescent="0.3">
      <c r="A54" s="1" t="s">
        <v>79</v>
      </c>
      <c r="B54" s="1" t="s">
        <v>15</v>
      </c>
      <c r="C54" s="1" t="s">
        <v>30</v>
      </c>
      <c r="D54" s="1" t="str">
        <f>IF(Data[[#This Row],[Cancellation Status]]="No", "High Potential", "Normal")</f>
        <v>High Potential</v>
      </c>
      <c r="E54" s="2">
        <v>45941</v>
      </c>
      <c r="F54" s="2">
        <v>45944</v>
      </c>
      <c r="G54" s="2">
        <v>45949</v>
      </c>
      <c r="H54" s="2">
        <v>45953</v>
      </c>
      <c r="I54" s="1" t="s">
        <v>17</v>
      </c>
      <c r="K54" s="2">
        <v>45976</v>
      </c>
      <c r="L54" s="88">
        <f>IF(OR(Data[[#This Row],[Service Follow-up Date]]="",Data[[#This Row],[Delivery Date]]=""),"",INT(Data[[#This Row],[Service Follow-up Date]]-Data[[#This Row],[Delivery Date]]))</f>
        <v>23</v>
      </c>
      <c r="M54" s="1">
        <v>3</v>
      </c>
      <c r="N54" s="1">
        <v>5</v>
      </c>
      <c r="O54" s="1">
        <v>4</v>
      </c>
      <c r="P54" s="1">
        <v>4</v>
      </c>
      <c r="Q54" t="str">
        <f>IF(ISBLANK(Data[[#This Row],[Customer Rating]]),"No Rating",IF(Data[[#This Row],[Customer Rating]]&gt;=9,"Promoter",IF(Data[[#This Row],[Customer Rating]]&gt;=7,"Passive","Detractor")))</f>
        <v>Detractor</v>
      </c>
    </row>
    <row r="55" spans="1:17" ht="14.25" customHeight="1" x14ac:dyDescent="0.3">
      <c r="A55" s="1" t="s">
        <v>80</v>
      </c>
      <c r="B55" s="1" t="s">
        <v>19</v>
      </c>
      <c r="C55" s="1" t="s">
        <v>16</v>
      </c>
      <c r="D55" s="1" t="str">
        <f>IF(Data[[#This Row],[Cancellation Status]]="No", "High Potential", "Normal")</f>
        <v>High Potential</v>
      </c>
      <c r="E55" s="2">
        <v>45931</v>
      </c>
      <c r="F55" s="2">
        <v>45936</v>
      </c>
      <c r="G55" s="2">
        <v>45938</v>
      </c>
      <c r="H55" s="2">
        <v>45942</v>
      </c>
      <c r="I55" s="1" t="s">
        <v>17</v>
      </c>
      <c r="K55" s="2">
        <v>45972</v>
      </c>
      <c r="L55" s="88">
        <f>IF(OR(Data[[#This Row],[Service Follow-up Date]]="",Data[[#This Row],[Delivery Date]]=""),"",INT(Data[[#This Row],[Service Follow-up Date]]-Data[[#This Row],[Delivery Date]]))</f>
        <v>30</v>
      </c>
      <c r="M55" s="1">
        <v>5</v>
      </c>
      <c r="N55" s="1">
        <v>2</v>
      </c>
      <c r="O55" s="1">
        <v>4</v>
      </c>
      <c r="P55" s="1">
        <v>4</v>
      </c>
      <c r="Q55" t="str">
        <f>IF(ISBLANK(Data[[#This Row],[Customer Rating]]),"No Rating",IF(Data[[#This Row],[Customer Rating]]&gt;=9,"Promoter",IF(Data[[#This Row],[Customer Rating]]&gt;=7,"Passive","Detractor")))</f>
        <v>Detractor</v>
      </c>
    </row>
    <row r="56" spans="1:17" ht="14.25" customHeight="1" x14ac:dyDescent="0.3">
      <c r="A56" s="1" t="s">
        <v>81</v>
      </c>
      <c r="B56" s="1" t="s">
        <v>21</v>
      </c>
      <c r="C56" s="1" t="s">
        <v>16</v>
      </c>
      <c r="D56" s="1" t="str">
        <f>IF(Data[[#This Row],[Cancellation Status]]="No", "High Potential", "Normal")</f>
        <v>High Potential</v>
      </c>
      <c r="E56" s="2">
        <v>45946</v>
      </c>
      <c r="F56" s="2">
        <v>45949</v>
      </c>
      <c r="G56" s="2">
        <v>45954</v>
      </c>
      <c r="H56" s="2">
        <v>45959</v>
      </c>
      <c r="I56" s="1" t="s">
        <v>17</v>
      </c>
      <c r="K56" s="2">
        <v>45984</v>
      </c>
      <c r="L56" s="88">
        <f>IF(OR(Data[[#This Row],[Service Follow-up Date]]="",Data[[#This Row],[Delivery Date]]=""),"",INT(Data[[#This Row],[Service Follow-up Date]]-Data[[#This Row],[Delivery Date]]))</f>
        <v>25</v>
      </c>
      <c r="M56" s="1">
        <v>3</v>
      </c>
      <c r="N56" s="1">
        <v>5</v>
      </c>
      <c r="O56" s="1">
        <v>5</v>
      </c>
      <c r="P56" s="1">
        <v>8</v>
      </c>
      <c r="Q56" t="str">
        <f>IF(ISBLANK(Data[[#This Row],[Customer Rating]]),"No Rating",IF(Data[[#This Row],[Customer Rating]]&gt;=9,"Promoter",IF(Data[[#This Row],[Customer Rating]]&gt;=7,"Passive","Detractor")))</f>
        <v>Passive</v>
      </c>
    </row>
    <row r="57" spans="1:17" ht="14.25" customHeight="1" x14ac:dyDescent="0.3">
      <c r="A57" s="1" t="s">
        <v>82</v>
      </c>
      <c r="B57" s="1" t="s">
        <v>15</v>
      </c>
      <c r="C57" s="1" t="s">
        <v>30</v>
      </c>
      <c r="D57" s="1" t="str">
        <f>IF(Data[[#This Row],[Cancellation Status]]="No", "High Potential", "Normal")</f>
        <v>High Potential</v>
      </c>
      <c r="E57" s="2">
        <v>45958</v>
      </c>
      <c r="F57" s="2">
        <v>45959</v>
      </c>
      <c r="G57" s="2">
        <v>45962</v>
      </c>
      <c r="H57" s="2">
        <v>45968</v>
      </c>
      <c r="I57" s="1" t="s">
        <v>17</v>
      </c>
      <c r="K57" s="2">
        <v>45998</v>
      </c>
      <c r="L57" s="88">
        <f>IF(OR(Data[[#This Row],[Service Follow-up Date]]="",Data[[#This Row],[Delivery Date]]=""),"",INT(Data[[#This Row],[Service Follow-up Date]]-Data[[#This Row],[Delivery Date]]))</f>
        <v>30</v>
      </c>
      <c r="M57" s="1">
        <v>1</v>
      </c>
      <c r="N57" s="1">
        <v>3</v>
      </c>
      <c r="O57" s="1">
        <v>6</v>
      </c>
      <c r="P57" s="1">
        <v>3</v>
      </c>
      <c r="Q57" t="str">
        <f>IF(ISBLANK(Data[[#This Row],[Customer Rating]]),"No Rating",IF(Data[[#This Row],[Customer Rating]]&gt;=9,"Promoter",IF(Data[[#This Row],[Customer Rating]]&gt;=7,"Passive","Detractor")))</f>
        <v>Detractor</v>
      </c>
    </row>
    <row r="58" spans="1:17" ht="14.25" customHeight="1" x14ac:dyDescent="0.3">
      <c r="A58" s="1" t="s">
        <v>83</v>
      </c>
      <c r="B58" s="1" t="s">
        <v>21</v>
      </c>
      <c r="C58" s="1" t="s">
        <v>16</v>
      </c>
      <c r="D58" s="1" t="str">
        <f>IF(Data[[#This Row],[Cancellation Status]]="No", "High Potential", "Normal")</f>
        <v>High Potential</v>
      </c>
      <c r="E58" s="2">
        <v>45941</v>
      </c>
      <c r="F58" s="2">
        <v>45944</v>
      </c>
      <c r="G58" s="2">
        <v>45948</v>
      </c>
      <c r="H58" s="2">
        <v>45951</v>
      </c>
      <c r="I58" s="1" t="s">
        <v>17</v>
      </c>
      <c r="K58" s="2">
        <v>45971</v>
      </c>
      <c r="L58" s="88">
        <f>IF(OR(Data[[#This Row],[Service Follow-up Date]]="",Data[[#This Row],[Delivery Date]]=""),"",INT(Data[[#This Row],[Service Follow-up Date]]-Data[[#This Row],[Delivery Date]]))</f>
        <v>20</v>
      </c>
      <c r="M58" s="1">
        <v>3</v>
      </c>
      <c r="N58" s="1">
        <v>4</v>
      </c>
      <c r="O58" s="1">
        <v>3</v>
      </c>
      <c r="P58" s="1">
        <v>6</v>
      </c>
      <c r="Q58" t="str">
        <f>IF(ISBLANK(Data[[#This Row],[Customer Rating]]),"No Rating",IF(Data[[#This Row],[Customer Rating]]&gt;=9,"Promoter",IF(Data[[#This Row],[Customer Rating]]&gt;=7,"Passive","Detractor")))</f>
        <v>Detractor</v>
      </c>
    </row>
    <row r="59" spans="1:17" ht="14.25" customHeight="1" x14ac:dyDescent="0.3">
      <c r="A59" s="1" t="s">
        <v>84</v>
      </c>
      <c r="B59" s="1" t="s">
        <v>15</v>
      </c>
      <c r="C59" s="1" t="s">
        <v>30</v>
      </c>
      <c r="D59" s="1" t="str">
        <f>IF(Data[[#This Row],[Cancellation Status]]="No", "High Potential", "Normal")</f>
        <v>High Potential</v>
      </c>
      <c r="E59" s="2">
        <v>45936</v>
      </c>
      <c r="F59" s="2">
        <v>45941</v>
      </c>
      <c r="G59" s="2">
        <v>45946</v>
      </c>
      <c r="H59" s="2">
        <v>45953</v>
      </c>
      <c r="I59" s="1" t="s">
        <v>17</v>
      </c>
      <c r="K59" s="2">
        <v>45968</v>
      </c>
      <c r="L59" s="88">
        <f>IF(OR(Data[[#This Row],[Service Follow-up Date]]="",Data[[#This Row],[Delivery Date]]=""),"",INT(Data[[#This Row],[Service Follow-up Date]]-Data[[#This Row],[Delivery Date]]))</f>
        <v>15</v>
      </c>
      <c r="M59" s="1">
        <v>5</v>
      </c>
      <c r="N59" s="1">
        <v>5</v>
      </c>
      <c r="O59" s="1">
        <v>7</v>
      </c>
      <c r="P59" s="1">
        <v>1</v>
      </c>
      <c r="Q59" t="str">
        <f>IF(ISBLANK(Data[[#This Row],[Customer Rating]]),"No Rating",IF(Data[[#This Row],[Customer Rating]]&gt;=9,"Promoter",IF(Data[[#This Row],[Customer Rating]]&gt;=7,"Passive","Detractor")))</f>
        <v>Detractor</v>
      </c>
    </row>
    <row r="60" spans="1:17" ht="14.25" customHeight="1" x14ac:dyDescent="0.3">
      <c r="A60" s="1" t="s">
        <v>85</v>
      </c>
      <c r="B60" s="1" t="s">
        <v>15</v>
      </c>
      <c r="C60" s="1" t="s">
        <v>16</v>
      </c>
      <c r="D60" s="1" t="str">
        <f>IF(Data[[#This Row],[Cancellation Status]]="No", "High Potential", "Normal")</f>
        <v>Normal</v>
      </c>
      <c r="E60" s="2">
        <v>45946</v>
      </c>
      <c r="F60" s="2">
        <v>45948</v>
      </c>
      <c r="G60" s="2">
        <v>45952</v>
      </c>
      <c r="H60" s="2">
        <v>45959</v>
      </c>
      <c r="I60" s="1" t="s">
        <v>23</v>
      </c>
      <c r="J60" s="1" t="s">
        <v>63</v>
      </c>
      <c r="L60" s="88" t="str">
        <f>IF(OR(Data[[#This Row],[Service Follow-up Date]]="",Data[[#This Row],[Delivery Date]]=""),"",INT(Data[[#This Row],[Service Follow-up Date]]-Data[[#This Row],[Delivery Date]]))</f>
        <v/>
      </c>
      <c r="M60" s="1">
        <v>2</v>
      </c>
      <c r="N60" s="1">
        <v>4</v>
      </c>
      <c r="O60" s="1">
        <v>7</v>
      </c>
      <c r="Q60" t="str">
        <f>IF(ISBLANK(Data[[#This Row],[Customer Rating]]),"No Rating",IF(Data[[#This Row],[Customer Rating]]&gt;=9,"Promoter",IF(Data[[#This Row],[Customer Rating]]&gt;=7,"Passive","Detractor")))</f>
        <v>No Rating</v>
      </c>
    </row>
    <row r="61" spans="1:17" ht="14.25" customHeight="1" x14ac:dyDescent="0.3">
      <c r="A61" s="1" t="s">
        <v>86</v>
      </c>
      <c r="B61" s="1" t="s">
        <v>15</v>
      </c>
      <c r="C61" s="1" t="s">
        <v>16</v>
      </c>
      <c r="D61" s="1" t="str">
        <f>IF(Data[[#This Row],[Cancellation Status]]="No", "High Potential", "Normal")</f>
        <v>High Potential</v>
      </c>
      <c r="E61" s="2">
        <v>45937</v>
      </c>
      <c r="F61" s="2">
        <v>45941</v>
      </c>
      <c r="G61" s="2">
        <v>45944</v>
      </c>
      <c r="H61" s="2">
        <v>45948</v>
      </c>
      <c r="I61" s="1" t="s">
        <v>17</v>
      </c>
      <c r="K61" s="2">
        <v>45975</v>
      </c>
      <c r="L61" s="88">
        <f>IF(OR(Data[[#This Row],[Service Follow-up Date]]="",Data[[#This Row],[Delivery Date]]=""),"",INT(Data[[#This Row],[Service Follow-up Date]]-Data[[#This Row],[Delivery Date]]))</f>
        <v>27</v>
      </c>
      <c r="M61" s="1">
        <v>4</v>
      </c>
      <c r="N61" s="1">
        <v>3</v>
      </c>
      <c r="O61" s="1">
        <v>4</v>
      </c>
      <c r="P61" s="1">
        <v>2</v>
      </c>
      <c r="Q61" t="str">
        <f>IF(ISBLANK(Data[[#This Row],[Customer Rating]]),"No Rating",IF(Data[[#This Row],[Customer Rating]]&gt;=9,"Promoter",IF(Data[[#This Row],[Customer Rating]]&gt;=7,"Passive","Detractor")))</f>
        <v>Detractor</v>
      </c>
    </row>
    <row r="62" spans="1:17" ht="14.25" customHeight="1" x14ac:dyDescent="0.3">
      <c r="A62" s="1" t="s">
        <v>87</v>
      </c>
      <c r="B62" s="1" t="s">
        <v>19</v>
      </c>
      <c r="C62" s="1" t="s">
        <v>16</v>
      </c>
      <c r="D62" s="1" t="str">
        <f>IF(Data[[#This Row],[Cancellation Status]]="No", "High Potential", "Normal")</f>
        <v>High Potential</v>
      </c>
      <c r="E62" s="2">
        <v>45942</v>
      </c>
      <c r="F62" s="2">
        <v>45947</v>
      </c>
      <c r="G62" s="2">
        <v>45949</v>
      </c>
      <c r="H62" s="2">
        <v>45955</v>
      </c>
      <c r="I62" s="1" t="s">
        <v>17</v>
      </c>
      <c r="K62" s="2">
        <v>45984</v>
      </c>
      <c r="L62" s="88">
        <f>IF(OR(Data[[#This Row],[Service Follow-up Date]]="",Data[[#This Row],[Delivery Date]]=""),"",INT(Data[[#This Row],[Service Follow-up Date]]-Data[[#This Row],[Delivery Date]]))</f>
        <v>29</v>
      </c>
      <c r="M62" s="1">
        <v>5</v>
      </c>
      <c r="N62" s="1">
        <v>2</v>
      </c>
      <c r="O62" s="1">
        <v>6</v>
      </c>
      <c r="P62" s="1">
        <v>7</v>
      </c>
      <c r="Q62" t="str">
        <f>IF(ISBLANK(Data[[#This Row],[Customer Rating]]),"No Rating",IF(Data[[#This Row],[Customer Rating]]&gt;=9,"Promoter",IF(Data[[#This Row],[Customer Rating]]&gt;=7,"Passive","Detractor")))</f>
        <v>Passive</v>
      </c>
    </row>
    <row r="63" spans="1:17" ht="14.25" customHeight="1" x14ac:dyDescent="0.3">
      <c r="A63" s="1" t="s">
        <v>88</v>
      </c>
      <c r="B63" s="1" t="s">
        <v>19</v>
      </c>
      <c r="C63" s="1" t="s">
        <v>30</v>
      </c>
      <c r="D63" s="1" t="str">
        <f>IF(Data[[#This Row],[Cancellation Status]]="No", "High Potential", "Normal")</f>
        <v>High Potential</v>
      </c>
      <c r="E63" s="2">
        <v>45956</v>
      </c>
      <c r="F63" s="2">
        <v>45961</v>
      </c>
      <c r="G63" s="2">
        <v>45965</v>
      </c>
      <c r="H63" s="2">
        <v>45971</v>
      </c>
      <c r="I63" s="1" t="s">
        <v>17</v>
      </c>
      <c r="K63" s="2">
        <v>45992</v>
      </c>
      <c r="L63" s="88">
        <f>IF(OR(Data[[#This Row],[Service Follow-up Date]]="",Data[[#This Row],[Delivery Date]]=""),"",INT(Data[[#This Row],[Service Follow-up Date]]-Data[[#This Row],[Delivery Date]]))</f>
        <v>21</v>
      </c>
      <c r="M63" s="1">
        <v>5</v>
      </c>
      <c r="N63" s="1">
        <v>4</v>
      </c>
      <c r="O63" s="1">
        <v>6</v>
      </c>
      <c r="P63" s="1">
        <v>9</v>
      </c>
      <c r="Q63" t="str">
        <f>IF(ISBLANK(Data[[#This Row],[Customer Rating]]),"No Rating",IF(Data[[#This Row],[Customer Rating]]&gt;=9,"Promoter",IF(Data[[#This Row],[Customer Rating]]&gt;=7,"Passive","Detractor")))</f>
        <v>Promoter</v>
      </c>
    </row>
    <row r="64" spans="1:17" ht="14.25" customHeight="1" x14ac:dyDescent="0.3">
      <c r="A64" s="1" t="s">
        <v>89</v>
      </c>
      <c r="B64" s="1" t="s">
        <v>21</v>
      </c>
      <c r="C64" s="1" t="s">
        <v>16</v>
      </c>
      <c r="D64" s="1" t="str">
        <f>IF(Data[[#This Row],[Cancellation Status]]="No", "High Potential", "Normal")</f>
        <v>High Potential</v>
      </c>
      <c r="E64" s="2">
        <v>45939</v>
      </c>
      <c r="F64" s="2">
        <v>45944</v>
      </c>
      <c r="G64" s="2">
        <v>45949</v>
      </c>
      <c r="H64" s="2">
        <v>45951</v>
      </c>
      <c r="I64" s="1" t="s">
        <v>17</v>
      </c>
      <c r="K64" s="2">
        <v>45968</v>
      </c>
      <c r="L64" s="88">
        <f>IF(OR(Data[[#This Row],[Service Follow-up Date]]="",Data[[#This Row],[Delivery Date]]=""),"",INT(Data[[#This Row],[Service Follow-up Date]]-Data[[#This Row],[Delivery Date]]))</f>
        <v>17</v>
      </c>
      <c r="M64" s="1">
        <v>5</v>
      </c>
      <c r="N64" s="1">
        <v>5</v>
      </c>
      <c r="O64" s="1">
        <v>2</v>
      </c>
      <c r="P64" s="1">
        <v>3</v>
      </c>
      <c r="Q64" t="str">
        <f>IF(ISBLANK(Data[[#This Row],[Customer Rating]]),"No Rating",IF(Data[[#This Row],[Customer Rating]]&gt;=9,"Promoter",IF(Data[[#This Row],[Customer Rating]]&gt;=7,"Passive","Detractor")))</f>
        <v>Detractor</v>
      </c>
    </row>
    <row r="65" spans="1:17" ht="14.25" customHeight="1" x14ac:dyDescent="0.3">
      <c r="A65" s="1" t="s">
        <v>90</v>
      </c>
      <c r="B65" s="1" t="s">
        <v>15</v>
      </c>
      <c r="C65" s="1" t="s">
        <v>30</v>
      </c>
      <c r="D65" s="1" t="str">
        <f>IF(Data[[#This Row],[Cancellation Status]]="No", "High Potential", "Normal")</f>
        <v>High Potential</v>
      </c>
      <c r="E65" s="2">
        <v>45941</v>
      </c>
      <c r="F65" s="2">
        <v>45946</v>
      </c>
      <c r="G65" s="2">
        <v>45949</v>
      </c>
      <c r="H65" s="2">
        <v>45956</v>
      </c>
      <c r="I65" s="1" t="s">
        <v>17</v>
      </c>
      <c r="K65" s="2">
        <v>45984</v>
      </c>
      <c r="L65" s="88">
        <f>IF(OR(Data[[#This Row],[Service Follow-up Date]]="",Data[[#This Row],[Delivery Date]]=""),"",INT(Data[[#This Row],[Service Follow-up Date]]-Data[[#This Row],[Delivery Date]]))</f>
        <v>28</v>
      </c>
      <c r="M65" s="1">
        <v>5</v>
      </c>
      <c r="N65" s="1">
        <v>3</v>
      </c>
      <c r="O65" s="1">
        <v>7</v>
      </c>
      <c r="P65" s="1">
        <v>3</v>
      </c>
      <c r="Q65" t="str">
        <f>IF(ISBLANK(Data[[#This Row],[Customer Rating]]),"No Rating",IF(Data[[#This Row],[Customer Rating]]&gt;=9,"Promoter",IF(Data[[#This Row],[Customer Rating]]&gt;=7,"Passive","Detractor")))</f>
        <v>Detractor</v>
      </c>
    </row>
    <row r="66" spans="1:17" ht="14.25" customHeight="1" x14ac:dyDescent="0.3">
      <c r="A66" s="1" t="s">
        <v>91</v>
      </c>
      <c r="B66" s="1" t="s">
        <v>15</v>
      </c>
      <c r="C66" s="1" t="s">
        <v>22</v>
      </c>
      <c r="D66" s="1" t="str">
        <f>IF(Data[[#This Row],[Cancellation Status]]="No", "High Potential", "Normal")</f>
        <v>Normal</v>
      </c>
      <c r="E66" s="2">
        <v>45939</v>
      </c>
      <c r="I66" s="1" t="s">
        <v>23</v>
      </c>
      <c r="J66" s="1" t="s">
        <v>24</v>
      </c>
      <c r="L66" s="88" t="str">
        <f>IF(OR(Data[[#This Row],[Service Follow-up Date]]="",Data[[#This Row],[Delivery Date]]=""),"",INT(Data[[#This Row],[Service Follow-up Date]]-Data[[#This Row],[Delivery Date]]))</f>
        <v/>
      </c>
      <c r="Q66" t="str">
        <f>IF(ISBLANK(Data[[#This Row],[Customer Rating]]),"No Rating",IF(Data[[#This Row],[Customer Rating]]&gt;=9,"Promoter",IF(Data[[#This Row],[Customer Rating]]&gt;=7,"Passive","Detractor")))</f>
        <v>No Rating</v>
      </c>
    </row>
    <row r="67" spans="1:17" ht="14.25" customHeight="1" x14ac:dyDescent="0.3">
      <c r="A67" s="1" t="s">
        <v>92</v>
      </c>
      <c r="B67" s="1" t="s">
        <v>19</v>
      </c>
      <c r="C67" s="1" t="s">
        <v>16</v>
      </c>
      <c r="D67" s="1" t="str">
        <f>IF(Data[[#This Row],[Cancellation Status]]="No", "High Potential", "Normal")</f>
        <v>High Potential</v>
      </c>
      <c r="E67" s="2">
        <v>45959</v>
      </c>
      <c r="F67" s="2">
        <v>45960</v>
      </c>
      <c r="G67" s="2">
        <v>45965</v>
      </c>
      <c r="H67" s="2">
        <v>45968</v>
      </c>
      <c r="I67" s="1" t="s">
        <v>17</v>
      </c>
      <c r="K67" s="2">
        <v>45983</v>
      </c>
      <c r="L67" s="88">
        <f>IF(OR(Data[[#This Row],[Service Follow-up Date]]="",Data[[#This Row],[Delivery Date]]=""),"",INT(Data[[#This Row],[Service Follow-up Date]]-Data[[#This Row],[Delivery Date]]))</f>
        <v>15</v>
      </c>
      <c r="M67" s="1">
        <v>1</v>
      </c>
      <c r="N67" s="1">
        <v>5</v>
      </c>
      <c r="O67" s="1">
        <v>3</v>
      </c>
      <c r="P67" s="1">
        <v>10</v>
      </c>
      <c r="Q67" t="str">
        <f>IF(ISBLANK(Data[[#This Row],[Customer Rating]]),"No Rating",IF(Data[[#This Row],[Customer Rating]]&gt;=9,"Promoter",IF(Data[[#This Row],[Customer Rating]]&gt;=7,"Passive","Detractor")))</f>
        <v>Promoter</v>
      </c>
    </row>
    <row r="68" spans="1:17" ht="14.25" customHeight="1" x14ac:dyDescent="0.3">
      <c r="A68" s="1" t="s">
        <v>93</v>
      </c>
      <c r="B68" s="1" t="s">
        <v>15</v>
      </c>
      <c r="C68" s="1" t="s">
        <v>16</v>
      </c>
      <c r="D68" s="1" t="str">
        <f>IF(Data[[#This Row],[Cancellation Status]]="No", "High Potential", "Normal")</f>
        <v>High Potential</v>
      </c>
      <c r="E68" s="2">
        <v>45950</v>
      </c>
      <c r="F68" s="2">
        <v>45955</v>
      </c>
      <c r="G68" s="2">
        <v>45958</v>
      </c>
      <c r="H68" s="2">
        <v>45962</v>
      </c>
      <c r="I68" s="1" t="s">
        <v>17</v>
      </c>
      <c r="K68" s="2">
        <v>45984</v>
      </c>
      <c r="L68" s="88">
        <f>IF(OR(Data[[#This Row],[Service Follow-up Date]]="",Data[[#This Row],[Delivery Date]]=""),"",INT(Data[[#This Row],[Service Follow-up Date]]-Data[[#This Row],[Delivery Date]]))</f>
        <v>22</v>
      </c>
      <c r="M68" s="1">
        <v>5</v>
      </c>
      <c r="N68" s="1">
        <v>3</v>
      </c>
      <c r="O68" s="1">
        <v>4</v>
      </c>
      <c r="P68" s="1">
        <v>4</v>
      </c>
      <c r="Q68" t="str">
        <f>IF(ISBLANK(Data[[#This Row],[Customer Rating]]),"No Rating",IF(Data[[#This Row],[Customer Rating]]&gt;=9,"Promoter",IF(Data[[#This Row],[Customer Rating]]&gt;=7,"Passive","Detractor")))</f>
        <v>Detractor</v>
      </c>
    </row>
    <row r="69" spans="1:17" ht="14.25" customHeight="1" x14ac:dyDescent="0.3">
      <c r="A69" s="1" t="s">
        <v>94</v>
      </c>
      <c r="B69" s="1" t="s">
        <v>19</v>
      </c>
      <c r="C69" s="1" t="s">
        <v>30</v>
      </c>
      <c r="D69" s="1" t="str">
        <f>IF(Data[[#This Row],[Cancellation Status]]="No", "High Potential", "Normal")</f>
        <v>High Potential</v>
      </c>
      <c r="E69" s="2">
        <v>45953</v>
      </c>
      <c r="F69" s="2">
        <v>45956</v>
      </c>
      <c r="G69" s="2">
        <v>45959</v>
      </c>
      <c r="H69" s="2">
        <v>45961</v>
      </c>
      <c r="I69" s="1" t="s">
        <v>17</v>
      </c>
      <c r="K69" s="2">
        <v>45980</v>
      </c>
      <c r="L69" s="88">
        <f>IF(OR(Data[[#This Row],[Service Follow-up Date]]="",Data[[#This Row],[Delivery Date]]=""),"",INT(Data[[#This Row],[Service Follow-up Date]]-Data[[#This Row],[Delivery Date]]))</f>
        <v>19</v>
      </c>
      <c r="M69" s="1">
        <v>3</v>
      </c>
      <c r="N69" s="1">
        <v>3</v>
      </c>
      <c r="O69" s="1">
        <v>2</v>
      </c>
      <c r="P69" s="1">
        <v>5</v>
      </c>
      <c r="Q69" t="str">
        <f>IF(ISBLANK(Data[[#This Row],[Customer Rating]]),"No Rating",IF(Data[[#This Row],[Customer Rating]]&gt;=9,"Promoter",IF(Data[[#This Row],[Customer Rating]]&gt;=7,"Passive","Detractor")))</f>
        <v>Detractor</v>
      </c>
    </row>
    <row r="70" spans="1:17" ht="14.25" customHeight="1" x14ac:dyDescent="0.3">
      <c r="A70" s="1" t="s">
        <v>95</v>
      </c>
      <c r="B70" s="1" t="s">
        <v>15</v>
      </c>
      <c r="C70" s="1" t="s">
        <v>22</v>
      </c>
      <c r="D70" s="1" t="str">
        <f>IF(Data[[#This Row],[Cancellation Status]]="No", "High Potential", "Normal")</f>
        <v>Normal</v>
      </c>
      <c r="E70" s="2">
        <v>45959</v>
      </c>
      <c r="I70" s="1" t="s">
        <v>23</v>
      </c>
      <c r="J70" s="1" t="s">
        <v>63</v>
      </c>
      <c r="L70" s="88" t="str">
        <f>IF(OR(Data[[#This Row],[Service Follow-up Date]]="",Data[[#This Row],[Delivery Date]]=""),"",INT(Data[[#This Row],[Service Follow-up Date]]-Data[[#This Row],[Delivery Date]]))</f>
        <v/>
      </c>
      <c r="Q70" t="str">
        <f>IF(ISBLANK(Data[[#This Row],[Customer Rating]]),"No Rating",IF(Data[[#This Row],[Customer Rating]]&gt;=9,"Promoter",IF(Data[[#This Row],[Customer Rating]]&gt;=7,"Passive","Detractor")))</f>
        <v>No Rating</v>
      </c>
    </row>
    <row r="71" spans="1:17" ht="14.25" customHeight="1" x14ac:dyDescent="0.3">
      <c r="A71" s="1" t="s">
        <v>96</v>
      </c>
      <c r="B71" s="1" t="s">
        <v>21</v>
      </c>
      <c r="C71" s="1" t="s">
        <v>30</v>
      </c>
      <c r="D71" s="1" t="str">
        <f>IF(Data[[#This Row],[Cancellation Status]]="No", "High Potential", "Normal")</f>
        <v>High Potential</v>
      </c>
      <c r="E71" s="2">
        <v>45939</v>
      </c>
      <c r="F71" s="2">
        <v>45940</v>
      </c>
      <c r="G71" s="2">
        <v>45945</v>
      </c>
      <c r="H71" s="2">
        <v>45948</v>
      </c>
      <c r="I71" s="1" t="s">
        <v>17</v>
      </c>
      <c r="K71" s="2">
        <v>45967</v>
      </c>
      <c r="L71" s="88">
        <f>IF(OR(Data[[#This Row],[Service Follow-up Date]]="",Data[[#This Row],[Delivery Date]]=""),"",INT(Data[[#This Row],[Service Follow-up Date]]-Data[[#This Row],[Delivery Date]]))</f>
        <v>19</v>
      </c>
      <c r="M71" s="1">
        <v>1</v>
      </c>
      <c r="N71" s="1">
        <v>5</v>
      </c>
      <c r="O71" s="1">
        <v>3</v>
      </c>
      <c r="P71" s="1">
        <v>1</v>
      </c>
      <c r="Q71" t="str">
        <f>IF(ISBLANK(Data[[#This Row],[Customer Rating]]),"No Rating",IF(Data[[#This Row],[Customer Rating]]&gt;=9,"Promoter",IF(Data[[#This Row],[Customer Rating]]&gt;=7,"Passive","Detractor")))</f>
        <v>Detractor</v>
      </c>
    </row>
    <row r="72" spans="1:17" ht="14.25" customHeight="1" x14ac:dyDescent="0.3">
      <c r="A72" s="1" t="s">
        <v>97</v>
      </c>
      <c r="B72" s="1" t="s">
        <v>15</v>
      </c>
      <c r="C72" s="1" t="s">
        <v>30</v>
      </c>
      <c r="D72" s="1" t="str">
        <f>IF(Data[[#This Row],[Cancellation Status]]="No", "High Potential", "Normal")</f>
        <v>High Potential</v>
      </c>
      <c r="E72" s="2">
        <v>45948</v>
      </c>
      <c r="F72" s="2">
        <v>45950</v>
      </c>
      <c r="G72" s="2">
        <v>45954</v>
      </c>
      <c r="H72" s="2">
        <v>45958</v>
      </c>
      <c r="I72" s="1" t="s">
        <v>17</v>
      </c>
      <c r="K72" s="2">
        <v>45972</v>
      </c>
      <c r="L72" s="88">
        <f>IF(OR(Data[[#This Row],[Service Follow-up Date]]="",Data[[#This Row],[Delivery Date]]=""),"",INT(Data[[#This Row],[Service Follow-up Date]]-Data[[#This Row],[Delivery Date]]))</f>
        <v>14</v>
      </c>
      <c r="M72" s="1">
        <v>2</v>
      </c>
      <c r="N72" s="1">
        <v>4</v>
      </c>
      <c r="O72" s="1">
        <v>4</v>
      </c>
      <c r="P72" s="1">
        <v>10</v>
      </c>
      <c r="Q72" t="str">
        <f>IF(ISBLANK(Data[[#This Row],[Customer Rating]]),"No Rating",IF(Data[[#This Row],[Customer Rating]]&gt;=9,"Promoter",IF(Data[[#This Row],[Customer Rating]]&gt;=7,"Passive","Detractor")))</f>
        <v>Promoter</v>
      </c>
    </row>
    <row r="73" spans="1:17" ht="14.25" customHeight="1" x14ac:dyDescent="0.3">
      <c r="A73" s="1" t="s">
        <v>98</v>
      </c>
      <c r="B73" s="1" t="s">
        <v>15</v>
      </c>
      <c r="C73" s="1" t="s">
        <v>16</v>
      </c>
      <c r="D73" s="1" t="str">
        <f>IF(Data[[#This Row],[Cancellation Status]]="No", "High Potential", "Normal")</f>
        <v>High Potential</v>
      </c>
      <c r="E73" s="2">
        <v>45931</v>
      </c>
      <c r="F73" s="2">
        <v>45934</v>
      </c>
      <c r="G73" s="2">
        <v>45936</v>
      </c>
      <c r="H73" s="2">
        <v>45938</v>
      </c>
      <c r="I73" s="1" t="s">
        <v>17</v>
      </c>
      <c r="K73" s="2">
        <v>45953</v>
      </c>
      <c r="L73" s="88">
        <f>IF(OR(Data[[#This Row],[Service Follow-up Date]]="",Data[[#This Row],[Delivery Date]]=""),"",INT(Data[[#This Row],[Service Follow-up Date]]-Data[[#This Row],[Delivery Date]]))</f>
        <v>15</v>
      </c>
      <c r="M73" s="1">
        <v>3</v>
      </c>
      <c r="N73" s="1">
        <v>2</v>
      </c>
      <c r="O73" s="1">
        <v>2</v>
      </c>
      <c r="P73" s="1">
        <v>7</v>
      </c>
      <c r="Q73" t="str">
        <f>IF(ISBLANK(Data[[#This Row],[Customer Rating]]),"No Rating",IF(Data[[#This Row],[Customer Rating]]&gt;=9,"Promoter",IF(Data[[#This Row],[Customer Rating]]&gt;=7,"Passive","Detractor")))</f>
        <v>Passive</v>
      </c>
    </row>
    <row r="74" spans="1:17" ht="14.25" customHeight="1" x14ac:dyDescent="0.3">
      <c r="A74" s="1" t="s">
        <v>99</v>
      </c>
      <c r="B74" s="1" t="s">
        <v>32</v>
      </c>
      <c r="C74" s="1" t="s">
        <v>30</v>
      </c>
      <c r="D74" s="1" t="str">
        <f>IF(Data[[#This Row],[Cancellation Status]]="No", "High Potential", "Normal")</f>
        <v>High Potential</v>
      </c>
      <c r="E74" s="2">
        <v>45947</v>
      </c>
      <c r="F74" s="2">
        <v>45950</v>
      </c>
      <c r="G74" s="2">
        <v>45952</v>
      </c>
      <c r="H74" s="2">
        <v>45955</v>
      </c>
      <c r="I74" s="1" t="s">
        <v>17</v>
      </c>
      <c r="K74" s="2">
        <v>45965</v>
      </c>
      <c r="L74" s="88">
        <f>IF(OR(Data[[#This Row],[Service Follow-up Date]]="",Data[[#This Row],[Delivery Date]]=""),"",INT(Data[[#This Row],[Service Follow-up Date]]-Data[[#This Row],[Delivery Date]]))</f>
        <v>10</v>
      </c>
      <c r="M74" s="1">
        <v>3</v>
      </c>
      <c r="N74" s="1">
        <v>2</v>
      </c>
      <c r="O74" s="1">
        <v>3</v>
      </c>
      <c r="P74" s="1">
        <v>6</v>
      </c>
      <c r="Q74" t="str">
        <f>IF(ISBLANK(Data[[#This Row],[Customer Rating]]),"No Rating",IF(Data[[#This Row],[Customer Rating]]&gt;=9,"Promoter",IF(Data[[#This Row],[Customer Rating]]&gt;=7,"Passive","Detractor")))</f>
        <v>Detractor</v>
      </c>
    </row>
    <row r="75" spans="1:17" ht="14.25" customHeight="1" x14ac:dyDescent="0.3">
      <c r="A75" s="1" t="s">
        <v>100</v>
      </c>
      <c r="B75" s="1" t="s">
        <v>19</v>
      </c>
      <c r="C75" s="1" t="s">
        <v>22</v>
      </c>
      <c r="D75" s="1" t="str">
        <f>IF(Data[[#This Row],[Cancellation Status]]="No", "High Potential", "Normal")</f>
        <v>Normal</v>
      </c>
      <c r="E75" s="2">
        <v>45961</v>
      </c>
      <c r="I75" s="1" t="s">
        <v>23</v>
      </c>
      <c r="J75" s="1" t="s">
        <v>101</v>
      </c>
      <c r="L75" s="88" t="str">
        <f>IF(OR(Data[[#This Row],[Service Follow-up Date]]="",Data[[#This Row],[Delivery Date]]=""),"",INT(Data[[#This Row],[Service Follow-up Date]]-Data[[#This Row],[Delivery Date]]))</f>
        <v/>
      </c>
      <c r="Q75" t="str">
        <f>IF(ISBLANK(Data[[#This Row],[Customer Rating]]),"No Rating",IF(Data[[#This Row],[Customer Rating]]&gt;=9,"Promoter",IF(Data[[#This Row],[Customer Rating]]&gt;=7,"Passive","Detractor")))</f>
        <v>No Rating</v>
      </c>
    </row>
    <row r="76" spans="1:17" ht="14.25" customHeight="1" x14ac:dyDescent="0.3">
      <c r="A76" s="1" t="s">
        <v>102</v>
      </c>
      <c r="B76" s="1" t="s">
        <v>15</v>
      </c>
      <c r="C76" s="1" t="s">
        <v>16</v>
      </c>
      <c r="D76" s="1" t="str">
        <f>IF(Data[[#This Row],[Cancellation Status]]="No", "High Potential", "Normal")</f>
        <v>High Potential</v>
      </c>
      <c r="E76" s="2">
        <v>45937</v>
      </c>
      <c r="F76" s="2">
        <v>45940</v>
      </c>
      <c r="G76" s="2">
        <v>45943</v>
      </c>
      <c r="H76" s="2">
        <v>45947</v>
      </c>
      <c r="I76" s="1" t="s">
        <v>17</v>
      </c>
      <c r="K76" s="2">
        <v>45975</v>
      </c>
      <c r="L76" s="88">
        <f>IF(OR(Data[[#This Row],[Service Follow-up Date]]="",Data[[#This Row],[Delivery Date]]=""),"",INT(Data[[#This Row],[Service Follow-up Date]]-Data[[#This Row],[Delivery Date]]))</f>
        <v>28</v>
      </c>
      <c r="M76" s="1">
        <v>3</v>
      </c>
      <c r="N76" s="1">
        <v>3</v>
      </c>
      <c r="O76" s="1">
        <v>4</v>
      </c>
      <c r="P76" s="1">
        <v>0</v>
      </c>
      <c r="Q76" t="str">
        <f>IF(ISBLANK(Data[[#This Row],[Customer Rating]]),"No Rating",IF(Data[[#This Row],[Customer Rating]]&gt;=9,"Promoter",IF(Data[[#This Row],[Customer Rating]]&gt;=7,"Passive","Detractor")))</f>
        <v>Detractor</v>
      </c>
    </row>
    <row r="77" spans="1:17" ht="14.25" customHeight="1" x14ac:dyDescent="0.3">
      <c r="A77" s="1" t="s">
        <v>103</v>
      </c>
      <c r="B77" s="1" t="s">
        <v>15</v>
      </c>
      <c r="C77" s="1" t="s">
        <v>30</v>
      </c>
      <c r="D77" s="1" t="str">
        <f>IF(Data[[#This Row],[Cancellation Status]]="No", "High Potential", "Normal")</f>
        <v>High Potential</v>
      </c>
      <c r="E77" s="2">
        <v>45933</v>
      </c>
      <c r="F77" s="2">
        <v>45936</v>
      </c>
      <c r="G77" s="2">
        <v>45941</v>
      </c>
      <c r="H77" s="2">
        <v>45948</v>
      </c>
      <c r="I77" s="1" t="s">
        <v>17</v>
      </c>
      <c r="K77" s="2">
        <v>45970</v>
      </c>
      <c r="L77" s="88">
        <f>IF(OR(Data[[#This Row],[Service Follow-up Date]]="",Data[[#This Row],[Delivery Date]]=""),"",INT(Data[[#This Row],[Service Follow-up Date]]-Data[[#This Row],[Delivery Date]]))</f>
        <v>22</v>
      </c>
      <c r="M77" s="1">
        <v>3</v>
      </c>
      <c r="N77" s="1">
        <v>5</v>
      </c>
      <c r="O77" s="1">
        <v>7</v>
      </c>
      <c r="P77" s="1">
        <v>1</v>
      </c>
      <c r="Q77" t="str">
        <f>IF(ISBLANK(Data[[#This Row],[Customer Rating]]),"No Rating",IF(Data[[#This Row],[Customer Rating]]&gt;=9,"Promoter",IF(Data[[#This Row],[Customer Rating]]&gt;=7,"Passive","Detractor")))</f>
        <v>Detractor</v>
      </c>
    </row>
    <row r="78" spans="1:17" ht="14.25" customHeight="1" x14ac:dyDescent="0.3">
      <c r="A78" s="1" t="s">
        <v>104</v>
      </c>
      <c r="B78" s="1" t="s">
        <v>32</v>
      </c>
      <c r="C78" s="1" t="s">
        <v>16</v>
      </c>
      <c r="D78" s="1" t="str">
        <f>IF(Data[[#This Row],[Cancellation Status]]="No", "High Potential", "Normal")</f>
        <v>High Potential</v>
      </c>
      <c r="E78" s="2">
        <v>45938</v>
      </c>
      <c r="F78" s="2">
        <v>45939</v>
      </c>
      <c r="G78" s="2">
        <v>45942</v>
      </c>
      <c r="H78" s="2">
        <v>45945</v>
      </c>
      <c r="I78" s="1" t="s">
        <v>17</v>
      </c>
      <c r="K78" s="2">
        <v>45973</v>
      </c>
      <c r="L78" s="88">
        <f>IF(OR(Data[[#This Row],[Service Follow-up Date]]="",Data[[#This Row],[Delivery Date]]=""),"",INT(Data[[#This Row],[Service Follow-up Date]]-Data[[#This Row],[Delivery Date]]))</f>
        <v>28</v>
      </c>
      <c r="M78" s="1">
        <v>1</v>
      </c>
      <c r="N78" s="1">
        <v>3</v>
      </c>
      <c r="O78" s="1">
        <v>3</v>
      </c>
      <c r="P78" s="1">
        <v>8</v>
      </c>
      <c r="Q78" t="str">
        <f>IF(ISBLANK(Data[[#This Row],[Customer Rating]]),"No Rating",IF(Data[[#This Row],[Customer Rating]]&gt;=9,"Promoter",IF(Data[[#This Row],[Customer Rating]]&gt;=7,"Passive","Detractor")))</f>
        <v>Passive</v>
      </c>
    </row>
    <row r="79" spans="1:17" ht="14.25" customHeight="1" x14ac:dyDescent="0.3">
      <c r="A79" s="1" t="s">
        <v>105</v>
      </c>
      <c r="B79" s="1" t="s">
        <v>32</v>
      </c>
      <c r="C79" s="1" t="s">
        <v>22</v>
      </c>
      <c r="D79" s="1" t="str">
        <f>IF(Data[[#This Row],[Cancellation Status]]="No", "High Potential", "Normal")</f>
        <v>Normal</v>
      </c>
      <c r="E79" s="2">
        <v>45954</v>
      </c>
      <c r="I79" s="1" t="s">
        <v>23</v>
      </c>
      <c r="J79" s="1" t="s">
        <v>24</v>
      </c>
      <c r="L79" s="88" t="str">
        <f>IF(OR(Data[[#This Row],[Service Follow-up Date]]="",Data[[#This Row],[Delivery Date]]=""),"",INT(Data[[#This Row],[Service Follow-up Date]]-Data[[#This Row],[Delivery Date]]))</f>
        <v/>
      </c>
      <c r="Q79" t="str">
        <f>IF(ISBLANK(Data[[#This Row],[Customer Rating]]),"No Rating",IF(Data[[#This Row],[Customer Rating]]&gt;=9,"Promoter",IF(Data[[#This Row],[Customer Rating]]&gt;=7,"Passive","Detractor")))</f>
        <v>No Rating</v>
      </c>
    </row>
    <row r="80" spans="1:17" ht="14.25" customHeight="1" x14ac:dyDescent="0.3">
      <c r="A80" s="1" t="s">
        <v>106</v>
      </c>
      <c r="B80" s="1" t="s">
        <v>19</v>
      </c>
      <c r="C80" s="1" t="s">
        <v>22</v>
      </c>
      <c r="D80" s="1" t="str">
        <f>IF(Data[[#This Row],[Cancellation Status]]="No", "High Potential", "Normal")</f>
        <v>Normal</v>
      </c>
      <c r="E80" s="2">
        <v>45944</v>
      </c>
      <c r="I80" s="1" t="s">
        <v>23</v>
      </c>
      <c r="J80" s="1" t="s">
        <v>63</v>
      </c>
      <c r="L80" s="88" t="str">
        <f>IF(OR(Data[[#This Row],[Service Follow-up Date]]="",Data[[#This Row],[Delivery Date]]=""),"",INT(Data[[#This Row],[Service Follow-up Date]]-Data[[#This Row],[Delivery Date]]))</f>
        <v/>
      </c>
      <c r="Q80" t="str">
        <f>IF(ISBLANK(Data[[#This Row],[Customer Rating]]),"No Rating",IF(Data[[#This Row],[Customer Rating]]&gt;=9,"Promoter",IF(Data[[#This Row],[Customer Rating]]&gt;=7,"Passive","Detractor")))</f>
        <v>No Rating</v>
      </c>
    </row>
    <row r="81" spans="1:17" ht="14.25" customHeight="1" x14ac:dyDescent="0.3">
      <c r="A81" s="1" t="s">
        <v>107</v>
      </c>
      <c r="B81" s="1" t="s">
        <v>32</v>
      </c>
      <c r="C81" s="1" t="s">
        <v>16</v>
      </c>
      <c r="D81" s="1" t="str">
        <f>IF(Data[[#This Row],[Cancellation Status]]="No", "High Potential", "Normal")</f>
        <v>Normal</v>
      </c>
      <c r="E81" s="2">
        <v>45946</v>
      </c>
      <c r="F81" s="2">
        <v>45948</v>
      </c>
      <c r="G81" s="2">
        <v>45950</v>
      </c>
      <c r="H81" s="2">
        <v>45956</v>
      </c>
      <c r="I81" s="1" t="s">
        <v>23</v>
      </c>
      <c r="J81" s="1" t="s">
        <v>33</v>
      </c>
      <c r="L81" s="88" t="str">
        <f>IF(OR(Data[[#This Row],[Service Follow-up Date]]="",Data[[#This Row],[Delivery Date]]=""),"",INT(Data[[#This Row],[Service Follow-up Date]]-Data[[#This Row],[Delivery Date]]))</f>
        <v/>
      </c>
      <c r="M81" s="1">
        <v>2</v>
      </c>
      <c r="N81" s="1">
        <v>2</v>
      </c>
      <c r="O81" s="1">
        <v>6</v>
      </c>
      <c r="Q81" t="str">
        <f>IF(ISBLANK(Data[[#This Row],[Customer Rating]]),"No Rating",IF(Data[[#This Row],[Customer Rating]]&gt;=9,"Promoter",IF(Data[[#This Row],[Customer Rating]]&gt;=7,"Passive","Detractor")))</f>
        <v>No Rating</v>
      </c>
    </row>
    <row r="82" spans="1:17" ht="14.25" customHeight="1" x14ac:dyDescent="0.3">
      <c r="A82" s="1" t="s">
        <v>108</v>
      </c>
      <c r="B82" s="1" t="s">
        <v>21</v>
      </c>
      <c r="C82" s="1" t="s">
        <v>22</v>
      </c>
      <c r="D82" s="1" t="str">
        <f>IF(Data[[#This Row],[Cancellation Status]]="No", "High Potential", "Normal")</f>
        <v>Normal</v>
      </c>
      <c r="E82" s="2">
        <v>45948</v>
      </c>
      <c r="I82" s="1" t="s">
        <v>23</v>
      </c>
      <c r="J82" s="1" t="s">
        <v>24</v>
      </c>
      <c r="L82" s="88" t="str">
        <f>IF(OR(Data[[#This Row],[Service Follow-up Date]]="",Data[[#This Row],[Delivery Date]]=""),"",INT(Data[[#This Row],[Service Follow-up Date]]-Data[[#This Row],[Delivery Date]]))</f>
        <v/>
      </c>
      <c r="Q82" t="str">
        <f>IF(ISBLANK(Data[[#This Row],[Customer Rating]]),"No Rating",IF(Data[[#This Row],[Customer Rating]]&gt;=9,"Promoter",IF(Data[[#This Row],[Customer Rating]]&gt;=7,"Passive","Detractor")))</f>
        <v>No Rating</v>
      </c>
    </row>
    <row r="83" spans="1:17" ht="14.25" customHeight="1" x14ac:dyDescent="0.3">
      <c r="A83" s="1" t="s">
        <v>109</v>
      </c>
      <c r="B83" s="1" t="s">
        <v>32</v>
      </c>
      <c r="C83" s="1" t="s">
        <v>22</v>
      </c>
      <c r="D83" s="1" t="str">
        <f>IF(Data[[#This Row],[Cancellation Status]]="No", "High Potential", "Normal")</f>
        <v>Normal</v>
      </c>
      <c r="E83" s="2">
        <v>45955</v>
      </c>
      <c r="I83" s="1" t="s">
        <v>23</v>
      </c>
      <c r="J83" s="1" t="s">
        <v>24</v>
      </c>
      <c r="L83" s="88" t="str">
        <f>IF(OR(Data[[#This Row],[Service Follow-up Date]]="",Data[[#This Row],[Delivery Date]]=""),"",INT(Data[[#This Row],[Service Follow-up Date]]-Data[[#This Row],[Delivery Date]]))</f>
        <v/>
      </c>
      <c r="Q83" t="str">
        <f>IF(ISBLANK(Data[[#This Row],[Customer Rating]]),"No Rating",IF(Data[[#This Row],[Customer Rating]]&gt;=9,"Promoter",IF(Data[[#This Row],[Customer Rating]]&gt;=7,"Passive","Detractor")))</f>
        <v>No Rating</v>
      </c>
    </row>
    <row r="84" spans="1:17" ht="14.25" customHeight="1" x14ac:dyDescent="0.3">
      <c r="A84" s="1" t="s">
        <v>110</v>
      </c>
      <c r="B84" s="1" t="s">
        <v>21</v>
      </c>
      <c r="C84" s="1" t="s">
        <v>16</v>
      </c>
      <c r="D84" s="1" t="str">
        <f>IF(Data[[#This Row],[Cancellation Status]]="No", "High Potential", "Normal")</f>
        <v>High Potential</v>
      </c>
      <c r="E84" s="2">
        <v>45938</v>
      </c>
      <c r="F84" s="2">
        <v>45940</v>
      </c>
      <c r="G84" s="2">
        <v>45943</v>
      </c>
      <c r="H84" s="2">
        <v>45948</v>
      </c>
      <c r="I84" s="1" t="s">
        <v>17</v>
      </c>
      <c r="K84" s="2">
        <v>45959</v>
      </c>
      <c r="L84" s="88">
        <f>IF(OR(Data[[#This Row],[Service Follow-up Date]]="",Data[[#This Row],[Delivery Date]]=""),"",INT(Data[[#This Row],[Service Follow-up Date]]-Data[[#This Row],[Delivery Date]]))</f>
        <v>11</v>
      </c>
      <c r="M84" s="1">
        <v>2</v>
      </c>
      <c r="N84" s="1">
        <v>3</v>
      </c>
      <c r="O84" s="1">
        <v>5</v>
      </c>
      <c r="P84" s="1">
        <v>5</v>
      </c>
      <c r="Q84" t="str">
        <f>IF(ISBLANK(Data[[#This Row],[Customer Rating]]),"No Rating",IF(Data[[#This Row],[Customer Rating]]&gt;=9,"Promoter",IF(Data[[#This Row],[Customer Rating]]&gt;=7,"Passive","Detractor")))</f>
        <v>Detractor</v>
      </c>
    </row>
    <row r="85" spans="1:17" ht="14.25" customHeight="1" x14ac:dyDescent="0.3">
      <c r="A85" s="1" t="s">
        <v>111</v>
      </c>
      <c r="B85" s="1" t="s">
        <v>19</v>
      </c>
      <c r="C85" s="1" t="s">
        <v>30</v>
      </c>
      <c r="D85" s="1" t="str">
        <f>IF(Data[[#This Row],[Cancellation Status]]="No", "High Potential", "Normal")</f>
        <v>High Potential</v>
      </c>
      <c r="E85" s="2">
        <v>45953</v>
      </c>
      <c r="F85" s="2">
        <v>45958</v>
      </c>
      <c r="G85" s="2">
        <v>45961</v>
      </c>
      <c r="H85" s="2">
        <v>45966</v>
      </c>
      <c r="I85" s="1" t="s">
        <v>17</v>
      </c>
      <c r="K85" s="2">
        <v>45981</v>
      </c>
      <c r="L85" s="88">
        <f>IF(OR(Data[[#This Row],[Service Follow-up Date]]="",Data[[#This Row],[Delivery Date]]=""),"",INT(Data[[#This Row],[Service Follow-up Date]]-Data[[#This Row],[Delivery Date]]))</f>
        <v>15</v>
      </c>
      <c r="M85" s="1">
        <v>5</v>
      </c>
      <c r="N85" s="1">
        <v>3</v>
      </c>
      <c r="O85" s="1">
        <v>5</v>
      </c>
      <c r="P85" s="1">
        <v>5</v>
      </c>
      <c r="Q85" t="str">
        <f>IF(ISBLANK(Data[[#This Row],[Customer Rating]]),"No Rating",IF(Data[[#This Row],[Customer Rating]]&gt;=9,"Promoter",IF(Data[[#This Row],[Customer Rating]]&gt;=7,"Passive","Detractor")))</f>
        <v>Detractor</v>
      </c>
    </row>
    <row r="86" spans="1:17" ht="14.25" customHeight="1" x14ac:dyDescent="0.3">
      <c r="A86" s="1" t="s">
        <v>112</v>
      </c>
      <c r="B86" s="1" t="s">
        <v>19</v>
      </c>
      <c r="C86" s="1" t="s">
        <v>16</v>
      </c>
      <c r="D86" s="1" t="str">
        <f>IF(Data[[#This Row],[Cancellation Status]]="No", "High Potential", "Normal")</f>
        <v>High Potential</v>
      </c>
      <c r="E86" s="2">
        <v>45946</v>
      </c>
      <c r="F86" s="2">
        <v>45950</v>
      </c>
      <c r="G86" s="2">
        <v>45952</v>
      </c>
      <c r="H86" s="2">
        <v>45958</v>
      </c>
      <c r="I86" s="1" t="s">
        <v>17</v>
      </c>
      <c r="K86" s="2">
        <v>45987</v>
      </c>
      <c r="L86" s="88">
        <f>IF(OR(Data[[#This Row],[Service Follow-up Date]]="",Data[[#This Row],[Delivery Date]]=""),"",INT(Data[[#This Row],[Service Follow-up Date]]-Data[[#This Row],[Delivery Date]]))</f>
        <v>29</v>
      </c>
      <c r="M86" s="1">
        <v>4</v>
      </c>
      <c r="N86" s="1">
        <v>2</v>
      </c>
      <c r="O86" s="1">
        <v>6</v>
      </c>
      <c r="P86" s="1">
        <v>4</v>
      </c>
      <c r="Q86" t="str">
        <f>IF(ISBLANK(Data[[#This Row],[Customer Rating]]),"No Rating",IF(Data[[#This Row],[Customer Rating]]&gt;=9,"Promoter",IF(Data[[#This Row],[Customer Rating]]&gt;=7,"Passive","Detractor")))</f>
        <v>Detractor</v>
      </c>
    </row>
    <row r="87" spans="1:17" ht="14.25" customHeight="1" x14ac:dyDescent="0.3">
      <c r="A87" s="1" t="s">
        <v>113</v>
      </c>
      <c r="B87" s="1" t="s">
        <v>19</v>
      </c>
      <c r="C87" s="1" t="s">
        <v>22</v>
      </c>
      <c r="D87" s="1" t="str">
        <f>IF(Data[[#This Row],[Cancellation Status]]="No", "High Potential", "Normal")</f>
        <v>Normal</v>
      </c>
      <c r="E87" s="2">
        <v>45951</v>
      </c>
      <c r="I87" s="1" t="s">
        <v>23</v>
      </c>
      <c r="J87" s="1" t="s">
        <v>26</v>
      </c>
      <c r="L87" s="88" t="str">
        <f>IF(OR(Data[[#This Row],[Service Follow-up Date]]="",Data[[#This Row],[Delivery Date]]=""),"",INT(Data[[#This Row],[Service Follow-up Date]]-Data[[#This Row],[Delivery Date]]))</f>
        <v/>
      </c>
      <c r="Q87" t="str">
        <f>IF(ISBLANK(Data[[#This Row],[Customer Rating]]),"No Rating",IF(Data[[#This Row],[Customer Rating]]&gt;=9,"Promoter",IF(Data[[#This Row],[Customer Rating]]&gt;=7,"Passive","Detractor")))</f>
        <v>No Rating</v>
      </c>
    </row>
    <row r="88" spans="1:17" ht="14.25" customHeight="1" x14ac:dyDescent="0.3">
      <c r="A88" s="1" t="s">
        <v>114</v>
      </c>
      <c r="B88" s="1" t="s">
        <v>19</v>
      </c>
      <c r="C88" s="1" t="s">
        <v>30</v>
      </c>
      <c r="D88" s="1" t="str">
        <f>IF(Data[[#This Row],[Cancellation Status]]="No", "High Potential", "Normal")</f>
        <v>High Potential</v>
      </c>
      <c r="E88" s="2">
        <v>45953</v>
      </c>
      <c r="F88" s="2">
        <v>45954</v>
      </c>
      <c r="G88" s="2">
        <v>45958</v>
      </c>
      <c r="H88" s="2">
        <v>45961</v>
      </c>
      <c r="I88" s="1" t="s">
        <v>17</v>
      </c>
      <c r="K88" s="2">
        <v>45981</v>
      </c>
      <c r="L88" s="88">
        <f>IF(OR(Data[[#This Row],[Service Follow-up Date]]="",Data[[#This Row],[Delivery Date]]=""),"",INT(Data[[#This Row],[Service Follow-up Date]]-Data[[#This Row],[Delivery Date]]))</f>
        <v>20</v>
      </c>
      <c r="M88" s="1">
        <v>1</v>
      </c>
      <c r="N88" s="1">
        <v>4</v>
      </c>
      <c r="O88" s="1">
        <v>3</v>
      </c>
      <c r="P88" s="1">
        <v>7</v>
      </c>
      <c r="Q88" t="str">
        <f>IF(ISBLANK(Data[[#This Row],[Customer Rating]]),"No Rating",IF(Data[[#This Row],[Customer Rating]]&gt;=9,"Promoter",IF(Data[[#This Row],[Customer Rating]]&gt;=7,"Passive","Detractor")))</f>
        <v>Passive</v>
      </c>
    </row>
    <row r="89" spans="1:17" ht="14.25" customHeight="1" x14ac:dyDescent="0.3">
      <c r="A89" s="1" t="s">
        <v>115</v>
      </c>
      <c r="B89" s="1" t="s">
        <v>19</v>
      </c>
      <c r="C89" s="1" t="s">
        <v>22</v>
      </c>
      <c r="D89" s="1" t="str">
        <f>IF(Data[[#This Row],[Cancellation Status]]="No", "High Potential", "Normal")</f>
        <v>Normal</v>
      </c>
      <c r="E89" s="2">
        <v>45946</v>
      </c>
      <c r="I89" s="1" t="s">
        <v>23</v>
      </c>
      <c r="J89" s="1" t="s">
        <v>33</v>
      </c>
      <c r="L89" s="88" t="str">
        <f>IF(OR(Data[[#This Row],[Service Follow-up Date]]="",Data[[#This Row],[Delivery Date]]=""),"",INT(Data[[#This Row],[Service Follow-up Date]]-Data[[#This Row],[Delivery Date]]))</f>
        <v/>
      </c>
      <c r="Q89" t="str">
        <f>IF(ISBLANK(Data[[#This Row],[Customer Rating]]),"No Rating",IF(Data[[#This Row],[Customer Rating]]&gt;=9,"Promoter",IF(Data[[#This Row],[Customer Rating]]&gt;=7,"Passive","Detractor")))</f>
        <v>No Rating</v>
      </c>
    </row>
    <row r="90" spans="1:17" ht="14.25" customHeight="1" x14ac:dyDescent="0.3">
      <c r="A90" s="1" t="s">
        <v>116</v>
      </c>
      <c r="B90" s="1" t="s">
        <v>21</v>
      </c>
      <c r="C90" s="1" t="s">
        <v>30</v>
      </c>
      <c r="D90" s="1" t="str">
        <f>IF(Data[[#This Row],[Cancellation Status]]="No", "High Potential", "Normal")</f>
        <v>High Potential</v>
      </c>
      <c r="E90" s="2">
        <v>45945</v>
      </c>
      <c r="F90" s="2">
        <v>45947</v>
      </c>
      <c r="G90" s="2">
        <v>45950</v>
      </c>
      <c r="H90" s="2">
        <v>45956</v>
      </c>
      <c r="I90" s="1" t="s">
        <v>17</v>
      </c>
      <c r="K90" s="2">
        <v>45985</v>
      </c>
      <c r="L90" s="88">
        <f>IF(OR(Data[[#This Row],[Service Follow-up Date]]="",Data[[#This Row],[Delivery Date]]=""),"",INT(Data[[#This Row],[Service Follow-up Date]]-Data[[#This Row],[Delivery Date]]))</f>
        <v>29</v>
      </c>
      <c r="M90" s="1">
        <v>2</v>
      </c>
      <c r="N90" s="1">
        <v>3</v>
      </c>
      <c r="O90" s="1">
        <v>6</v>
      </c>
      <c r="P90" s="1">
        <v>5</v>
      </c>
      <c r="Q90" t="str">
        <f>IF(ISBLANK(Data[[#This Row],[Customer Rating]]),"No Rating",IF(Data[[#This Row],[Customer Rating]]&gt;=9,"Promoter",IF(Data[[#This Row],[Customer Rating]]&gt;=7,"Passive","Detractor")))</f>
        <v>Detractor</v>
      </c>
    </row>
    <row r="91" spans="1:17" ht="14.25" customHeight="1" x14ac:dyDescent="0.3">
      <c r="A91" s="1" t="s">
        <v>117</v>
      </c>
      <c r="B91" s="1" t="s">
        <v>21</v>
      </c>
      <c r="C91" s="1" t="s">
        <v>30</v>
      </c>
      <c r="D91" s="1" t="str">
        <f>IF(Data[[#This Row],[Cancellation Status]]="No", "High Potential", "Normal")</f>
        <v>High Potential</v>
      </c>
      <c r="E91" s="2">
        <v>45956</v>
      </c>
      <c r="F91" s="2">
        <v>45957</v>
      </c>
      <c r="G91" s="2">
        <v>45961</v>
      </c>
      <c r="H91" s="2">
        <v>45966</v>
      </c>
      <c r="I91" s="1" t="s">
        <v>17</v>
      </c>
      <c r="K91" s="2">
        <v>45983</v>
      </c>
      <c r="L91" s="88">
        <f>IF(OR(Data[[#This Row],[Service Follow-up Date]]="",Data[[#This Row],[Delivery Date]]=""),"",INT(Data[[#This Row],[Service Follow-up Date]]-Data[[#This Row],[Delivery Date]]))</f>
        <v>17</v>
      </c>
      <c r="M91" s="1">
        <v>1</v>
      </c>
      <c r="N91" s="1">
        <v>4</v>
      </c>
      <c r="O91" s="1">
        <v>5</v>
      </c>
      <c r="P91" s="1">
        <v>8</v>
      </c>
      <c r="Q91" t="str">
        <f>IF(ISBLANK(Data[[#This Row],[Customer Rating]]),"No Rating",IF(Data[[#This Row],[Customer Rating]]&gt;=9,"Promoter",IF(Data[[#This Row],[Customer Rating]]&gt;=7,"Passive","Detractor")))</f>
        <v>Passive</v>
      </c>
    </row>
    <row r="92" spans="1:17" ht="14.25" customHeight="1" x14ac:dyDescent="0.3">
      <c r="A92" s="1" t="s">
        <v>118</v>
      </c>
      <c r="B92" s="1" t="s">
        <v>19</v>
      </c>
      <c r="C92" s="1" t="s">
        <v>16</v>
      </c>
      <c r="D92" s="1" t="str">
        <f>IF(Data[[#This Row],[Cancellation Status]]="No", "High Potential", "Normal")</f>
        <v>High Potential</v>
      </c>
      <c r="E92" s="2">
        <v>45931</v>
      </c>
      <c r="F92" s="2">
        <v>45932</v>
      </c>
      <c r="G92" s="2">
        <v>45935</v>
      </c>
      <c r="H92" s="2">
        <v>45940</v>
      </c>
      <c r="I92" s="1" t="s">
        <v>17</v>
      </c>
      <c r="K92" s="2">
        <v>45970</v>
      </c>
      <c r="L92" s="88">
        <f>IF(OR(Data[[#This Row],[Service Follow-up Date]]="",Data[[#This Row],[Delivery Date]]=""),"",INT(Data[[#This Row],[Service Follow-up Date]]-Data[[#This Row],[Delivery Date]]))</f>
        <v>30</v>
      </c>
      <c r="M92" s="1">
        <v>1</v>
      </c>
      <c r="N92" s="1">
        <v>3</v>
      </c>
      <c r="O92" s="1">
        <v>5</v>
      </c>
      <c r="P92" s="1">
        <v>0</v>
      </c>
      <c r="Q92" t="str">
        <f>IF(ISBLANK(Data[[#This Row],[Customer Rating]]),"No Rating",IF(Data[[#This Row],[Customer Rating]]&gt;=9,"Promoter",IF(Data[[#This Row],[Customer Rating]]&gt;=7,"Passive","Detractor")))</f>
        <v>Detractor</v>
      </c>
    </row>
    <row r="93" spans="1:17" ht="14.25" customHeight="1" x14ac:dyDescent="0.3">
      <c r="A93" s="1" t="s">
        <v>119</v>
      </c>
      <c r="B93" s="1" t="s">
        <v>32</v>
      </c>
      <c r="C93" s="1" t="s">
        <v>30</v>
      </c>
      <c r="D93" s="1" t="str">
        <f>IF(Data[[#This Row],[Cancellation Status]]="No", "High Potential", "Normal")</f>
        <v>High Potential</v>
      </c>
      <c r="E93" s="2">
        <v>45933</v>
      </c>
      <c r="F93" s="2">
        <v>45938</v>
      </c>
      <c r="G93" s="2">
        <v>45943</v>
      </c>
      <c r="H93" s="2">
        <v>45946</v>
      </c>
      <c r="I93" s="1" t="s">
        <v>17</v>
      </c>
      <c r="K93" s="2">
        <v>45974</v>
      </c>
      <c r="L93" s="88">
        <f>IF(OR(Data[[#This Row],[Service Follow-up Date]]="",Data[[#This Row],[Delivery Date]]=""),"",INT(Data[[#This Row],[Service Follow-up Date]]-Data[[#This Row],[Delivery Date]]))</f>
        <v>28</v>
      </c>
      <c r="M93" s="1">
        <v>5</v>
      </c>
      <c r="N93" s="1">
        <v>5</v>
      </c>
      <c r="O93" s="1">
        <v>3</v>
      </c>
      <c r="P93" s="1">
        <v>9</v>
      </c>
      <c r="Q93" t="str">
        <f>IF(ISBLANK(Data[[#This Row],[Customer Rating]]),"No Rating",IF(Data[[#This Row],[Customer Rating]]&gt;=9,"Promoter",IF(Data[[#This Row],[Customer Rating]]&gt;=7,"Passive","Detractor")))</f>
        <v>Promoter</v>
      </c>
    </row>
    <row r="94" spans="1:17" ht="14.25" customHeight="1" x14ac:dyDescent="0.3">
      <c r="A94" s="1" t="s">
        <v>120</v>
      </c>
      <c r="B94" s="1" t="s">
        <v>15</v>
      </c>
      <c r="C94" s="1" t="s">
        <v>22</v>
      </c>
      <c r="D94" s="1" t="str">
        <f>IF(Data[[#This Row],[Cancellation Status]]="No", "High Potential", "Normal")</f>
        <v>Normal</v>
      </c>
      <c r="E94" s="2">
        <v>45940</v>
      </c>
      <c r="I94" s="1" t="s">
        <v>23</v>
      </c>
      <c r="J94" s="1" t="s">
        <v>101</v>
      </c>
      <c r="L94" s="88" t="str">
        <f>IF(OR(Data[[#This Row],[Service Follow-up Date]]="",Data[[#This Row],[Delivery Date]]=""),"",INT(Data[[#This Row],[Service Follow-up Date]]-Data[[#This Row],[Delivery Date]]))</f>
        <v/>
      </c>
      <c r="Q94" t="str">
        <f>IF(ISBLANK(Data[[#This Row],[Customer Rating]]),"No Rating",IF(Data[[#This Row],[Customer Rating]]&gt;=9,"Promoter",IF(Data[[#This Row],[Customer Rating]]&gt;=7,"Passive","Detractor")))</f>
        <v>No Rating</v>
      </c>
    </row>
    <row r="95" spans="1:17" ht="14.25" customHeight="1" x14ac:dyDescent="0.3">
      <c r="A95" s="1" t="s">
        <v>121</v>
      </c>
      <c r="B95" s="1" t="s">
        <v>19</v>
      </c>
      <c r="C95" s="1" t="s">
        <v>22</v>
      </c>
      <c r="D95" s="1" t="str">
        <f>IF(Data[[#This Row],[Cancellation Status]]="No", "High Potential", "Normal")</f>
        <v>Normal</v>
      </c>
      <c r="E95" s="2">
        <v>45938</v>
      </c>
      <c r="I95" s="1" t="s">
        <v>23</v>
      </c>
      <c r="J95" s="1" t="s">
        <v>63</v>
      </c>
      <c r="L95" s="88" t="str">
        <f>IF(OR(Data[[#This Row],[Service Follow-up Date]]="",Data[[#This Row],[Delivery Date]]=""),"",INT(Data[[#This Row],[Service Follow-up Date]]-Data[[#This Row],[Delivery Date]]))</f>
        <v/>
      </c>
      <c r="Q95" t="str">
        <f>IF(ISBLANK(Data[[#This Row],[Customer Rating]]),"No Rating",IF(Data[[#This Row],[Customer Rating]]&gt;=9,"Promoter",IF(Data[[#This Row],[Customer Rating]]&gt;=7,"Passive","Detractor")))</f>
        <v>No Rating</v>
      </c>
    </row>
    <row r="96" spans="1:17" ht="14.25" customHeight="1" x14ac:dyDescent="0.3">
      <c r="A96" s="1" t="s">
        <v>122</v>
      </c>
      <c r="B96" s="1" t="s">
        <v>32</v>
      </c>
      <c r="C96" s="1" t="s">
        <v>22</v>
      </c>
      <c r="D96" s="1" t="str">
        <f>IF(Data[[#This Row],[Cancellation Status]]="No", "High Potential", "Normal")</f>
        <v>Normal</v>
      </c>
      <c r="E96" s="2">
        <v>45943</v>
      </c>
      <c r="I96" s="1" t="s">
        <v>23</v>
      </c>
      <c r="J96" s="1" t="s">
        <v>26</v>
      </c>
      <c r="L96" s="88" t="str">
        <f>IF(OR(Data[[#This Row],[Service Follow-up Date]]="",Data[[#This Row],[Delivery Date]]=""),"",INT(Data[[#This Row],[Service Follow-up Date]]-Data[[#This Row],[Delivery Date]]))</f>
        <v/>
      </c>
      <c r="Q96" t="str">
        <f>IF(ISBLANK(Data[[#This Row],[Customer Rating]]),"No Rating",IF(Data[[#This Row],[Customer Rating]]&gt;=9,"Promoter",IF(Data[[#This Row],[Customer Rating]]&gt;=7,"Passive","Detractor")))</f>
        <v>No Rating</v>
      </c>
    </row>
    <row r="97" spans="1:17" ht="14.25" customHeight="1" x14ac:dyDescent="0.3">
      <c r="A97" s="1" t="s">
        <v>123</v>
      </c>
      <c r="B97" s="1" t="s">
        <v>15</v>
      </c>
      <c r="C97" s="1" t="s">
        <v>16</v>
      </c>
      <c r="D97" s="1" t="str">
        <f>IF(Data[[#This Row],[Cancellation Status]]="No", "High Potential", "Normal")</f>
        <v>High Potential</v>
      </c>
      <c r="E97" s="2">
        <v>45953</v>
      </c>
      <c r="F97" s="2">
        <v>45955</v>
      </c>
      <c r="G97" s="2">
        <v>45958</v>
      </c>
      <c r="H97" s="2">
        <v>45963</v>
      </c>
      <c r="I97" s="1" t="s">
        <v>17</v>
      </c>
      <c r="K97" s="2">
        <v>45976</v>
      </c>
      <c r="L97" s="88">
        <f>IF(OR(Data[[#This Row],[Service Follow-up Date]]="",Data[[#This Row],[Delivery Date]]=""),"",INT(Data[[#This Row],[Service Follow-up Date]]-Data[[#This Row],[Delivery Date]]))</f>
        <v>13</v>
      </c>
      <c r="M97" s="1">
        <v>2</v>
      </c>
      <c r="N97" s="1">
        <v>3</v>
      </c>
      <c r="O97" s="1">
        <v>5</v>
      </c>
      <c r="P97" s="1">
        <v>9</v>
      </c>
      <c r="Q97" t="str">
        <f>IF(ISBLANK(Data[[#This Row],[Customer Rating]]),"No Rating",IF(Data[[#This Row],[Customer Rating]]&gt;=9,"Promoter",IF(Data[[#This Row],[Customer Rating]]&gt;=7,"Passive","Detractor")))</f>
        <v>Promoter</v>
      </c>
    </row>
    <row r="98" spans="1:17" ht="14.25" customHeight="1" x14ac:dyDescent="0.3">
      <c r="A98" s="1" t="s">
        <v>124</v>
      </c>
      <c r="B98" s="1" t="s">
        <v>19</v>
      </c>
      <c r="C98" s="1" t="s">
        <v>30</v>
      </c>
      <c r="D98" s="1" t="str">
        <f>IF(Data[[#This Row],[Cancellation Status]]="No", "High Potential", "Normal")</f>
        <v>Normal</v>
      </c>
      <c r="E98" s="2">
        <v>45938</v>
      </c>
      <c r="F98" s="2">
        <v>45942</v>
      </c>
      <c r="G98" s="2">
        <v>45945</v>
      </c>
      <c r="H98" s="2">
        <v>45952</v>
      </c>
      <c r="I98" s="1" t="s">
        <v>23</v>
      </c>
      <c r="J98" s="1" t="s">
        <v>63</v>
      </c>
      <c r="L98" s="88" t="str">
        <f>IF(OR(Data[[#This Row],[Service Follow-up Date]]="",Data[[#This Row],[Delivery Date]]=""),"",INT(Data[[#This Row],[Service Follow-up Date]]-Data[[#This Row],[Delivery Date]]))</f>
        <v/>
      </c>
      <c r="M98" s="1">
        <v>4</v>
      </c>
      <c r="N98" s="1">
        <v>3</v>
      </c>
      <c r="O98" s="1">
        <v>7</v>
      </c>
      <c r="Q98" t="str">
        <f>IF(ISBLANK(Data[[#This Row],[Customer Rating]]),"No Rating",IF(Data[[#This Row],[Customer Rating]]&gt;=9,"Promoter",IF(Data[[#This Row],[Customer Rating]]&gt;=7,"Passive","Detractor")))</f>
        <v>No Rating</v>
      </c>
    </row>
    <row r="99" spans="1:17" ht="14.25" customHeight="1" x14ac:dyDescent="0.3">
      <c r="A99" s="1" t="s">
        <v>125</v>
      </c>
      <c r="B99" s="1" t="s">
        <v>19</v>
      </c>
      <c r="C99" s="1" t="s">
        <v>16</v>
      </c>
      <c r="D99" s="1" t="str">
        <f>IF(Data[[#This Row],[Cancellation Status]]="No", "High Potential", "Normal")</f>
        <v>High Potential</v>
      </c>
      <c r="E99" s="2">
        <v>45940</v>
      </c>
      <c r="F99" s="2">
        <v>45944</v>
      </c>
      <c r="G99" s="2">
        <v>45945</v>
      </c>
      <c r="H99" s="2">
        <v>45951</v>
      </c>
      <c r="I99" s="1" t="s">
        <v>17</v>
      </c>
      <c r="K99" s="2">
        <v>45976</v>
      </c>
      <c r="L99" s="88">
        <f>IF(OR(Data[[#This Row],[Service Follow-up Date]]="",Data[[#This Row],[Delivery Date]]=""),"",INT(Data[[#This Row],[Service Follow-up Date]]-Data[[#This Row],[Delivery Date]]))</f>
        <v>25</v>
      </c>
      <c r="M99" s="1">
        <v>4</v>
      </c>
      <c r="N99" s="1">
        <v>1</v>
      </c>
      <c r="O99" s="1">
        <v>6</v>
      </c>
      <c r="P99" s="1">
        <v>6</v>
      </c>
      <c r="Q99" t="str">
        <f>IF(ISBLANK(Data[[#This Row],[Customer Rating]]),"No Rating",IF(Data[[#This Row],[Customer Rating]]&gt;=9,"Promoter",IF(Data[[#This Row],[Customer Rating]]&gt;=7,"Passive","Detractor")))</f>
        <v>Detractor</v>
      </c>
    </row>
    <row r="100" spans="1:17" ht="14.25" customHeight="1" x14ac:dyDescent="0.3">
      <c r="A100" s="1" t="s">
        <v>126</v>
      </c>
      <c r="B100" s="1" t="s">
        <v>21</v>
      </c>
      <c r="C100" s="1" t="s">
        <v>16</v>
      </c>
      <c r="D100" s="1" t="str">
        <f>IF(Data[[#This Row],[Cancellation Status]]="No", "High Potential", "Normal")</f>
        <v>High Potential</v>
      </c>
      <c r="E100" s="2">
        <v>45952</v>
      </c>
      <c r="F100" s="2">
        <v>45956</v>
      </c>
      <c r="G100" s="2">
        <v>45961</v>
      </c>
      <c r="H100" s="2">
        <v>45968</v>
      </c>
      <c r="I100" s="1" t="s">
        <v>17</v>
      </c>
      <c r="K100" s="2">
        <v>45982</v>
      </c>
      <c r="L100" s="88">
        <f>IF(OR(Data[[#This Row],[Service Follow-up Date]]="",Data[[#This Row],[Delivery Date]]=""),"",INT(Data[[#This Row],[Service Follow-up Date]]-Data[[#This Row],[Delivery Date]]))</f>
        <v>14</v>
      </c>
      <c r="M100" s="1">
        <v>4</v>
      </c>
      <c r="N100" s="1">
        <v>5</v>
      </c>
      <c r="O100" s="1">
        <v>7</v>
      </c>
      <c r="P100" s="1">
        <v>0</v>
      </c>
      <c r="Q100" t="str">
        <f>IF(ISBLANK(Data[[#This Row],[Customer Rating]]),"No Rating",IF(Data[[#This Row],[Customer Rating]]&gt;=9,"Promoter",IF(Data[[#This Row],[Customer Rating]]&gt;=7,"Passive","Detractor")))</f>
        <v>Detractor</v>
      </c>
    </row>
    <row r="101" spans="1:17" ht="14.25" customHeight="1" x14ac:dyDescent="0.3">
      <c r="A101" s="1" t="s">
        <v>127</v>
      </c>
      <c r="B101" s="1" t="s">
        <v>15</v>
      </c>
      <c r="C101" s="1" t="s">
        <v>16</v>
      </c>
      <c r="D101" s="1" t="str">
        <f>IF(Data[[#This Row],[Cancellation Status]]="No", "High Potential", "Normal")</f>
        <v>High Potential</v>
      </c>
      <c r="E101" s="2">
        <v>45949</v>
      </c>
      <c r="F101" s="2">
        <v>45952</v>
      </c>
      <c r="G101" s="2">
        <v>45957</v>
      </c>
      <c r="H101" s="2">
        <v>45964</v>
      </c>
      <c r="I101" s="1" t="s">
        <v>17</v>
      </c>
      <c r="K101" s="2">
        <v>45984</v>
      </c>
      <c r="L101" s="88">
        <f>IF(OR(Data[[#This Row],[Service Follow-up Date]]="",Data[[#This Row],[Delivery Date]]=""),"",INT(Data[[#This Row],[Service Follow-up Date]]-Data[[#This Row],[Delivery Date]]))</f>
        <v>20</v>
      </c>
      <c r="M101" s="1">
        <v>3</v>
      </c>
      <c r="N101" s="1">
        <v>5</v>
      </c>
      <c r="O101" s="1">
        <v>7</v>
      </c>
      <c r="P101" s="1">
        <v>10</v>
      </c>
      <c r="Q101" t="str">
        <f>IF(ISBLANK(Data[[#This Row],[Customer Rating]]),"No Rating",IF(Data[[#This Row],[Customer Rating]]&gt;=9,"Promoter",IF(Data[[#This Row],[Customer Rating]]&gt;=7,"Passive","Detractor")))</f>
        <v>Promoter</v>
      </c>
    </row>
    <row r="102" spans="1:17" ht="14.25" customHeight="1" x14ac:dyDescent="0.3">
      <c r="A102" s="1" t="s">
        <v>128</v>
      </c>
      <c r="B102" s="1" t="s">
        <v>15</v>
      </c>
      <c r="C102" s="1" t="s">
        <v>30</v>
      </c>
      <c r="D102" s="1" t="str">
        <f>IF(Data[[#This Row],[Cancellation Status]]="No", "High Potential", "Normal")</f>
        <v>High Potential</v>
      </c>
      <c r="E102" s="2">
        <v>45942</v>
      </c>
      <c r="F102" s="2">
        <v>45944</v>
      </c>
      <c r="G102" s="2">
        <v>45948</v>
      </c>
      <c r="H102" s="2">
        <v>45951</v>
      </c>
      <c r="I102" s="1" t="s">
        <v>17</v>
      </c>
      <c r="K102" s="2">
        <v>45963</v>
      </c>
      <c r="L102" s="88">
        <f>IF(OR(Data[[#This Row],[Service Follow-up Date]]="",Data[[#This Row],[Delivery Date]]=""),"",INT(Data[[#This Row],[Service Follow-up Date]]-Data[[#This Row],[Delivery Date]]))</f>
        <v>12</v>
      </c>
      <c r="M102" s="1">
        <v>2</v>
      </c>
      <c r="N102" s="1">
        <v>4</v>
      </c>
      <c r="O102" s="1">
        <v>3</v>
      </c>
      <c r="P102" s="1">
        <v>1</v>
      </c>
      <c r="Q102" t="str">
        <f>IF(ISBLANK(Data[[#This Row],[Customer Rating]]),"No Rating",IF(Data[[#This Row],[Customer Rating]]&gt;=9,"Promoter",IF(Data[[#This Row],[Customer Rating]]&gt;=7,"Passive","Detractor")))</f>
        <v>Detractor</v>
      </c>
    </row>
    <row r="103" spans="1:17" ht="14.25" customHeight="1" x14ac:dyDescent="0.3">
      <c r="A103" s="1" t="s">
        <v>129</v>
      </c>
      <c r="B103" s="1" t="s">
        <v>32</v>
      </c>
      <c r="C103" s="1" t="s">
        <v>16</v>
      </c>
      <c r="D103" s="1" t="str">
        <f>IF(Data[[#This Row],[Cancellation Status]]="No", "High Potential", "Normal")</f>
        <v>High Potential</v>
      </c>
      <c r="E103" s="2">
        <v>45946</v>
      </c>
      <c r="F103" s="2">
        <v>45949</v>
      </c>
      <c r="G103" s="2">
        <v>45953</v>
      </c>
      <c r="H103" s="2">
        <v>45959</v>
      </c>
      <c r="I103" s="1" t="s">
        <v>17</v>
      </c>
      <c r="K103" s="2">
        <v>45976</v>
      </c>
      <c r="L103" s="88">
        <f>IF(OR(Data[[#This Row],[Service Follow-up Date]]="",Data[[#This Row],[Delivery Date]]=""),"",INT(Data[[#This Row],[Service Follow-up Date]]-Data[[#This Row],[Delivery Date]]))</f>
        <v>17</v>
      </c>
      <c r="M103" s="1">
        <v>3</v>
      </c>
      <c r="N103" s="1">
        <v>4</v>
      </c>
      <c r="O103" s="1">
        <v>6</v>
      </c>
      <c r="P103" s="1">
        <v>1</v>
      </c>
      <c r="Q103" t="str">
        <f>IF(ISBLANK(Data[[#This Row],[Customer Rating]]),"No Rating",IF(Data[[#This Row],[Customer Rating]]&gt;=9,"Promoter",IF(Data[[#This Row],[Customer Rating]]&gt;=7,"Passive","Detractor")))</f>
        <v>Detractor</v>
      </c>
    </row>
    <row r="104" spans="1:17" ht="14.25" customHeight="1" x14ac:dyDescent="0.3">
      <c r="A104" s="1" t="s">
        <v>130</v>
      </c>
      <c r="B104" s="1" t="s">
        <v>21</v>
      </c>
      <c r="C104" s="1" t="s">
        <v>16</v>
      </c>
      <c r="D104" s="1" t="str">
        <f>IF(Data[[#This Row],[Cancellation Status]]="No", "High Potential", "Normal")</f>
        <v>High Potential</v>
      </c>
      <c r="E104" s="2">
        <v>45948</v>
      </c>
      <c r="F104" s="2">
        <v>45951</v>
      </c>
      <c r="G104" s="2">
        <v>45954</v>
      </c>
      <c r="H104" s="2">
        <v>45957</v>
      </c>
      <c r="I104" s="1" t="s">
        <v>17</v>
      </c>
      <c r="K104" s="2">
        <v>45978</v>
      </c>
      <c r="L104" s="88">
        <f>IF(OR(Data[[#This Row],[Service Follow-up Date]]="",Data[[#This Row],[Delivery Date]]=""),"",INT(Data[[#This Row],[Service Follow-up Date]]-Data[[#This Row],[Delivery Date]]))</f>
        <v>21</v>
      </c>
      <c r="M104" s="1">
        <v>3</v>
      </c>
      <c r="N104" s="1">
        <v>3</v>
      </c>
      <c r="O104" s="1">
        <v>3</v>
      </c>
      <c r="P104" s="1">
        <v>0</v>
      </c>
      <c r="Q104" t="str">
        <f>IF(ISBLANK(Data[[#This Row],[Customer Rating]]),"No Rating",IF(Data[[#This Row],[Customer Rating]]&gt;=9,"Promoter",IF(Data[[#This Row],[Customer Rating]]&gt;=7,"Passive","Detractor")))</f>
        <v>Detractor</v>
      </c>
    </row>
    <row r="105" spans="1:17" ht="14.25" customHeight="1" x14ac:dyDescent="0.3">
      <c r="A105" s="1" t="s">
        <v>131</v>
      </c>
      <c r="B105" s="1" t="s">
        <v>21</v>
      </c>
      <c r="C105" s="1" t="s">
        <v>22</v>
      </c>
      <c r="D105" s="1" t="str">
        <f>IF(Data[[#This Row],[Cancellation Status]]="No", "High Potential", "Normal")</f>
        <v>Normal</v>
      </c>
      <c r="E105" s="2">
        <v>45947</v>
      </c>
      <c r="I105" s="1" t="s">
        <v>23</v>
      </c>
      <c r="J105" s="1" t="s">
        <v>101</v>
      </c>
      <c r="L105" s="88" t="str">
        <f>IF(OR(Data[[#This Row],[Service Follow-up Date]]="",Data[[#This Row],[Delivery Date]]=""),"",INT(Data[[#This Row],[Service Follow-up Date]]-Data[[#This Row],[Delivery Date]]))</f>
        <v/>
      </c>
      <c r="Q105" t="str">
        <f>IF(ISBLANK(Data[[#This Row],[Customer Rating]]),"No Rating",IF(Data[[#This Row],[Customer Rating]]&gt;=9,"Promoter",IF(Data[[#This Row],[Customer Rating]]&gt;=7,"Passive","Detractor")))</f>
        <v>No Rating</v>
      </c>
    </row>
    <row r="106" spans="1:17" ht="14.25" customHeight="1" x14ac:dyDescent="0.3">
      <c r="A106" s="1" t="s">
        <v>132</v>
      </c>
      <c r="B106" s="1" t="s">
        <v>21</v>
      </c>
      <c r="C106" s="1" t="s">
        <v>22</v>
      </c>
      <c r="D106" s="1" t="str">
        <f>IF(Data[[#This Row],[Cancellation Status]]="No", "High Potential", "Normal")</f>
        <v>Normal</v>
      </c>
      <c r="E106" s="2">
        <v>45942</v>
      </c>
      <c r="I106" s="1" t="s">
        <v>23</v>
      </c>
      <c r="J106" s="1" t="s">
        <v>101</v>
      </c>
      <c r="L106" s="88" t="str">
        <f>IF(OR(Data[[#This Row],[Service Follow-up Date]]="",Data[[#This Row],[Delivery Date]]=""),"",INT(Data[[#This Row],[Service Follow-up Date]]-Data[[#This Row],[Delivery Date]]))</f>
        <v/>
      </c>
      <c r="Q106" t="str">
        <f>IF(ISBLANK(Data[[#This Row],[Customer Rating]]),"No Rating",IF(Data[[#This Row],[Customer Rating]]&gt;=9,"Promoter",IF(Data[[#This Row],[Customer Rating]]&gt;=7,"Passive","Detractor")))</f>
        <v>No Rating</v>
      </c>
    </row>
    <row r="107" spans="1:17" ht="14.25" customHeight="1" x14ac:dyDescent="0.3">
      <c r="A107" s="1" t="s">
        <v>133</v>
      </c>
      <c r="B107" s="1" t="s">
        <v>21</v>
      </c>
      <c r="C107" s="1" t="s">
        <v>16</v>
      </c>
      <c r="D107" s="1" t="str">
        <f>IF(Data[[#This Row],[Cancellation Status]]="No", "High Potential", "Normal")</f>
        <v>High Potential</v>
      </c>
      <c r="E107" s="2">
        <v>45944</v>
      </c>
      <c r="F107" s="2">
        <v>45947</v>
      </c>
      <c r="G107" s="2">
        <v>45949</v>
      </c>
      <c r="H107" s="2">
        <v>45954</v>
      </c>
      <c r="I107" s="1" t="s">
        <v>17</v>
      </c>
      <c r="K107" s="2">
        <v>45974</v>
      </c>
      <c r="L107" s="88">
        <f>IF(OR(Data[[#This Row],[Service Follow-up Date]]="",Data[[#This Row],[Delivery Date]]=""),"",INT(Data[[#This Row],[Service Follow-up Date]]-Data[[#This Row],[Delivery Date]]))</f>
        <v>20</v>
      </c>
      <c r="M107" s="1">
        <v>3</v>
      </c>
      <c r="N107" s="1">
        <v>2</v>
      </c>
      <c r="O107" s="1">
        <v>5</v>
      </c>
      <c r="P107" s="1">
        <v>2</v>
      </c>
      <c r="Q107" t="str">
        <f>IF(ISBLANK(Data[[#This Row],[Customer Rating]]),"No Rating",IF(Data[[#This Row],[Customer Rating]]&gt;=9,"Promoter",IF(Data[[#This Row],[Customer Rating]]&gt;=7,"Passive","Detractor")))</f>
        <v>Detractor</v>
      </c>
    </row>
    <row r="108" spans="1:17" ht="14.25" customHeight="1" x14ac:dyDescent="0.3">
      <c r="A108" s="1" t="s">
        <v>134</v>
      </c>
      <c r="B108" s="1" t="s">
        <v>15</v>
      </c>
      <c r="C108" s="1" t="s">
        <v>16</v>
      </c>
      <c r="D108" s="1" t="str">
        <f>IF(Data[[#This Row],[Cancellation Status]]="No", "High Potential", "Normal")</f>
        <v>Normal</v>
      </c>
      <c r="E108" s="2">
        <v>45954</v>
      </c>
      <c r="F108" s="2">
        <v>45959</v>
      </c>
      <c r="G108" s="2">
        <v>45962</v>
      </c>
      <c r="H108" s="2">
        <v>45966</v>
      </c>
      <c r="I108" s="1" t="s">
        <v>23</v>
      </c>
      <c r="J108" s="1" t="s">
        <v>24</v>
      </c>
      <c r="L108" s="88" t="str">
        <f>IF(OR(Data[[#This Row],[Service Follow-up Date]]="",Data[[#This Row],[Delivery Date]]=""),"",INT(Data[[#This Row],[Service Follow-up Date]]-Data[[#This Row],[Delivery Date]]))</f>
        <v/>
      </c>
      <c r="M108" s="1">
        <v>5</v>
      </c>
      <c r="N108" s="1">
        <v>3</v>
      </c>
      <c r="O108" s="1">
        <v>4</v>
      </c>
      <c r="Q108" t="str">
        <f>IF(ISBLANK(Data[[#This Row],[Customer Rating]]),"No Rating",IF(Data[[#This Row],[Customer Rating]]&gt;=9,"Promoter",IF(Data[[#This Row],[Customer Rating]]&gt;=7,"Passive","Detractor")))</f>
        <v>No Rating</v>
      </c>
    </row>
    <row r="109" spans="1:17" ht="14.25" customHeight="1" x14ac:dyDescent="0.3">
      <c r="A109" s="1" t="s">
        <v>135</v>
      </c>
      <c r="B109" s="1" t="s">
        <v>15</v>
      </c>
      <c r="C109" s="1" t="s">
        <v>16</v>
      </c>
      <c r="D109" s="1" t="str">
        <f>IF(Data[[#This Row],[Cancellation Status]]="No", "High Potential", "Normal")</f>
        <v>High Potential</v>
      </c>
      <c r="E109" s="2">
        <v>45948</v>
      </c>
      <c r="F109" s="2">
        <v>45953</v>
      </c>
      <c r="G109" s="2">
        <v>45954</v>
      </c>
      <c r="H109" s="2">
        <v>45957</v>
      </c>
      <c r="I109" s="1" t="s">
        <v>17</v>
      </c>
      <c r="K109" s="2">
        <v>45972</v>
      </c>
      <c r="L109" s="88">
        <f>IF(OR(Data[[#This Row],[Service Follow-up Date]]="",Data[[#This Row],[Delivery Date]]=""),"",INT(Data[[#This Row],[Service Follow-up Date]]-Data[[#This Row],[Delivery Date]]))</f>
        <v>15</v>
      </c>
      <c r="M109" s="1">
        <v>5</v>
      </c>
      <c r="N109" s="1">
        <v>1</v>
      </c>
      <c r="O109" s="1">
        <v>3</v>
      </c>
      <c r="P109" s="1">
        <v>10</v>
      </c>
      <c r="Q109" t="str">
        <f>IF(ISBLANK(Data[[#This Row],[Customer Rating]]),"No Rating",IF(Data[[#This Row],[Customer Rating]]&gt;=9,"Promoter",IF(Data[[#This Row],[Customer Rating]]&gt;=7,"Passive","Detractor")))</f>
        <v>Promoter</v>
      </c>
    </row>
    <row r="110" spans="1:17" ht="14.25" customHeight="1" x14ac:dyDescent="0.3">
      <c r="A110" s="1" t="s">
        <v>136</v>
      </c>
      <c r="B110" s="1" t="s">
        <v>19</v>
      </c>
      <c r="C110" s="1" t="s">
        <v>30</v>
      </c>
      <c r="D110" s="1" t="str">
        <f>IF(Data[[#This Row],[Cancellation Status]]="No", "High Potential", "Normal")</f>
        <v>High Potential</v>
      </c>
      <c r="E110" s="2">
        <v>45941</v>
      </c>
      <c r="F110" s="2">
        <v>45942</v>
      </c>
      <c r="G110" s="2">
        <v>45945</v>
      </c>
      <c r="H110" s="2">
        <v>45948</v>
      </c>
      <c r="I110" s="1" t="s">
        <v>17</v>
      </c>
      <c r="K110" s="2">
        <v>45978</v>
      </c>
      <c r="L110" s="88">
        <f>IF(OR(Data[[#This Row],[Service Follow-up Date]]="",Data[[#This Row],[Delivery Date]]=""),"",INT(Data[[#This Row],[Service Follow-up Date]]-Data[[#This Row],[Delivery Date]]))</f>
        <v>30</v>
      </c>
      <c r="M110" s="1">
        <v>1</v>
      </c>
      <c r="N110" s="1">
        <v>3</v>
      </c>
      <c r="O110" s="1">
        <v>3</v>
      </c>
      <c r="P110" s="1">
        <v>4</v>
      </c>
      <c r="Q110" t="str">
        <f>IF(ISBLANK(Data[[#This Row],[Customer Rating]]),"No Rating",IF(Data[[#This Row],[Customer Rating]]&gt;=9,"Promoter",IF(Data[[#This Row],[Customer Rating]]&gt;=7,"Passive","Detractor")))</f>
        <v>Detractor</v>
      </c>
    </row>
    <row r="111" spans="1:17" ht="14.25" customHeight="1" x14ac:dyDescent="0.3">
      <c r="A111" s="1" t="s">
        <v>137</v>
      </c>
      <c r="B111" s="1" t="s">
        <v>19</v>
      </c>
      <c r="C111" s="1" t="s">
        <v>22</v>
      </c>
      <c r="D111" s="1" t="str">
        <f>IF(Data[[#This Row],[Cancellation Status]]="No", "High Potential", "Normal")</f>
        <v>Normal</v>
      </c>
      <c r="E111" s="2">
        <v>45942</v>
      </c>
      <c r="I111" s="1" t="s">
        <v>23</v>
      </c>
      <c r="J111" s="1" t="s">
        <v>101</v>
      </c>
      <c r="L111" s="88" t="str">
        <f>IF(OR(Data[[#This Row],[Service Follow-up Date]]="",Data[[#This Row],[Delivery Date]]=""),"",INT(Data[[#This Row],[Service Follow-up Date]]-Data[[#This Row],[Delivery Date]]))</f>
        <v/>
      </c>
      <c r="Q111" t="str">
        <f>IF(ISBLANK(Data[[#This Row],[Customer Rating]]),"No Rating",IF(Data[[#This Row],[Customer Rating]]&gt;=9,"Promoter",IF(Data[[#This Row],[Customer Rating]]&gt;=7,"Passive","Detractor")))</f>
        <v>No Rating</v>
      </c>
    </row>
    <row r="112" spans="1:17" ht="14.25" customHeight="1" x14ac:dyDescent="0.3">
      <c r="A112" s="1" t="s">
        <v>138</v>
      </c>
      <c r="B112" s="1" t="s">
        <v>21</v>
      </c>
      <c r="C112" s="1" t="s">
        <v>22</v>
      </c>
      <c r="D112" s="1" t="str">
        <f>IF(Data[[#This Row],[Cancellation Status]]="No", "High Potential", "Normal")</f>
        <v>Normal</v>
      </c>
      <c r="E112" s="2">
        <v>45953</v>
      </c>
      <c r="I112" s="1" t="s">
        <v>23</v>
      </c>
      <c r="J112" s="1" t="s">
        <v>63</v>
      </c>
      <c r="L112" s="88" t="str">
        <f>IF(OR(Data[[#This Row],[Service Follow-up Date]]="",Data[[#This Row],[Delivery Date]]=""),"",INT(Data[[#This Row],[Service Follow-up Date]]-Data[[#This Row],[Delivery Date]]))</f>
        <v/>
      </c>
      <c r="Q112" t="str">
        <f>IF(ISBLANK(Data[[#This Row],[Customer Rating]]),"No Rating",IF(Data[[#This Row],[Customer Rating]]&gt;=9,"Promoter",IF(Data[[#This Row],[Customer Rating]]&gt;=7,"Passive","Detractor")))</f>
        <v>No Rating</v>
      </c>
    </row>
    <row r="113" spans="1:17" ht="14.25" customHeight="1" x14ac:dyDescent="0.3">
      <c r="A113" s="1" t="s">
        <v>139</v>
      </c>
      <c r="B113" s="1" t="s">
        <v>21</v>
      </c>
      <c r="C113" s="1" t="s">
        <v>16</v>
      </c>
      <c r="D113" s="1" t="str">
        <f>IF(Data[[#This Row],[Cancellation Status]]="No", "High Potential", "Normal")</f>
        <v>High Potential</v>
      </c>
      <c r="E113" s="2">
        <v>45945</v>
      </c>
      <c r="F113" s="2">
        <v>45946</v>
      </c>
      <c r="G113" s="2">
        <v>45947</v>
      </c>
      <c r="H113" s="2">
        <v>45951</v>
      </c>
      <c r="I113" s="1" t="s">
        <v>17</v>
      </c>
      <c r="K113" s="2">
        <v>45963</v>
      </c>
      <c r="L113" s="88">
        <f>IF(OR(Data[[#This Row],[Service Follow-up Date]]="",Data[[#This Row],[Delivery Date]]=""),"",INT(Data[[#This Row],[Service Follow-up Date]]-Data[[#This Row],[Delivery Date]]))</f>
        <v>12</v>
      </c>
      <c r="M113" s="1">
        <v>1</v>
      </c>
      <c r="N113" s="1">
        <v>1</v>
      </c>
      <c r="O113" s="1">
        <v>4</v>
      </c>
      <c r="P113" s="1">
        <v>2</v>
      </c>
      <c r="Q113" t="str">
        <f>IF(ISBLANK(Data[[#This Row],[Customer Rating]]),"No Rating",IF(Data[[#This Row],[Customer Rating]]&gt;=9,"Promoter",IF(Data[[#This Row],[Customer Rating]]&gt;=7,"Passive","Detractor")))</f>
        <v>Detractor</v>
      </c>
    </row>
    <row r="114" spans="1:17" ht="14.25" customHeight="1" x14ac:dyDescent="0.3">
      <c r="A114" s="1" t="s">
        <v>140</v>
      </c>
      <c r="B114" s="1" t="s">
        <v>21</v>
      </c>
      <c r="C114" s="1" t="s">
        <v>16</v>
      </c>
      <c r="D114" s="1" t="str">
        <f>IF(Data[[#This Row],[Cancellation Status]]="No", "High Potential", "Normal")</f>
        <v>Normal</v>
      </c>
      <c r="E114" s="2">
        <v>45939</v>
      </c>
      <c r="F114" s="2">
        <v>45941</v>
      </c>
      <c r="G114" s="2">
        <v>45944</v>
      </c>
      <c r="H114" s="2">
        <v>45949</v>
      </c>
      <c r="I114" s="1" t="s">
        <v>23</v>
      </c>
      <c r="J114" s="1" t="s">
        <v>33</v>
      </c>
      <c r="L114" s="88" t="str">
        <f>IF(OR(Data[[#This Row],[Service Follow-up Date]]="",Data[[#This Row],[Delivery Date]]=""),"",INT(Data[[#This Row],[Service Follow-up Date]]-Data[[#This Row],[Delivery Date]]))</f>
        <v/>
      </c>
      <c r="M114" s="1">
        <v>2</v>
      </c>
      <c r="N114" s="1">
        <v>3</v>
      </c>
      <c r="O114" s="1">
        <v>5</v>
      </c>
      <c r="Q114" t="str">
        <f>IF(ISBLANK(Data[[#This Row],[Customer Rating]]),"No Rating",IF(Data[[#This Row],[Customer Rating]]&gt;=9,"Promoter",IF(Data[[#This Row],[Customer Rating]]&gt;=7,"Passive","Detractor")))</f>
        <v>No Rating</v>
      </c>
    </row>
    <row r="115" spans="1:17" ht="14.25" customHeight="1" x14ac:dyDescent="0.3">
      <c r="A115" s="1" t="s">
        <v>141</v>
      </c>
      <c r="B115" s="1" t="s">
        <v>19</v>
      </c>
      <c r="C115" s="1" t="s">
        <v>30</v>
      </c>
      <c r="D115" s="1" t="str">
        <f>IF(Data[[#This Row],[Cancellation Status]]="No", "High Potential", "Normal")</f>
        <v>High Potential</v>
      </c>
      <c r="E115" s="2">
        <v>45940</v>
      </c>
      <c r="F115" s="2">
        <v>45942</v>
      </c>
      <c r="G115" s="2">
        <v>45946</v>
      </c>
      <c r="H115" s="2">
        <v>45952</v>
      </c>
      <c r="I115" s="1" t="s">
        <v>17</v>
      </c>
      <c r="K115" s="2">
        <v>45982</v>
      </c>
      <c r="L115" s="88">
        <f>IF(OR(Data[[#This Row],[Service Follow-up Date]]="",Data[[#This Row],[Delivery Date]]=""),"",INT(Data[[#This Row],[Service Follow-up Date]]-Data[[#This Row],[Delivery Date]]))</f>
        <v>30</v>
      </c>
      <c r="M115" s="1">
        <v>2</v>
      </c>
      <c r="N115" s="1">
        <v>4</v>
      </c>
      <c r="O115" s="1">
        <v>6</v>
      </c>
      <c r="P115" s="1">
        <v>6</v>
      </c>
      <c r="Q115" t="str">
        <f>IF(ISBLANK(Data[[#This Row],[Customer Rating]]),"No Rating",IF(Data[[#This Row],[Customer Rating]]&gt;=9,"Promoter",IF(Data[[#This Row],[Customer Rating]]&gt;=7,"Passive","Detractor")))</f>
        <v>Detractor</v>
      </c>
    </row>
    <row r="116" spans="1:17" ht="14.25" customHeight="1" x14ac:dyDescent="0.3">
      <c r="A116" s="1" t="s">
        <v>142</v>
      </c>
      <c r="B116" s="1" t="s">
        <v>32</v>
      </c>
      <c r="C116" s="1" t="s">
        <v>16</v>
      </c>
      <c r="D116" s="1" t="str">
        <f>IF(Data[[#This Row],[Cancellation Status]]="No", "High Potential", "Normal")</f>
        <v>High Potential</v>
      </c>
      <c r="E116" s="2">
        <v>45939</v>
      </c>
      <c r="F116" s="2">
        <v>45944</v>
      </c>
      <c r="G116" s="2">
        <v>45947</v>
      </c>
      <c r="H116" s="2">
        <v>45949</v>
      </c>
      <c r="I116" s="1" t="s">
        <v>17</v>
      </c>
      <c r="K116" s="2">
        <v>45969</v>
      </c>
      <c r="L116" s="88">
        <f>IF(OR(Data[[#This Row],[Service Follow-up Date]]="",Data[[#This Row],[Delivery Date]]=""),"",INT(Data[[#This Row],[Service Follow-up Date]]-Data[[#This Row],[Delivery Date]]))</f>
        <v>20</v>
      </c>
      <c r="M116" s="1">
        <v>5</v>
      </c>
      <c r="N116" s="1">
        <v>3</v>
      </c>
      <c r="O116" s="1">
        <v>2</v>
      </c>
      <c r="P116" s="1">
        <v>10</v>
      </c>
      <c r="Q116" t="str">
        <f>IF(ISBLANK(Data[[#This Row],[Customer Rating]]),"No Rating",IF(Data[[#This Row],[Customer Rating]]&gt;=9,"Promoter",IF(Data[[#This Row],[Customer Rating]]&gt;=7,"Passive","Detractor")))</f>
        <v>Promoter</v>
      </c>
    </row>
    <row r="117" spans="1:17" ht="14.25" customHeight="1" x14ac:dyDescent="0.3">
      <c r="A117" s="1" t="s">
        <v>143</v>
      </c>
      <c r="B117" s="1" t="s">
        <v>32</v>
      </c>
      <c r="C117" s="1" t="s">
        <v>30</v>
      </c>
      <c r="D117" s="1" t="str">
        <f>IF(Data[[#This Row],[Cancellation Status]]="No", "High Potential", "Normal")</f>
        <v>High Potential</v>
      </c>
      <c r="E117" s="2">
        <v>45938</v>
      </c>
      <c r="F117" s="2">
        <v>45939</v>
      </c>
      <c r="G117" s="2">
        <v>45943</v>
      </c>
      <c r="H117" s="2">
        <v>45947</v>
      </c>
      <c r="I117" s="1" t="s">
        <v>17</v>
      </c>
      <c r="K117" s="2">
        <v>45971</v>
      </c>
      <c r="L117" s="88">
        <f>IF(OR(Data[[#This Row],[Service Follow-up Date]]="",Data[[#This Row],[Delivery Date]]=""),"",INT(Data[[#This Row],[Service Follow-up Date]]-Data[[#This Row],[Delivery Date]]))</f>
        <v>24</v>
      </c>
      <c r="M117" s="1">
        <v>1</v>
      </c>
      <c r="N117" s="1">
        <v>4</v>
      </c>
      <c r="O117" s="1">
        <v>4</v>
      </c>
      <c r="P117" s="1">
        <v>8</v>
      </c>
      <c r="Q117" t="str">
        <f>IF(ISBLANK(Data[[#This Row],[Customer Rating]]),"No Rating",IF(Data[[#This Row],[Customer Rating]]&gt;=9,"Promoter",IF(Data[[#This Row],[Customer Rating]]&gt;=7,"Passive","Detractor")))</f>
        <v>Passive</v>
      </c>
    </row>
    <row r="118" spans="1:17" ht="14.25" customHeight="1" x14ac:dyDescent="0.3">
      <c r="A118" s="1" t="s">
        <v>144</v>
      </c>
      <c r="B118" s="1" t="s">
        <v>19</v>
      </c>
      <c r="C118" s="1" t="s">
        <v>22</v>
      </c>
      <c r="D118" s="1" t="str">
        <f>IF(Data[[#This Row],[Cancellation Status]]="No", "High Potential", "Normal")</f>
        <v>Normal</v>
      </c>
      <c r="E118" s="2">
        <v>45934</v>
      </c>
      <c r="I118" s="1" t="s">
        <v>23</v>
      </c>
      <c r="J118" s="1" t="s">
        <v>33</v>
      </c>
      <c r="L118" s="88" t="str">
        <f>IF(OR(Data[[#This Row],[Service Follow-up Date]]="",Data[[#This Row],[Delivery Date]]=""),"",INT(Data[[#This Row],[Service Follow-up Date]]-Data[[#This Row],[Delivery Date]]))</f>
        <v/>
      </c>
      <c r="Q118" t="str">
        <f>IF(ISBLANK(Data[[#This Row],[Customer Rating]]),"No Rating",IF(Data[[#This Row],[Customer Rating]]&gt;=9,"Promoter",IF(Data[[#This Row],[Customer Rating]]&gt;=7,"Passive","Detractor")))</f>
        <v>No Rating</v>
      </c>
    </row>
    <row r="119" spans="1:17" ht="14.25" customHeight="1" x14ac:dyDescent="0.3">
      <c r="A119" s="1" t="s">
        <v>145</v>
      </c>
      <c r="B119" s="1" t="s">
        <v>19</v>
      </c>
      <c r="C119" s="1" t="s">
        <v>30</v>
      </c>
      <c r="D119" s="1" t="str">
        <f>IF(Data[[#This Row],[Cancellation Status]]="No", "High Potential", "Normal")</f>
        <v>High Potential</v>
      </c>
      <c r="E119" s="2">
        <v>45954</v>
      </c>
      <c r="F119" s="2">
        <v>45955</v>
      </c>
      <c r="G119" s="2">
        <v>45957</v>
      </c>
      <c r="H119" s="2">
        <v>45959</v>
      </c>
      <c r="I119" s="1" t="s">
        <v>17</v>
      </c>
      <c r="K119" s="2">
        <v>45969</v>
      </c>
      <c r="L119" s="88">
        <f>IF(OR(Data[[#This Row],[Service Follow-up Date]]="",Data[[#This Row],[Delivery Date]]=""),"",INT(Data[[#This Row],[Service Follow-up Date]]-Data[[#This Row],[Delivery Date]]))</f>
        <v>10</v>
      </c>
      <c r="M119" s="1">
        <v>1</v>
      </c>
      <c r="N119" s="1">
        <v>2</v>
      </c>
      <c r="O119" s="1">
        <v>2</v>
      </c>
      <c r="P119" s="1">
        <v>1</v>
      </c>
      <c r="Q119" t="str">
        <f>IF(ISBLANK(Data[[#This Row],[Customer Rating]]),"No Rating",IF(Data[[#This Row],[Customer Rating]]&gt;=9,"Promoter",IF(Data[[#This Row],[Customer Rating]]&gt;=7,"Passive","Detractor")))</f>
        <v>Detractor</v>
      </c>
    </row>
    <row r="120" spans="1:17" ht="14.25" customHeight="1" x14ac:dyDescent="0.3">
      <c r="A120" s="1" t="s">
        <v>146</v>
      </c>
      <c r="B120" s="1" t="s">
        <v>19</v>
      </c>
      <c r="C120" s="1" t="s">
        <v>16</v>
      </c>
      <c r="D120" s="1" t="str">
        <f>IF(Data[[#This Row],[Cancellation Status]]="No", "High Potential", "Normal")</f>
        <v>High Potential</v>
      </c>
      <c r="E120" s="2">
        <v>45937</v>
      </c>
      <c r="F120" s="2">
        <v>45940</v>
      </c>
      <c r="G120" s="2">
        <v>45942</v>
      </c>
      <c r="H120" s="2">
        <v>45947</v>
      </c>
      <c r="I120" s="1" t="s">
        <v>17</v>
      </c>
      <c r="K120" s="2">
        <v>45965</v>
      </c>
      <c r="L120" s="88">
        <f>IF(OR(Data[[#This Row],[Service Follow-up Date]]="",Data[[#This Row],[Delivery Date]]=""),"",INT(Data[[#This Row],[Service Follow-up Date]]-Data[[#This Row],[Delivery Date]]))</f>
        <v>18</v>
      </c>
      <c r="M120" s="1">
        <v>3</v>
      </c>
      <c r="N120" s="1">
        <v>2</v>
      </c>
      <c r="O120" s="1">
        <v>5</v>
      </c>
      <c r="P120" s="1">
        <v>5</v>
      </c>
      <c r="Q120" t="str">
        <f>IF(ISBLANK(Data[[#This Row],[Customer Rating]]),"No Rating",IF(Data[[#This Row],[Customer Rating]]&gt;=9,"Promoter",IF(Data[[#This Row],[Customer Rating]]&gt;=7,"Passive","Detractor")))</f>
        <v>Detractor</v>
      </c>
    </row>
    <row r="121" spans="1:17" ht="14.25" customHeight="1" x14ac:dyDescent="0.3">
      <c r="A121" s="1" t="s">
        <v>147</v>
      </c>
      <c r="B121" s="1" t="s">
        <v>19</v>
      </c>
      <c r="C121" s="1" t="s">
        <v>22</v>
      </c>
      <c r="D121" s="1" t="str">
        <f>IF(Data[[#This Row],[Cancellation Status]]="No", "High Potential", "Normal")</f>
        <v>Normal</v>
      </c>
      <c r="E121" s="2">
        <v>45941</v>
      </c>
      <c r="I121" s="1" t="s">
        <v>23</v>
      </c>
      <c r="J121" s="1" t="s">
        <v>24</v>
      </c>
      <c r="L121" s="88" t="str">
        <f>IF(OR(Data[[#This Row],[Service Follow-up Date]]="",Data[[#This Row],[Delivery Date]]=""),"",INT(Data[[#This Row],[Service Follow-up Date]]-Data[[#This Row],[Delivery Date]]))</f>
        <v/>
      </c>
      <c r="Q121" t="str">
        <f>IF(ISBLANK(Data[[#This Row],[Customer Rating]]),"No Rating",IF(Data[[#This Row],[Customer Rating]]&gt;=9,"Promoter",IF(Data[[#This Row],[Customer Rating]]&gt;=7,"Passive","Detractor")))</f>
        <v>No Rating</v>
      </c>
    </row>
    <row r="122" spans="1:17" ht="14.25" customHeight="1" x14ac:dyDescent="0.3">
      <c r="A122" s="1" t="s">
        <v>148</v>
      </c>
      <c r="B122" s="1" t="s">
        <v>19</v>
      </c>
      <c r="C122" s="1" t="s">
        <v>16</v>
      </c>
      <c r="D122" s="1" t="str">
        <f>IF(Data[[#This Row],[Cancellation Status]]="No", "High Potential", "Normal")</f>
        <v>High Potential</v>
      </c>
      <c r="E122" s="2">
        <v>45934</v>
      </c>
      <c r="F122" s="2">
        <v>45938</v>
      </c>
      <c r="G122" s="2">
        <v>45943</v>
      </c>
      <c r="H122" s="2">
        <v>45946</v>
      </c>
      <c r="I122" s="1" t="s">
        <v>17</v>
      </c>
      <c r="K122" s="2">
        <v>45962</v>
      </c>
      <c r="L122" s="88">
        <f>IF(OR(Data[[#This Row],[Service Follow-up Date]]="",Data[[#This Row],[Delivery Date]]=""),"",INT(Data[[#This Row],[Service Follow-up Date]]-Data[[#This Row],[Delivery Date]]))</f>
        <v>16</v>
      </c>
      <c r="M122" s="1">
        <v>4</v>
      </c>
      <c r="N122" s="1">
        <v>5</v>
      </c>
      <c r="O122" s="1">
        <v>3</v>
      </c>
      <c r="P122" s="1">
        <v>1</v>
      </c>
      <c r="Q122" t="str">
        <f>IF(ISBLANK(Data[[#This Row],[Customer Rating]]),"No Rating",IF(Data[[#This Row],[Customer Rating]]&gt;=9,"Promoter",IF(Data[[#This Row],[Customer Rating]]&gt;=7,"Passive","Detractor")))</f>
        <v>Detractor</v>
      </c>
    </row>
    <row r="123" spans="1:17" ht="14.25" customHeight="1" x14ac:dyDescent="0.3">
      <c r="A123" s="1" t="s">
        <v>149</v>
      </c>
      <c r="B123" s="1" t="s">
        <v>19</v>
      </c>
      <c r="C123" s="1" t="s">
        <v>30</v>
      </c>
      <c r="D123" s="1" t="str">
        <f>IF(Data[[#This Row],[Cancellation Status]]="No", "High Potential", "Normal")</f>
        <v>High Potential</v>
      </c>
      <c r="E123" s="2">
        <v>45954</v>
      </c>
      <c r="F123" s="2">
        <v>45958</v>
      </c>
      <c r="G123" s="2">
        <v>45961</v>
      </c>
      <c r="H123" s="2">
        <v>45964</v>
      </c>
      <c r="I123" s="1" t="s">
        <v>17</v>
      </c>
      <c r="K123" s="2">
        <v>45981</v>
      </c>
      <c r="L123" s="88">
        <f>IF(OR(Data[[#This Row],[Service Follow-up Date]]="",Data[[#This Row],[Delivery Date]]=""),"",INT(Data[[#This Row],[Service Follow-up Date]]-Data[[#This Row],[Delivery Date]]))</f>
        <v>17</v>
      </c>
      <c r="M123" s="1">
        <v>4</v>
      </c>
      <c r="N123" s="1">
        <v>3</v>
      </c>
      <c r="O123" s="1">
        <v>3</v>
      </c>
      <c r="P123" s="1">
        <v>2</v>
      </c>
      <c r="Q123" t="str">
        <f>IF(ISBLANK(Data[[#This Row],[Customer Rating]]),"No Rating",IF(Data[[#This Row],[Customer Rating]]&gt;=9,"Promoter",IF(Data[[#This Row],[Customer Rating]]&gt;=7,"Passive","Detractor")))</f>
        <v>Detractor</v>
      </c>
    </row>
    <row r="124" spans="1:17" ht="14.25" customHeight="1" x14ac:dyDescent="0.3">
      <c r="A124" s="1" t="s">
        <v>150</v>
      </c>
      <c r="B124" s="1" t="s">
        <v>21</v>
      </c>
      <c r="C124" s="1" t="s">
        <v>30</v>
      </c>
      <c r="D124" s="1" t="str">
        <f>IF(Data[[#This Row],[Cancellation Status]]="No", "High Potential", "Normal")</f>
        <v>High Potential</v>
      </c>
      <c r="E124" s="2">
        <v>45948</v>
      </c>
      <c r="F124" s="2">
        <v>45952</v>
      </c>
      <c r="G124" s="2">
        <v>45957</v>
      </c>
      <c r="H124" s="2">
        <v>45962</v>
      </c>
      <c r="I124" s="1" t="s">
        <v>17</v>
      </c>
      <c r="K124" s="2">
        <v>45974</v>
      </c>
      <c r="L124" s="88">
        <f>IF(OR(Data[[#This Row],[Service Follow-up Date]]="",Data[[#This Row],[Delivery Date]]=""),"",INT(Data[[#This Row],[Service Follow-up Date]]-Data[[#This Row],[Delivery Date]]))</f>
        <v>12</v>
      </c>
      <c r="M124" s="1">
        <v>4</v>
      </c>
      <c r="N124" s="1">
        <v>5</v>
      </c>
      <c r="O124" s="1">
        <v>5</v>
      </c>
      <c r="P124" s="1">
        <v>6</v>
      </c>
      <c r="Q124" t="str">
        <f>IF(ISBLANK(Data[[#This Row],[Customer Rating]]),"No Rating",IF(Data[[#This Row],[Customer Rating]]&gt;=9,"Promoter",IF(Data[[#This Row],[Customer Rating]]&gt;=7,"Passive","Detractor")))</f>
        <v>Detractor</v>
      </c>
    </row>
    <row r="125" spans="1:17" ht="14.25" customHeight="1" x14ac:dyDescent="0.3">
      <c r="A125" s="1" t="s">
        <v>151</v>
      </c>
      <c r="B125" s="1" t="s">
        <v>21</v>
      </c>
      <c r="C125" s="1" t="s">
        <v>30</v>
      </c>
      <c r="D125" s="1" t="str">
        <f>IF(Data[[#This Row],[Cancellation Status]]="No", "High Potential", "Normal")</f>
        <v>High Potential</v>
      </c>
      <c r="E125" s="2">
        <v>45961</v>
      </c>
      <c r="F125" s="2">
        <v>45966</v>
      </c>
      <c r="G125" s="2">
        <v>45969</v>
      </c>
      <c r="H125" s="2">
        <v>45975</v>
      </c>
      <c r="I125" s="1" t="s">
        <v>17</v>
      </c>
      <c r="K125" s="2">
        <v>45996</v>
      </c>
      <c r="L125" s="88">
        <f>IF(OR(Data[[#This Row],[Service Follow-up Date]]="",Data[[#This Row],[Delivery Date]]=""),"",INT(Data[[#This Row],[Service Follow-up Date]]-Data[[#This Row],[Delivery Date]]))</f>
        <v>21</v>
      </c>
      <c r="M125" s="1">
        <v>5</v>
      </c>
      <c r="N125" s="1">
        <v>3</v>
      </c>
      <c r="O125" s="1">
        <v>6</v>
      </c>
      <c r="P125" s="1">
        <v>5</v>
      </c>
      <c r="Q125" t="str">
        <f>IF(ISBLANK(Data[[#This Row],[Customer Rating]]),"No Rating",IF(Data[[#This Row],[Customer Rating]]&gt;=9,"Promoter",IF(Data[[#This Row],[Customer Rating]]&gt;=7,"Passive","Detractor")))</f>
        <v>Detractor</v>
      </c>
    </row>
    <row r="126" spans="1:17" ht="14.25" customHeight="1" x14ac:dyDescent="0.3">
      <c r="A126" s="1" t="s">
        <v>152</v>
      </c>
      <c r="B126" s="1" t="s">
        <v>21</v>
      </c>
      <c r="C126" s="1" t="s">
        <v>16</v>
      </c>
      <c r="D126" s="1" t="str">
        <f>IF(Data[[#This Row],[Cancellation Status]]="No", "High Potential", "Normal")</f>
        <v>High Potential</v>
      </c>
      <c r="E126" s="2">
        <v>45955</v>
      </c>
      <c r="F126" s="2">
        <v>45959</v>
      </c>
      <c r="G126" s="2">
        <v>45961</v>
      </c>
      <c r="H126" s="2">
        <v>45967</v>
      </c>
      <c r="I126" s="1" t="s">
        <v>17</v>
      </c>
      <c r="K126" s="2">
        <v>45985</v>
      </c>
      <c r="L126" s="88">
        <f>IF(OR(Data[[#This Row],[Service Follow-up Date]]="",Data[[#This Row],[Delivery Date]]=""),"",INT(Data[[#This Row],[Service Follow-up Date]]-Data[[#This Row],[Delivery Date]]))</f>
        <v>18</v>
      </c>
      <c r="M126" s="1">
        <v>4</v>
      </c>
      <c r="N126" s="1">
        <v>2</v>
      </c>
      <c r="O126" s="1">
        <v>6</v>
      </c>
      <c r="P126" s="1">
        <v>4</v>
      </c>
      <c r="Q126" t="str">
        <f>IF(ISBLANK(Data[[#This Row],[Customer Rating]]),"No Rating",IF(Data[[#This Row],[Customer Rating]]&gt;=9,"Promoter",IF(Data[[#This Row],[Customer Rating]]&gt;=7,"Passive","Detractor")))</f>
        <v>Detractor</v>
      </c>
    </row>
    <row r="127" spans="1:17" ht="14.25" customHeight="1" x14ac:dyDescent="0.3">
      <c r="A127" s="1" t="s">
        <v>153</v>
      </c>
      <c r="B127" s="1" t="s">
        <v>21</v>
      </c>
      <c r="C127" s="1" t="s">
        <v>30</v>
      </c>
      <c r="D127" s="1" t="str">
        <f>IF(Data[[#This Row],[Cancellation Status]]="No", "High Potential", "Normal")</f>
        <v>High Potential</v>
      </c>
      <c r="E127" s="2">
        <v>45953</v>
      </c>
      <c r="F127" s="2">
        <v>45957</v>
      </c>
      <c r="G127" s="2">
        <v>45958</v>
      </c>
      <c r="H127" s="2">
        <v>45965</v>
      </c>
      <c r="I127" s="1" t="s">
        <v>17</v>
      </c>
      <c r="K127" s="2">
        <v>45978</v>
      </c>
      <c r="L127" s="88">
        <f>IF(OR(Data[[#This Row],[Service Follow-up Date]]="",Data[[#This Row],[Delivery Date]]=""),"",INT(Data[[#This Row],[Service Follow-up Date]]-Data[[#This Row],[Delivery Date]]))</f>
        <v>13</v>
      </c>
      <c r="M127" s="1">
        <v>4</v>
      </c>
      <c r="N127" s="1">
        <v>1</v>
      </c>
      <c r="O127" s="1">
        <v>7</v>
      </c>
      <c r="P127" s="1">
        <v>0</v>
      </c>
      <c r="Q127" t="str">
        <f>IF(ISBLANK(Data[[#This Row],[Customer Rating]]),"No Rating",IF(Data[[#This Row],[Customer Rating]]&gt;=9,"Promoter",IF(Data[[#This Row],[Customer Rating]]&gt;=7,"Passive","Detractor")))</f>
        <v>Detractor</v>
      </c>
    </row>
    <row r="128" spans="1:17" ht="14.25" customHeight="1" x14ac:dyDescent="0.3">
      <c r="A128" s="1" t="s">
        <v>154</v>
      </c>
      <c r="B128" s="1" t="s">
        <v>19</v>
      </c>
      <c r="C128" s="1" t="s">
        <v>16</v>
      </c>
      <c r="D128" s="1" t="str">
        <f>IF(Data[[#This Row],[Cancellation Status]]="No", "High Potential", "Normal")</f>
        <v>High Potential</v>
      </c>
      <c r="E128" s="2">
        <v>45936</v>
      </c>
      <c r="F128" s="2">
        <v>45939</v>
      </c>
      <c r="G128" s="2">
        <v>45944</v>
      </c>
      <c r="H128" s="2">
        <v>45949</v>
      </c>
      <c r="I128" s="1" t="s">
        <v>17</v>
      </c>
      <c r="K128" s="2">
        <v>45959</v>
      </c>
      <c r="L128" s="88">
        <f>IF(OR(Data[[#This Row],[Service Follow-up Date]]="",Data[[#This Row],[Delivery Date]]=""),"",INT(Data[[#This Row],[Service Follow-up Date]]-Data[[#This Row],[Delivery Date]]))</f>
        <v>10</v>
      </c>
      <c r="M128" s="1">
        <v>3</v>
      </c>
      <c r="N128" s="1">
        <v>5</v>
      </c>
      <c r="O128" s="1">
        <v>5</v>
      </c>
      <c r="P128" s="1">
        <v>4</v>
      </c>
      <c r="Q128" t="str">
        <f>IF(ISBLANK(Data[[#This Row],[Customer Rating]]),"No Rating",IF(Data[[#This Row],[Customer Rating]]&gt;=9,"Promoter",IF(Data[[#This Row],[Customer Rating]]&gt;=7,"Passive","Detractor")))</f>
        <v>Detractor</v>
      </c>
    </row>
    <row r="129" spans="1:17" ht="14.25" customHeight="1" x14ac:dyDescent="0.3">
      <c r="A129" s="1" t="s">
        <v>155</v>
      </c>
      <c r="B129" s="1" t="s">
        <v>32</v>
      </c>
      <c r="C129" s="1" t="s">
        <v>22</v>
      </c>
      <c r="D129" s="1" t="str">
        <f>IF(Data[[#This Row],[Cancellation Status]]="No", "High Potential", "Normal")</f>
        <v>Normal</v>
      </c>
      <c r="E129" s="2">
        <v>45937</v>
      </c>
      <c r="I129" s="1" t="s">
        <v>23</v>
      </c>
      <c r="J129" s="1" t="s">
        <v>63</v>
      </c>
      <c r="L129" s="88" t="str">
        <f>IF(OR(Data[[#This Row],[Service Follow-up Date]]="",Data[[#This Row],[Delivery Date]]=""),"",INT(Data[[#This Row],[Service Follow-up Date]]-Data[[#This Row],[Delivery Date]]))</f>
        <v/>
      </c>
      <c r="Q129" t="str">
        <f>IF(ISBLANK(Data[[#This Row],[Customer Rating]]),"No Rating",IF(Data[[#This Row],[Customer Rating]]&gt;=9,"Promoter",IF(Data[[#This Row],[Customer Rating]]&gt;=7,"Passive","Detractor")))</f>
        <v>No Rating</v>
      </c>
    </row>
    <row r="130" spans="1:17" ht="14.25" customHeight="1" x14ac:dyDescent="0.3">
      <c r="A130" s="1" t="s">
        <v>156</v>
      </c>
      <c r="B130" s="1" t="s">
        <v>15</v>
      </c>
      <c r="C130" s="1" t="s">
        <v>30</v>
      </c>
      <c r="D130" s="1" t="str">
        <f>IF(Data[[#This Row],[Cancellation Status]]="No", "High Potential", "Normal")</f>
        <v>High Potential</v>
      </c>
      <c r="E130" s="2">
        <v>45937</v>
      </c>
      <c r="F130" s="2">
        <v>45939</v>
      </c>
      <c r="G130" s="2">
        <v>45944</v>
      </c>
      <c r="H130" s="2">
        <v>45949</v>
      </c>
      <c r="I130" s="1" t="s">
        <v>17</v>
      </c>
      <c r="K130" s="2">
        <v>45960</v>
      </c>
      <c r="L130" s="88">
        <f>IF(OR(Data[[#This Row],[Service Follow-up Date]]="",Data[[#This Row],[Delivery Date]]=""),"",INT(Data[[#This Row],[Service Follow-up Date]]-Data[[#This Row],[Delivery Date]]))</f>
        <v>11</v>
      </c>
      <c r="M130" s="1">
        <v>2</v>
      </c>
      <c r="N130" s="1">
        <v>5</v>
      </c>
      <c r="O130" s="1">
        <v>5</v>
      </c>
      <c r="P130" s="1">
        <v>4</v>
      </c>
      <c r="Q130" t="str">
        <f>IF(ISBLANK(Data[[#This Row],[Customer Rating]]),"No Rating",IF(Data[[#This Row],[Customer Rating]]&gt;=9,"Promoter",IF(Data[[#This Row],[Customer Rating]]&gt;=7,"Passive","Detractor")))</f>
        <v>Detractor</v>
      </c>
    </row>
    <row r="131" spans="1:17" ht="14.25" customHeight="1" x14ac:dyDescent="0.3">
      <c r="A131" s="1" t="s">
        <v>157</v>
      </c>
      <c r="B131" s="1" t="s">
        <v>19</v>
      </c>
      <c r="C131" s="1" t="s">
        <v>22</v>
      </c>
      <c r="D131" s="1" t="str">
        <f>IF(Data[[#This Row],[Cancellation Status]]="No", "High Potential", "Normal")</f>
        <v>Normal</v>
      </c>
      <c r="E131" s="2">
        <v>45954</v>
      </c>
      <c r="I131" s="1" t="s">
        <v>23</v>
      </c>
      <c r="J131" s="1" t="s">
        <v>63</v>
      </c>
      <c r="L131" s="88" t="str">
        <f>IF(OR(Data[[#This Row],[Service Follow-up Date]]="",Data[[#This Row],[Delivery Date]]=""),"",INT(Data[[#This Row],[Service Follow-up Date]]-Data[[#This Row],[Delivery Date]]))</f>
        <v/>
      </c>
      <c r="Q131" t="str">
        <f>IF(ISBLANK(Data[[#This Row],[Customer Rating]]),"No Rating",IF(Data[[#This Row],[Customer Rating]]&gt;=9,"Promoter",IF(Data[[#This Row],[Customer Rating]]&gt;=7,"Passive","Detractor")))</f>
        <v>No Rating</v>
      </c>
    </row>
    <row r="132" spans="1:17" ht="14.25" customHeight="1" x14ac:dyDescent="0.3">
      <c r="A132" s="1" t="s">
        <v>158</v>
      </c>
      <c r="B132" s="1" t="s">
        <v>15</v>
      </c>
      <c r="C132" s="1" t="s">
        <v>22</v>
      </c>
      <c r="D132" s="1" t="str">
        <f>IF(Data[[#This Row],[Cancellation Status]]="No", "High Potential", "Normal")</f>
        <v>Normal</v>
      </c>
      <c r="E132" s="2">
        <v>45946</v>
      </c>
      <c r="I132" s="1" t="s">
        <v>23</v>
      </c>
      <c r="J132" s="1" t="s">
        <v>101</v>
      </c>
      <c r="L132" s="88" t="str">
        <f>IF(OR(Data[[#This Row],[Service Follow-up Date]]="",Data[[#This Row],[Delivery Date]]=""),"",INT(Data[[#This Row],[Service Follow-up Date]]-Data[[#This Row],[Delivery Date]]))</f>
        <v/>
      </c>
      <c r="Q132" t="str">
        <f>IF(ISBLANK(Data[[#This Row],[Customer Rating]]),"No Rating",IF(Data[[#This Row],[Customer Rating]]&gt;=9,"Promoter",IF(Data[[#This Row],[Customer Rating]]&gt;=7,"Passive","Detractor")))</f>
        <v>No Rating</v>
      </c>
    </row>
    <row r="133" spans="1:17" ht="14.25" customHeight="1" x14ac:dyDescent="0.3">
      <c r="A133" s="1" t="s">
        <v>159</v>
      </c>
      <c r="B133" s="1" t="s">
        <v>32</v>
      </c>
      <c r="C133" s="1" t="s">
        <v>30</v>
      </c>
      <c r="D133" s="1" t="str">
        <f>IF(Data[[#This Row],[Cancellation Status]]="No", "High Potential", "Normal")</f>
        <v>High Potential</v>
      </c>
      <c r="E133" s="2">
        <v>45939</v>
      </c>
      <c r="F133" s="2">
        <v>45944</v>
      </c>
      <c r="G133" s="2">
        <v>45946</v>
      </c>
      <c r="H133" s="2">
        <v>45953</v>
      </c>
      <c r="I133" s="1" t="s">
        <v>17</v>
      </c>
      <c r="K133" s="2">
        <v>45975</v>
      </c>
      <c r="L133" s="88">
        <f>IF(OR(Data[[#This Row],[Service Follow-up Date]]="",Data[[#This Row],[Delivery Date]]=""),"",INT(Data[[#This Row],[Service Follow-up Date]]-Data[[#This Row],[Delivery Date]]))</f>
        <v>22</v>
      </c>
      <c r="M133" s="1">
        <v>5</v>
      </c>
      <c r="N133" s="1">
        <v>2</v>
      </c>
      <c r="O133" s="1">
        <v>7</v>
      </c>
      <c r="P133" s="1">
        <v>4</v>
      </c>
      <c r="Q133" t="str">
        <f>IF(ISBLANK(Data[[#This Row],[Customer Rating]]),"No Rating",IF(Data[[#This Row],[Customer Rating]]&gt;=9,"Promoter",IF(Data[[#This Row],[Customer Rating]]&gt;=7,"Passive","Detractor")))</f>
        <v>Detractor</v>
      </c>
    </row>
    <row r="134" spans="1:17" ht="14.25" customHeight="1" x14ac:dyDescent="0.3">
      <c r="A134" s="1" t="s">
        <v>160</v>
      </c>
      <c r="B134" s="1" t="s">
        <v>21</v>
      </c>
      <c r="C134" s="1" t="s">
        <v>22</v>
      </c>
      <c r="D134" s="1" t="str">
        <f>IF(Data[[#This Row],[Cancellation Status]]="No", "High Potential", "Normal")</f>
        <v>Normal</v>
      </c>
      <c r="E134" s="2">
        <v>45954</v>
      </c>
      <c r="I134" s="1" t="s">
        <v>23</v>
      </c>
      <c r="J134" s="1" t="s">
        <v>63</v>
      </c>
      <c r="L134" s="88" t="str">
        <f>IF(OR(Data[[#This Row],[Service Follow-up Date]]="",Data[[#This Row],[Delivery Date]]=""),"",INT(Data[[#This Row],[Service Follow-up Date]]-Data[[#This Row],[Delivery Date]]))</f>
        <v/>
      </c>
      <c r="Q134" t="str">
        <f>IF(ISBLANK(Data[[#This Row],[Customer Rating]]),"No Rating",IF(Data[[#This Row],[Customer Rating]]&gt;=9,"Promoter",IF(Data[[#This Row],[Customer Rating]]&gt;=7,"Passive","Detractor")))</f>
        <v>No Rating</v>
      </c>
    </row>
    <row r="135" spans="1:17" ht="14.25" customHeight="1" x14ac:dyDescent="0.3">
      <c r="A135" s="1" t="s">
        <v>161</v>
      </c>
      <c r="B135" s="1" t="s">
        <v>32</v>
      </c>
      <c r="C135" s="1" t="s">
        <v>16</v>
      </c>
      <c r="D135" s="1" t="str">
        <f>IF(Data[[#This Row],[Cancellation Status]]="No", "High Potential", "Normal")</f>
        <v>High Potential</v>
      </c>
      <c r="E135" s="2">
        <v>45949</v>
      </c>
      <c r="F135" s="2">
        <v>45950</v>
      </c>
      <c r="G135" s="2">
        <v>45952</v>
      </c>
      <c r="H135" s="2">
        <v>45957</v>
      </c>
      <c r="I135" s="1" t="s">
        <v>17</v>
      </c>
      <c r="K135" s="2">
        <v>45981</v>
      </c>
      <c r="L135" s="88">
        <f>IF(OR(Data[[#This Row],[Service Follow-up Date]]="",Data[[#This Row],[Delivery Date]]=""),"",INT(Data[[#This Row],[Service Follow-up Date]]-Data[[#This Row],[Delivery Date]]))</f>
        <v>24</v>
      </c>
      <c r="M135" s="1">
        <v>1</v>
      </c>
      <c r="N135" s="1">
        <v>2</v>
      </c>
      <c r="O135" s="1">
        <v>5</v>
      </c>
      <c r="P135" s="1">
        <v>2</v>
      </c>
      <c r="Q135" t="str">
        <f>IF(ISBLANK(Data[[#This Row],[Customer Rating]]),"No Rating",IF(Data[[#This Row],[Customer Rating]]&gt;=9,"Promoter",IF(Data[[#This Row],[Customer Rating]]&gt;=7,"Passive","Detractor")))</f>
        <v>Detractor</v>
      </c>
    </row>
    <row r="136" spans="1:17" ht="14.25" customHeight="1" x14ac:dyDescent="0.3">
      <c r="A136" s="1" t="s">
        <v>162</v>
      </c>
      <c r="B136" s="1" t="s">
        <v>19</v>
      </c>
      <c r="C136" s="1" t="s">
        <v>22</v>
      </c>
      <c r="D136" s="1" t="str">
        <f>IF(Data[[#This Row],[Cancellation Status]]="No", "High Potential", "Normal")</f>
        <v>Normal</v>
      </c>
      <c r="E136" s="2">
        <v>45955</v>
      </c>
      <c r="I136" s="1" t="s">
        <v>23</v>
      </c>
      <c r="J136" s="1" t="s">
        <v>26</v>
      </c>
      <c r="L136" s="88" t="str">
        <f>IF(OR(Data[[#This Row],[Service Follow-up Date]]="",Data[[#This Row],[Delivery Date]]=""),"",INT(Data[[#This Row],[Service Follow-up Date]]-Data[[#This Row],[Delivery Date]]))</f>
        <v/>
      </c>
      <c r="Q136" t="str">
        <f>IF(ISBLANK(Data[[#This Row],[Customer Rating]]),"No Rating",IF(Data[[#This Row],[Customer Rating]]&gt;=9,"Promoter",IF(Data[[#This Row],[Customer Rating]]&gt;=7,"Passive","Detractor")))</f>
        <v>No Rating</v>
      </c>
    </row>
    <row r="137" spans="1:17" ht="14.25" customHeight="1" x14ac:dyDescent="0.3">
      <c r="A137" s="1" t="s">
        <v>163</v>
      </c>
      <c r="B137" s="1" t="s">
        <v>21</v>
      </c>
      <c r="C137" s="1" t="s">
        <v>16</v>
      </c>
      <c r="D137" s="1" t="str">
        <f>IF(Data[[#This Row],[Cancellation Status]]="No", "High Potential", "Normal")</f>
        <v>High Potential</v>
      </c>
      <c r="E137" s="2">
        <v>45947</v>
      </c>
      <c r="F137" s="2">
        <v>45950</v>
      </c>
      <c r="G137" s="2">
        <v>45951</v>
      </c>
      <c r="H137" s="2">
        <v>45956</v>
      </c>
      <c r="I137" s="1" t="s">
        <v>17</v>
      </c>
      <c r="K137" s="2">
        <v>45979</v>
      </c>
      <c r="L137" s="88">
        <f>IF(OR(Data[[#This Row],[Service Follow-up Date]]="",Data[[#This Row],[Delivery Date]]=""),"",INT(Data[[#This Row],[Service Follow-up Date]]-Data[[#This Row],[Delivery Date]]))</f>
        <v>23</v>
      </c>
      <c r="M137" s="1">
        <v>3</v>
      </c>
      <c r="N137" s="1">
        <v>1</v>
      </c>
      <c r="O137" s="1">
        <v>5</v>
      </c>
      <c r="P137" s="1">
        <v>3</v>
      </c>
      <c r="Q137" t="str">
        <f>IF(ISBLANK(Data[[#This Row],[Customer Rating]]),"No Rating",IF(Data[[#This Row],[Customer Rating]]&gt;=9,"Promoter",IF(Data[[#This Row],[Customer Rating]]&gt;=7,"Passive","Detractor")))</f>
        <v>Detractor</v>
      </c>
    </row>
    <row r="138" spans="1:17" ht="14.25" customHeight="1" x14ac:dyDescent="0.3">
      <c r="A138" s="1" t="s">
        <v>164</v>
      </c>
      <c r="B138" s="1" t="s">
        <v>19</v>
      </c>
      <c r="C138" s="1" t="s">
        <v>16</v>
      </c>
      <c r="D138" s="1" t="str">
        <f>IF(Data[[#This Row],[Cancellation Status]]="No", "High Potential", "Normal")</f>
        <v>High Potential</v>
      </c>
      <c r="E138" s="2">
        <v>45950</v>
      </c>
      <c r="F138" s="2">
        <v>45954</v>
      </c>
      <c r="G138" s="2">
        <v>45959</v>
      </c>
      <c r="H138" s="2">
        <v>45966</v>
      </c>
      <c r="I138" s="1" t="s">
        <v>17</v>
      </c>
      <c r="K138" s="2">
        <v>45981</v>
      </c>
      <c r="L138" s="88">
        <f>IF(OR(Data[[#This Row],[Service Follow-up Date]]="",Data[[#This Row],[Delivery Date]]=""),"",INT(Data[[#This Row],[Service Follow-up Date]]-Data[[#This Row],[Delivery Date]]))</f>
        <v>15</v>
      </c>
      <c r="M138" s="1">
        <v>4</v>
      </c>
      <c r="N138" s="1">
        <v>5</v>
      </c>
      <c r="O138" s="1">
        <v>7</v>
      </c>
      <c r="P138" s="1">
        <v>0</v>
      </c>
      <c r="Q138" t="str">
        <f>IF(ISBLANK(Data[[#This Row],[Customer Rating]]),"No Rating",IF(Data[[#This Row],[Customer Rating]]&gt;=9,"Promoter",IF(Data[[#This Row],[Customer Rating]]&gt;=7,"Passive","Detractor")))</f>
        <v>Detractor</v>
      </c>
    </row>
    <row r="139" spans="1:17" ht="14.25" customHeight="1" x14ac:dyDescent="0.3">
      <c r="A139" s="1" t="s">
        <v>165</v>
      </c>
      <c r="B139" s="1" t="s">
        <v>21</v>
      </c>
      <c r="C139" s="1" t="s">
        <v>16</v>
      </c>
      <c r="D139" s="1" t="str">
        <f>IF(Data[[#This Row],[Cancellation Status]]="No", "High Potential", "Normal")</f>
        <v>Normal</v>
      </c>
      <c r="E139" s="2">
        <v>45940</v>
      </c>
      <c r="F139" s="2">
        <v>45941</v>
      </c>
      <c r="G139" s="2">
        <v>45943</v>
      </c>
      <c r="H139" s="2">
        <v>45948</v>
      </c>
      <c r="I139" s="1" t="s">
        <v>23</v>
      </c>
      <c r="J139" s="1" t="s">
        <v>101</v>
      </c>
      <c r="L139" s="88" t="str">
        <f>IF(OR(Data[[#This Row],[Service Follow-up Date]]="",Data[[#This Row],[Delivery Date]]=""),"",INT(Data[[#This Row],[Service Follow-up Date]]-Data[[#This Row],[Delivery Date]]))</f>
        <v/>
      </c>
      <c r="M139" s="1">
        <v>1</v>
      </c>
      <c r="N139" s="1">
        <v>2</v>
      </c>
      <c r="O139" s="1">
        <v>5</v>
      </c>
      <c r="Q139" t="str">
        <f>IF(ISBLANK(Data[[#This Row],[Customer Rating]]),"No Rating",IF(Data[[#This Row],[Customer Rating]]&gt;=9,"Promoter",IF(Data[[#This Row],[Customer Rating]]&gt;=7,"Passive","Detractor")))</f>
        <v>No Rating</v>
      </c>
    </row>
    <row r="140" spans="1:17" ht="14.25" customHeight="1" x14ac:dyDescent="0.3">
      <c r="A140" s="1" t="s">
        <v>166</v>
      </c>
      <c r="B140" s="1" t="s">
        <v>15</v>
      </c>
      <c r="C140" s="1" t="s">
        <v>22</v>
      </c>
      <c r="D140" s="1" t="str">
        <f>IF(Data[[#This Row],[Cancellation Status]]="No", "High Potential", "Normal")</f>
        <v>Normal</v>
      </c>
      <c r="E140" s="2">
        <v>45934</v>
      </c>
      <c r="I140" s="1" t="s">
        <v>23</v>
      </c>
      <c r="J140" s="1" t="s">
        <v>26</v>
      </c>
      <c r="L140" s="88" t="str">
        <f>IF(OR(Data[[#This Row],[Service Follow-up Date]]="",Data[[#This Row],[Delivery Date]]=""),"",INT(Data[[#This Row],[Service Follow-up Date]]-Data[[#This Row],[Delivery Date]]))</f>
        <v/>
      </c>
      <c r="Q140" t="str">
        <f>IF(ISBLANK(Data[[#This Row],[Customer Rating]]),"No Rating",IF(Data[[#This Row],[Customer Rating]]&gt;=9,"Promoter",IF(Data[[#This Row],[Customer Rating]]&gt;=7,"Passive","Detractor")))</f>
        <v>No Rating</v>
      </c>
    </row>
    <row r="141" spans="1:17" ht="14.25" customHeight="1" x14ac:dyDescent="0.3">
      <c r="A141" s="1" t="s">
        <v>167</v>
      </c>
      <c r="B141" s="1" t="s">
        <v>15</v>
      </c>
      <c r="C141" s="1" t="s">
        <v>16</v>
      </c>
      <c r="D141" s="1" t="str">
        <f>IF(Data[[#This Row],[Cancellation Status]]="No", "High Potential", "Normal")</f>
        <v>High Potential</v>
      </c>
      <c r="E141" s="2">
        <v>45957</v>
      </c>
      <c r="F141" s="2">
        <v>45960</v>
      </c>
      <c r="G141" s="2">
        <v>45962</v>
      </c>
      <c r="H141" s="2">
        <v>45967</v>
      </c>
      <c r="I141" s="1" t="s">
        <v>17</v>
      </c>
      <c r="K141" s="2">
        <v>45990</v>
      </c>
      <c r="L141" s="88">
        <f>IF(OR(Data[[#This Row],[Service Follow-up Date]]="",Data[[#This Row],[Delivery Date]]=""),"",INT(Data[[#This Row],[Service Follow-up Date]]-Data[[#This Row],[Delivery Date]]))</f>
        <v>23</v>
      </c>
      <c r="M141" s="1">
        <v>3</v>
      </c>
      <c r="N141" s="1">
        <v>2</v>
      </c>
      <c r="O141" s="1">
        <v>5</v>
      </c>
      <c r="P141" s="1">
        <v>5</v>
      </c>
      <c r="Q141" t="str">
        <f>IF(ISBLANK(Data[[#This Row],[Customer Rating]]),"No Rating",IF(Data[[#This Row],[Customer Rating]]&gt;=9,"Promoter",IF(Data[[#This Row],[Customer Rating]]&gt;=7,"Passive","Detractor")))</f>
        <v>Detractor</v>
      </c>
    </row>
    <row r="142" spans="1:17" ht="14.25" customHeight="1" x14ac:dyDescent="0.3">
      <c r="A142" s="1" t="s">
        <v>168</v>
      </c>
      <c r="B142" s="1" t="s">
        <v>15</v>
      </c>
      <c r="C142" s="1" t="s">
        <v>16</v>
      </c>
      <c r="D142" s="1" t="str">
        <f>IF(Data[[#This Row],[Cancellation Status]]="No", "High Potential", "Normal")</f>
        <v>High Potential</v>
      </c>
      <c r="E142" s="2">
        <v>45937</v>
      </c>
      <c r="F142" s="2">
        <v>45942</v>
      </c>
      <c r="G142" s="2">
        <v>45943</v>
      </c>
      <c r="H142" s="2">
        <v>45946</v>
      </c>
      <c r="I142" s="1" t="s">
        <v>17</v>
      </c>
      <c r="K142" s="2">
        <v>45971</v>
      </c>
      <c r="L142" s="88">
        <f>IF(OR(Data[[#This Row],[Service Follow-up Date]]="",Data[[#This Row],[Delivery Date]]=""),"",INT(Data[[#This Row],[Service Follow-up Date]]-Data[[#This Row],[Delivery Date]]))</f>
        <v>25</v>
      </c>
      <c r="M142" s="1">
        <v>5</v>
      </c>
      <c r="N142" s="1">
        <v>1</v>
      </c>
      <c r="O142" s="1">
        <v>3</v>
      </c>
      <c r="P142" s="1">
        <v>0</v>
      </c>
      <c r="Q142" t="str">
        <f>IF(ISBLANK(Data[[#This Row],[Customer Rating]]),"No Rating",IF(Data[[#This Row],[Customer Rating]]&gt;=9,"Promoter",IF(Data[[#This Row],[Customer Rating]]&gt;=7,"Passive","Detractor")))</f>
        <v>Detractor</v>
      </c>
    </row>
    <row r="143" spans="1:17" ht="14.25" customHeight="1" x14ac:dyDescent="0.3">
      <c r="A143" s="1" t="s">
        <v>169</v>
      </c>
      <c r="B143" s="1" t="s">
        <v>32</v>
      </c>
      <c r="C143" s="1" t="s">
        <v>22</v>
      </c>
      <c r="D143" s="1" t="str">
        <f>IF(Data[[#This Row],[Cancellation Status]]="No", "High Potential", "Normal")</f>
        <v>Normal</v>
      </c>
      <c r="E143" s="2">
        <v>45940</v>
      </c>
      <c r="I143" s="1" t="s">
        <v>23</v>
      </c>
      <c r="J143" s="1" t="s">
        <v>24</v>
      </c>
      <c r="L143" s="88" t="str">
        <f>IF(OR(Data[[#This Row],[Service Follow-up Date]]="",Data[[#This Row],[Delivery Date]]=""),"",INT(Data[[#This Row],[Service Follow-up Date]]-Data[[#This Row],[Delivery Date]]))</f>
        <v/>
      </c>
      <c r="Q143" t="str">
        <f>IF(ISBLANK(Data[[#This Row],[Customer Rating]]),"No Rating",IF(Data[[#This Row],[Customer Rating]]&gt;=9,"Promoter",IF(Data[[#This Row],[Customer Rating]]&gt;=7,"Passive","Detractor")))</f>
        <v>No Rating</v>
      </c>
    </row>
    <row r="144" spans="1:17" ht="14.25" customHeight="1" x14ac:dyDescent="0.3">
      <c r="A144" s="1" t="s">
        <v>170</v>
      </c>
      <c r="B144" s="1" t="s">
        <v>19</v>
      </c>
      <c r="C144" s="1" t="s">
        <v>30</v>
      </c>
      <c r="D144" s="1" t="str">
        <f>IF(Data[[#This Row],[Cancellation Status]]="No", "High Potential", "Normal")</f>
        <v>High Potential</v>
      </c>
      <c r="E144" s="2">
        <v>45938</v>
      </c>
      <c r="F144" s="2">
        <v>45942</v>
      </c>
      <c r="G144" s="2">
        <v>45943</v>
      </c>
      <c r="H144" s="2">
        <v>45945</v>
      </c>
      <c r="I144" s="1" t="s">
        <v>17</v>
      </c>
      <c r="K144" s="2">
        <v>45967</v>
      </c>
      <c r="L144" s="88">
        <f>IF(OR(Data[[#This Row],[Service Follow-up Date]]="",Data[[#This Row],[Delivery Date]]=""),"",INT(Data[[#This Row],[Service Follow-up Date]]-Data[[#This Row],[Delivery Date]]))</f>
        <v>22</v>
      </c>
      <c r="M144" s="1">
        <v>4</v>
      </c>
      <c r="N144" s="1">
        <v>1</v>
      </c>
      <c r="O144" s="1">
        <v>2</v>
      </c>
      <c r="P144" s="1">
        <v>4</v>
      </c>
      <c r="Q144" t="str">
        <f>IF(ISBLANK(Data[[#This Row],[Customer Rating]]),"No Rating",IF(Data[[#This Row],[Customer Rating]]&gt;=9,"Promoter",IF(Data[[#This Row],[Customer Rating]]&gt;=7,"Passive","Detractor")))</f>
        <v>Detractor</v>
      </c>
    </row>
    <row r="145" spans="1:17" ht="14.25" customHeight="1" x14ac:dyDescent="0.3">
      <c r="A145" s="1" t="s">
        <v>171</v>
      </c>
      <c r="B145" s="1" t="s">
        <v>32</v>
      </c>
      <c r="C145" s="1" t="s">
        <v>30</v>
      </c>
      <c r="D145" s="1" t="str">
        <f>IF(Data[[#This Row],[Cancellation Status]]="No", "High Potential", "Normal")</f>
        <v>High Potential</v>
      </c>
      <c r="E145" s="2">
        <v>45942</v>
      </c>
      <c r="F145" s="2">
        <v>45947</v>
      </c>
      <c r="G145" s="2">
        <v>45951</v>
      </c>
      <c r="H145" s="2">
        <v>45957</v>
      </c>
      <c r="I145" s="1" t="s">
        <v>17</v>
      </c>
      <c r="K145" s="2">
        <v>45978</v>
      </c>
      <c r="L145" s="88">
        <f>IF(OR(Data[[#This Row],[Service Follow-up Date]]="",Data[[#This Row],[Delivery Date]]=""),"",INT(Data[[#This Row],[Service Follow-up Date]]-Data[[#This Row],[Delivery Date]]))</f>
        <v>21</v>
      </c>
      <c r="M145" s="1">
        <v>5</v>
      </c>
      <c r="N145" s="1">
        <v>4</v>
      </c>
      <c r="O145" s="1">
        <v>6</v>
      </c>
      <c r="P145" s="1">
        <v>1</v>
      </c>
      <c r="Q145" t="str">
        <f>IF(ISBLANK(Data[[#This Row],[Customer Rating]]),"No Rating",IF(Data[[#This Row],[Customer Rating]]&gt;=9,"Promoter",IF(Data[[#This Row],[Customer Rating]]&gt;=7,"Passive","Detractor")))</f>
        <v>Detractor</v>
      </c>
    </row>
    <row r="146" spans="1:17" ht="14.25" customHeight="1" x14ac:dyDescent="0.3">
      <c r="A146" s="1" t="s">
        <v>172</v>
      </c>
      <c r="B146" s="1" t="s">
        <v>15</v>
      </c>
      <c r="C146" s="1" t="s">
        <v>30</v>
      </c>
      <c r="D146" s="1" t="str">
        <f>IF(Data[[#This Row],[Cancellation Status]]="No", "High Potential", "Normal")</f>
        <v>High Potential</v>
      </c>
      <c r="E146" s="2">
        <v>45936</v>
      </c>
      <c r="F146" s="2">
        <v>45939</v>
      </c>
      <c r="G146" s="2">
        <v>45942</v>
      </c>
      <c r="H146" s="2">
        <v>45944</v>
      </c>
      <c r="I146" s="1" t="s">
        <v>17</v>
      </c>
      <c r="K146" s="2">
        <v>45971</v>
      </c>
      <c r="L146" s="88">
        <f>IF(OR(Data[[#This Row],[Service Follow-up Date]]="",Data[[#This Row],[Delivery Date]]=""),"",INT(Data[[#This Row],[Service Follow-up Date]]-Data[[#This Row],[Delivery Date]]))</f>
        <v>27</v>
      </c>
      <c r="M146" s="1">
        <v>3</v>
      </c>
      <c r="N146" s="1">
        <v>3</v>
      </c>
      <c r="O146" s="1">
        <v>2</v>
      </c>
      <c r="P146" s="1">
        <v>6</v>
      </c>
      <c r="Q146" t="str">
        <f>IF(ISBLANK(Data[[#This Row],[Customer Rating]]),"No Rating",IF(Data[[#This Row],[Customer Rating]]&gt;=9,"Promoter",IF(Data[[#This Row],[Customer Rating]]&gt;=7,"Passive","Detractor")))</f>
        <v>Detractor</v>
      </c>
    </row>
    <row r="147" spans="1:17" ht="14.25" customHeight="1" x14ac:dyDescent="0.3">
      <c r="A147" s="1" t="s">
        <v>173</v>
      </c>
      <c r="B147" s="1" t="s">
        <v>19</v>
      </c>
      <c r="C147" s="1" t="s">
        <v>16</v>
      </c>
      <c r="D147" s="1" t="str">
        <f>IF(Data[[#This Row],[Cancellation Status]]="No", "High Potential", "Normal")</f>
        <v>High Potential</v>
      </c>
      <c r="E147" s="2">
        <v>45940</v>
      </c>
      <c r="F147" s="2">
        <v>45941</v>
      </c>
      <c r="G147" s="2">
        <v>45945</v>
      </c>
      <c r="H147" s="2">
        <v>45948</v>
      </c>
      <c r="I147" s="1" t="s">
        <v>17</v>
      </c>
      <c r="K147" s="2">
        <v>45970</v>
      </c>
      <c r="L147" s="88">
        <f>IF(OR(Data[[#This Row],[Service Follow-up Date]]="",Data[[#This Row],[Delivery Date]]=""),"",INT(Data[[#This Row],[Service Follow-up Date]]-Data[[#This Row],[Delivery Date]]))</f>
        <v>22</v>
      </c>
      <c r="M147" s="1">
        <v>1</v>
      </c>
      <c r="N147" s="1">
        <v>4</v>
      </c>
      <c r="O147" s="1">
        <v>3</v>
      </c>
      <c r="P147" s="1">
        <v>1</v>
      </c>
      <c r="Q147" t="str">
        <f>IF(ISBLANK(Data[[#This Row],[Customer Rating]]),"No Rating",IF(Data[[#This Row],[Customer Rating]]&gt;=9,"Promoter",IF(Data[[#This Row],[Customer Rating]]&gt;=7,"Passive","Detractor")))</f>
        <v>Detractor</v>
      </c>
    </row>
    <row r="148" spans="1:17" ht="14.25" customHeight="1" x14ac:dyDescent="0.3">
      <c r="A148" s="1" t="s">
        <v>174</v>
      </c>
      <c r="B148" s="1" t="s">
        <v>15</v>
      </c>
      <c r="C148" s="1" t="s">
        <v>30</v>
      </c>
      <c r="D148" s="1" t="str">
        <f>IF(Data[[#This Row],[Cancellation Status]]="No", "High Potential", "Normal")</f>
        <v>High Potential</v>
      </c>
      <c r="E148" s="2">
        <v>45931</v>
      </c>
      <c r="F148" s="2">
        <v>45933</v>
      </c>
      <c r="G148" s="2">
        <v>45934</v>
      </c>
      <c r="H148" s="2">
        <v>45938</v>
      </c>
      <c r="I148" s="1" t="s">
        <v>17</v>
      </c>
      <c r="K148" s="2">
        <v>45951</v>
      </c>
      <c r="L148" s="88">
        <f>IF(OR(Data[[#This Row],[Service Follow-up Date]]="",Data[[#This Row],[Delivery Date]]=""),"",INT(Data[[#This Row],[Service Follow-up Date]]-Data[[#This Row],[Delivery Date]]))</f>
        <v>13</v>
      </c>
      <c r="M148" s="1">
        <v>2</v>
      </c>
      <c r="N148" s="1">
        <v>1</v>
      </c>
      <c r="O148" s="1">
        <v>4</v>
      </c>
      <c r="P148" s="1">
        <v>6</v>
      </c>
      <c r="Q148" t="str">
        <f>IF(ISBLANK(Data[[#This Row],[Customer Rating]]),"No Rating",IF(Data[[#This Row],[Customer Rating]]&gt;=9,"Promoter",IF(Data[[#This Row],[Customer Rating]]&gt;=7,"Passive","Detractor")))</f>
        <v>Detractor</v>
      </c>
    </row>
    <row r="149" spans="1:17" ht="14.25" customHeight="1" x14ac:dyDescent="0.3">
      <c r="A149" s="1" t="s">
        <v>175</v>
      </c>
      <c r="B149" s="1" t="s">
        <v>32</v>
      </c>
      <c r="C149" s="1" t="s">
        <v>22</v>
      </c>
      <c r="D149" s="1" t="str">
        <f>IF(Data[[#This Row],[Cancellation Status]]="No", "High Potential", "Normal")</f>
        <v>Normal</v>
      </c>
      <c r="E149" s="2">
        <v>45953</v>
      </c>
      <c r="I149" s="1" t="s">
        <v>23</v>
      </c>
      <c r="J149" s="1" t="s">
        <v>33</v>
      </c>
      <c r="L149" s="88" t="str">
        <f>IF(OR(Data[[#This Row],[Service Follow-up Date]]="",Data[[#This Row],[Delivery Date]]=""),"",INT(Data[[#This Row],[Service Follow-up Date]]-Data[[#This Row],[Delivery Date]]))</f>
        <v/>
      </c>
      <c r="Q149" t="str">
        <f>IF(ISBLANK(Data[[#This Row],[Customer Rating]]),"No Rating",IF(Data[[#This Row],[Customer Rating]]&gt;=9,"Promoter",IF(Data[[#This Row],[Customer Rating]]&gt;=7,"Passive","Detractor")))</f>
        <v>No Rating</v>
      </c>
    </row>
    <row r="150" spans="1:17" ht="14.25" customHeight="1" x14ac:dyDescent="0.3">
      <c r="A150" s="1" t="s">
        <v>176</v>
      </c>
      <c r="B150" s="1" t="s">
        <v>32</v>
      </c>
      <c r="C150" s="1" t="s">
        <v>30</v>
      </c>
      <c r="D150" s="1" t="str">
        <f>IF(Data[[#This Row],[Cancellation Status]]="No", "High Potential", "Normal")</f>
        <v>High Potential</v>
      </c>
      <c r="E150" s="2">
        <v>45948</v>
      </c>
      <c r="F150" s="2">
        <v>45952</v>
      </c>
      <c r="G150" s="2">
        <v>45954</v>
      </c>
      <c r="H150" s="2">
        <v>45956</v>
      </c>
      <c r="I150" s="1" t="s">
        <v>17</v>
      </c>
      <c r="K150" s="2">
        <v>45981</v>
      </c>
      <c r="L150" s="88">
        <f>IF(OR(Data[[#This Row],[Service Follow-up Date]]="",Data[[#This Row],[Delivery Date]]=""),"",INT(Data[[#This Row],[Service Follow-up Date]]-Data[[#This Row],[Delivery Date]]))</f>
        <v>25</v>
      </c>
      <c r="M150" s="1">
        <v>4</v>
      </c>
      <c r="N150" s="1">
        <v>2</v>
      </c>
      <c r="O150" s="1">
        <v>2</v>
      </c>
      <c r="P150" s="1">
        <v>5</v>
      </c>
      <c r="Q150" t="str">
        <f>IF(ISBLANK(Data[[#This Row],[Customer Rating]]),"No Rating",IF(Data[[#This Row],[Customer Rating]]&gt;=9,"Promoter",IF(Data[[#This Row],[Customer Rating]]&gt;=7,"Passive","Detractor")))</f>
        <v>Detractor</v>
      </c>
    </row>
    <row r="151" spans="1:17" ht="14.25" customHeight="1" x14ac:dyDescent="0.3">
      <c r="A151" s="1" t="s">
        <v>177</v>
      </c>
      <c r="B151" s="1" t="s">
        <v>32</v>
      </c>
      <c r="C151" s="1" t="s">
        <v>16</v>
      </c>
      <c r="D151" s="1" t="str">
        <f>IF(Data[[#This Row],[Cancellation Status]]="No", "High Potential", "Normal")</f>
        <v>High Potential</v>
      </c>
      <c r="E151" s="2">
        <v>45935</v>
      </c>
      <c r="F151" s="2">
        <v>45940</v>
      </c>
      <c r="G151" s="2">
        <v>45941</v>
      </c>
      <c r="H151" s="2">
        <v>45945</v>
      </c>
      <c r="I151" s="1" t="s">
        <v>17</v>
      </c>
      <c r="K151" s="2">
        <v>45973</v>
      </c>
      <c r="L151" s="88">
        <f>IF(OR(Data[[#This Row],[Service Follow-up Date]]="",Data[[#This Row],[Delivery Date]]=""),"",INT(Data[[#This Row],[Service Follow-up Date]]-Data[[#This Row],[Delivery Date]]))</f>
        <v>28</v>
      </c>
      <c r="M151" s="1">
        <v>5</v>
      </c>
      <c r="N151" s="1">
        <v>1</v>
      </c>
      <c r="O151" s="1">
        <v>4</v>
      </c>
      <c r="P151" s="1">
        <v>4</v>
      </c>
      <c r="Q151" t="str">
        <f>IF(ISBLANK(Data[[#This Row],[Customer Rating]]),"No Rating",IF(Data[[#This Row],[Customer Rating]]&gt;=9,"Promoter",IF(Data[[#This Row],[Customer Rating]]&gt;=7,"Passive","Detractor")))</f>
        <v>Detractor</v>
      </c>
    </row>
    <row r="152" spans="1:17" ht="14.25" customHeight="1" x14ac:dyDescent="0.3">
      <c r="A152" s="1" t="s">
        <v>178</v>
      </c>
      <c r="B152" s="1" t="s">
        <v>15</v>
      </c>
      <c r="C152" s="1" t="s">
        <v>30</v>
      </c>
      <c r="D152" s="1" t="str">
        <f>IF(Data[[#This Row],[Cancellation Status]]="No", "High Potential", "Normal")</f>
        <v>High Potential</v>
      </c>
      <c r="E152" s="2">
        <v>45939</v>
      </c>
      <c r="F152" s="2">
        <v>45940</v>
      </c>
      <c r="G152" s="2">
        <v>45945</v>
      </c>
      <c r="H152" s="2">
        <v>45948</v>
      </c>
      <c r="I152" s="1" t="s">
        <v>17</v>
      </c>
      <c r="K152" s="2">
        <v>45978</v>
      </c>
      <c r="L152" s="88">
        <f>IF(OR(Data[[#This Row],[Service Follow-up Date]]="",Data[[#This Row],[Delivery Date]]=""),"",INT(Data[[#This Row],[Service Follow-up Date]]-Data[[#This Row],[Delivery Date]]))</f>
        <v>30</v>
      </c>
      <c r="M152" s="1">
        <v>1</v>
      </c>
      <c r="N152" s="1">
        <v>5</v>
      </c>
      <c r="O152" s="1">
        <v>3</v>
      </c>
      <c r="P152" s="1">
        <v>2</v>
      </c>
      <c r="Q152" t="str">
        <f>IF(ISBLANK(Data[[#This Row],[Customer Rating]]),"No Rating",IF(Data[[#This Row],[Customer Rating]]&gt;=9,"Promoter",IF(Data[[#This Row],[Customer Rating]]&gt;=7,"Passive","Detractor")))</f>
        <v>Detractor</v>
      </c>
    </row>
    <row r="153" spans="1:17" ht="14.25" customHeight="1" x14ac:dyDescent="0.3">
      <c r="A153" s="1" t="s">
        <v>179</v>
      </c>
      <c r="B153" s="1" t="s">
        <v>19</v>
      </c>
      <c r="C153" s="1" t="s">
        <v>22</v>
      </c>
      <c r="D153" s="1" t="str">
        <f>IF(Data[[#This Row],[Cancellation Status]]="No", "High Potential", "Normal")</f>
        <v>Normal</v>
      </c>
      <c r="E153" s="2">
        <v>45932</v>
      </c>
      <c r="I153" s="1" t="s">
        <v>23</v>
      </c>
      <c r="J153" s="1" t="s">
        <v>24</v>
      </c>
      <c r="L153" s="88" t="str">
        <f>IF(OR(Data[[#This Row],[Service Follow-up Date]]="",Data[[#This Row],[Delivery Date]]=""),"",INT(Data[[#This Row],[Service Follow-up Date]]-Data[[#This Row],[Delivery Date]]))</f>
        <v/>
      </c>
      <c r="Q153" t="str">
        <f>IF(ISBLANK(Data[[#This Row],[Customer Rating]]),"No Rating",IF(Data[[#This Row],[Customer Rating]]&gt;=9,"Promoter",IF(Data[[#This Row],[Customer Rating]]&gt;=7,"Passive","Detractor")))</f>
        <v>No Rating</v>
      </c>
    </row>
    <row r="154" spans="1:17" ht="14.25" customHeight="1" x14ac:dyDescent="0.3">
      <c r="A154" s="1" t="s">
        <v>180</v>
      </c>
      <c r="B154" s="1" t="s">
        <v>19</v>
      </c>
      <c r="C154" s="1" t="s">
        <v>22</v>
      </c>
      <c r="D154" s="1" t="str">
        <f>IF(Data[[#This Row],[Cancellation Status]]="No", "High Potential", "Normal")</f>
        <v>Normal</v>
      </c>
      <c r="E154" s="2">
        <v>45932</v>
      </c>
      <c r="I154" s="1" t="s">
        <v>23</v>
      </c>
      <c r="J154" s="1" t="s">
        <v>33</v>
      </c>
      <c r="L154" s="88" t="str">
        <f>IF(OR(Data[[#This Row],[Service Follow-up Date]]="",Data[[#This Row],[Delivery Date]]=""),"",INT(Data[[#This Row],[Service Follow-up Date]]-Data[[#This Row],[Delivery Date]]))</f>
        <v/>
      </c>
      <c r="Q154" t="str">
        <f>IF(ISBLANK(Data[[#This Row],[Customer Rating]]),"No Rating",IF(Data[[#This Row],[Customer Rating]]&gt;=9,"Promoter",IF(Data[[#This Row],[Customer Rating]]&gt;=7,"Passive","Detractor")))</f>
        <v>No Rating</v>
      </c>
    </row>
    <row r="155" spans="1:17" ht="14.25" customHeight="1" x14ac:dyDescent="0.3">
      <c r="A155" s="1" t="s">
        <v>181</v>
      </c>
      <c r="B155" s="1" t="s">
        <v>15</v>
      </c>
      <c r="C155" s="1" t="s">
        <v>16</v>
      </c>
      <c r="D155" s="1" t="str">
        <f>IF(Data[[#This Row],[Cancellation Status]]="No", "High Potential", "Normal")</f>
        <v>High Potential</v>
      </c>
      <c r="E155" s="2">
        <v>45948</v>
      </c>
      <c r="F155" s="2">
        <v>45949</v>
      </c>
      <c r="G155" s="2">
        <v>45951</v>
      </c>
      <c r="H155" s="2">
        <v>45957</v>
      </c>
      <c r="I155" s="1" t="s">
        <v>17</v>
      </c>
      <c r="K155" s="2">
        <v>45974</v>
      </c>
      <c r="L155" s="88">
        <f>IF(OR(Data[[#This Row],[Service Follow-up Date]]="",Data[[#This Row],[Delivery Date]]=""),"",INT(Data[[#This Row],[Service Follow-up Date]]-Data[[#This Row],[Delivery Date]]))</f>
        <v>17</v>
      </c>
      <c r="M155" s="1">
        <v>1</v>
      </c>
      <c r="N155" s="1">
        <v>2</v>
      </c>
      <c r="O155" s="1">
        <v>6</v>
      </c>
      <c r="P155" s="1">
        <v>7</v>
      </c>
      <c r="Q155" t="str">
        <f>IF(ISBLANK(Data[[#This Row],[Customer Rating]]),"No Rating",IF(Data[[#This Row],[Customer Rating]]&gt;=9,"Promoter",IF(Data[[#This Row],[Customer Rating]]&gt;=7,"Passive","Detractor")))</f>
        <v>Passive</v>
      </c>
    </row>
    <row r="156" spans="1:17" ht="14.25" customHeight="1" x14ac:dyDescent="0.3">
      <c r="A156" s="1" t="s">
        <v>182</v>
      </c>
      <c r="B156" s="1" t="s">
        <v>19</v>
      </c>
      <c r="C156" s="1" t="s">
        <v>22</v>
      </c>
      <c r="D156" s="1" t="str">
        <f>IF(Data[[#This Row],[Cancellation Status]]="No", "High Potential", "Normal")</f>
        <v>Normal</v>
      </c>
      <c r="E156" s="2">
        <v>45940</v>
      </c>
      <c r="I156" s="1" t="s">
        <v>23</v>
      </c>
      <c r="J156" s="1" t="s">
        <v>24</v>
      </c>
      <c r="L156" s="88" t="str">
        <f>IF(OR(Data[[#This Row],[Service Follow-up Date]]="",Data[[#This Row],[Delivery Date]]=""),"",INT(Data[[#This Row],[Service Follow-up Date]]-Data[[#This Row],[Delivery Date]]))</f>
        <v/>
      </c>
      <c r="Q156" t="str">
        <f>IF(ISBLANK(Data[[#This Row],[Customer Rating]]),"No Rating",IF(Data[[#This Row],[Customer Rating]]&gt;=9,"Promoter",IF(Data[[#This Row],[Customer Rating]]&gt;=7,"Passive","Detractor")))</f>
        <v>No Rating</v>
      </c>
    </row>
    <row r="157" spans="1:17" ht="14.25" customHeight="1" x14ac:dyDescent="0.3">
      <c r="A157" s="1" t="s">
        <v>183</v>
      </c>
      <c r="B157" s="1" t="s">
        <v>15</v>
      </c>
      <c r="C157" s="1" t="s">
        <v>30</v>
      </c>
      <c r="D157" s="1" t="str">
        <f>IF(Data[[#This Row],[Cancellation Status]]="No", "High Potential", "Normal")</f>
        <v>High Potential</v>
      </c>
      <c r="E157" s="2">
        <v>45953</v>
      </c>
      <c r="F157" s="2">
        <v>45955</v>
      </c>
      <c r="G157" s="2">
        <v>45959</v>
      </c>
      <c r="H157" s="2">
        <v>45963</v>
      </c>
      <c r="I157" s="1" t="s">
        <v>17</v>
      </c>
      <c r="K157" s="2">
        <v>45978</v>
      </c>
      <c r="L157" s="88">
        <f>IF(OR(Data[[#This Row],[Service Follow-up Date]]="",Data[[#This Row],[Delivery Date]]=""),"",INT(Data[[#This Row],[Service Follow-up Date]]-Data[[#This Row],[Delivery Date]]))</f>
        <v>15</v>
      </c>
      <c r="M157" s="1">
        <v>2</v>
      </c>
      <c r="N157" s="1">
        <v>4</v>
      </c>
      <c r="O157" s="1">
        <v>4</v>
      </c>
      <c r="P157" s="1">
        <v>4</v>
      </c>
      <c r="Q157" t="str">
        <f>IF(ISBLANK(Data[[#This Row],[Customer Rating]]),"No Rating",IF(Data[[#This Row],[Customer Rating]]&gt;=9,"Promoter",IF(Data[[#This Row],[Customer Rating]]&gt;=7,"Passive","Detractor")))</f>
        <v>Detractor</v>
      </c>
    </row>
    <row r="158" spans="1:17" ht="14.25" customHeight="1" x14ac:dyDescent="0.3">
      <c r="A158" s="1" t="s">
        <v>184</v>
      </c>
      <c r="B158" s="1" t="s">
        <v>19</v>
      </c>
      <c r="C158" s="1" t="s">
        <v>22</v>
      </c>
      <c r="D158" s="1" t="str">
        <f>IF(Data[[#This Row],[Cancellation Status]]="No", "High Potential", "Normal")</f>
        <v>Normal</v>
      </c>
      <c r="E158" s="2">
        <v>45961</v>
      </c>
      <c r="I158" s="1" t="s">
        <v>23</v>
      </c>
      <c r="J158" s="1" t="s">
        <v>63</v>
      </c>
      <c r="L158" s="88" t="str">
        <f>IF(OR(Data[[#This Row],[Service Follow-up Date]]="",Data[[#This Row],[Delivery Date]]=""),"",INT(Data[[#This Row],[Service Follow-up Date]]-Data[[#This Row],[Delivery Date]]))</f>
        <v/>
      </c>
      <c r="Q158" t="str">
        <f>IF(ISBLANK(Data[[#This Row],[Customer Rating]]),"No Rating",IF(Data[[#This Row],[Customer Rating]]&gt;=9,"Promoter",IF(Data[[#This Row],[Customer Rating]]&gt;=7,"Passive","Detractor")))</f>
        <v>No Rating</v>
      </c>
    </row>
    <row r="159" spans="1:17" ht="14.25" customHeight="1" x14ac:dyDescent="0.3">
      <c r="A159" s="1" t="s">
        <v>185</v>
      </c>
      <c r="B159" s="1" t="s">
        <v>21</v>
      </c>
      <c r="C159" s="1" t="s">
        <v>30</v>
      </c>
      <c r="D159" s="1" t="str">
        <f>IF(Data[[#This Row],[Cancellation Status]]="No", "High Potential", "Normal")</f>
        <v>High Potential</v>
      </c>
      <c r="E159" s="2">
        <v>45935</v>
      </c>
      <c r="F159" s="2">
        <v>45938</v>
      </c>
      <c r="G159" s="2">
        <v>45942</v>
      </c>
      <c r="H159" s="2">
        <v>45945</v>
      </c>
      <c r="I159" s="1" t="s">
        <v>17</v>
      </c>
      <c r="K159" s="2">
        <v>45969</v>
      </c>
      <c r="L159" s="88">
        <f>IF(OR(Data[[#This Row],[Service Follow-up Date]]="",Data[[#This Row],[Delivery Date]]=""),"",INT(Data[[#This Row],[Service Follow-up Date]]-Data[[#This Row],[Delivery Date]]))</f>
        <v>24</v>
      </c>
      <c r="M159" s="1">
        <v>3</v>
      </c>
      <c r="N159" s="1">
        <v>4</v>
      </c>
      <c r="O159" s="1">
        <v>3</v>
      </c>
      <c r="P159" s="1">
        <v>8</v>
      </c>
      <c r="Q159" t="str">
        <f>IF(ISBLANK(Data[[#This Row],[Customer Rating]]),"No Rating",IF(Data[[#This Row],[Customer Rating]]&gt;=9,"Promoter",IF(Data[[#This Row],[Customer Rating]]&gt;=7,"Passive","Detractor")))</f>
        <v>Passive</v>
      </c>
    </row>
    <row r="160" spans="1:17" ht="14.25" customHeight="1" x14ac:dyDescent="0.3">
      <c r="A160" s="1" t="s">
        <v>186</v>
      </c>
      <c r="B160" s="1" t="s">
        <v>21</v>
      </c>
      <c r="C160" s="1" t="s">
        <v>22</v>
      </c>
      <c r="D160" s="1" t="str">
        <f>IF(Data[[#This Row],[Cancellation Status]]="No", "High Potential", "Normal")</f>
        <v>Normal</v>
      </c>
      <c r="E160" s="2">
        <v>45951</v>
      </c>
      <c r="I160" s="1" t="s">
        <v>23</v>
      </c>
      <c r="J160" s="1" t="s">
        <v>26</v>
      </c>
      <c r="L160" s="88" t="str">
        <f>IF(OR(Data[[#This Row],[Service Follow-up Date]]="",Data[[#This Row],[Delivery Date]]=""),"",INT(Data[[#This Row],[Service Follow-up Date]]-Data[[#This Row],[Delivery Date]]))</f>
        <v/>
      </c>
      <c r="Q160" t="str">
        <f>IF(ISBLANK(Data[[#This Row],[Customer Rating]]),"No Rating",IF(Data[[#This Row],[Customer Rating]]&gt;=9,"Promoter",IF(Data[[#This Row],[Customer Rating]]&gt;=7,"Passive","Detractor")))</f>
        <v>No Rating</v>
      </c>
    </row>
    <row r="161" spans="1:17" ht="14.25" customHeight="1" x14ac:dyDescent="0.3">
      <c r="A161" s="1" t="s">
        <v>187</v>
      </c>
      <c r="B161" s="1" t="s">
        <v>32</v>
      </c>
      <c r="C161" s="1" t="s">
        <v>30</v>
      </c>
      <c r="D161" s="1" t="str">
        <f>IF(Data[[#This Row],[Cancellation Status]]="No", "High Potential", "Normal")</f>
        <v>High Potential</v>
      </c>
      <c r="E161" s="2">
        <v>45958</v>
      </c>
      <c r="F161" s="2">
        <v>45960</v>
      </c>
      <c r="G161" s="2">
        <v>45964</v>
      </c>
      <c r="H161" s="2">
        <v>45969</v>
      </c>
      <c r="I161" s="1" t="s">
        <v>17</v>
      </c>
      <c r="K161" s="2">
        <v>45981</v>
      </c>
      <c r="L161" s="88">
        <f>IF(OR(Data[[#This Row],[Service Follow-up Date]]="",Data[[#This Row],[Delivery Date]]=""),"",INT(Data[[#This Row],[Service Follow-up Date]]-Data[[#This Row],[Delivery Date]]))</f>
        <v>12</v>
      </c>
      <c r="M161" s="1">
        <v>2</v>
      </c>
      <c r="N161" s="1">
        <v>4</v>
      </c>
      <c r="O161" s="1">
        <v>5</v>
      </c>
      <c r="P161" s="1">
        <v>5</v>
      </c>
      <c r="Q161" t="str">
        <f>IF(ISBLANK(Data[[#This Row],[Customer Rating]]),"No Rating",IF(Data[[#This Row],[Customer Rating]]&gt;=9,"Promoter",IF(Data[[#This Row],[Customer Rating]]&gt;=7,"Passive","Detractor")))</f>
        <v>Detractor</v>
      </c>
    </row>
    <row r="162" spans="1:17" ht="14.25" customHeight="1" x14ac:dyDescent="0.3">
      <c r="A162" s="1" t="s">
        <v>188</v>
      </c>
      <c r="B162" s="1" t="s">
        <v>21</v>
      </c>
      <c r="C162" s="1" t="s">
        <v>16</v>
      </c>
      <c r="D162" s="1" t="str">
        <f>IF(Data[[#This Row],[Cancellation Status]]="No", "High Potential", "Normal")</f>
        <v>High Potential</v>
      </c>
      <c r="E162" s="2">
        <v>45955</v>
      </c>
      <c r="F162" s="2">
        <v>45957</v>
      </c>
      <c r="G162" s="2">
        <v>45959</v>
      </c>
      <c r="H162" s="2">
        <v>45965</v>
      </c>
      <c r="I162" s="1" t="s">
        <v>17</v>
      </c>
      <c r="K162" s="2">
        <v>45976</v>
      </c>
      <c r="L162" s="88">
        <f>IF(OR(Data[[#This Row],[Service Follow-up Date]]="",Data[[#This Row],[Delivery Date]]=""),"",INT(Data[[#This Row],[Service Follow-up Date]]-Data[[#This Row],[Delivery Date]]))</f>
        <v>11</v>
      </c>
      <c r="M162" s="1">
        <v>2</v>
      </c>
      <c r="N162" s="1">
        <v>2</v>
      </c>
      <c r="O162" s="1">
        <v>6</v>
      </c>
      <c r="P162" s="1">
        <v>3</v>
      </c>
      <c r="Q162" t="str">
        <f>IF(ISBLANK(Data[[#This Row],[Customer Rating]]),"No Rating",IF(Data[[#This Row],[Customer Rating]]&gt;=9,"Promoter",IF(Data[[#This Row],[Customer Rating]]&gt;=7,"Passive","Detractor")))</f>
        <v>Detractor</v>
      </c>
    </row>
    <row r="163" spans="1:17" ht="14.25" customHeight="1" x14ac:dyDescent="0.3">
      <c r="A163" s="1" t="s">
        <v>189</v>
      </c>
      <c r="B163" s="1" t="s">
        <v>21</v>
      </c>
      <c r="C163" s="1" t="s">
        <v>16</v>
      </c>
      <c r="D163" s="1" t="str">
        <f>IF(Data[[#This Row],[Cancellation Status]]="No", "High Potential", "Normal")</f>
        <v>High Potential</v>
      </c>
      <c r="E163" s="2">
        <v>45946</v>
      </c>
      <c r="F163" s="2">
        <v>45949</v>
      </c>
      <c r="G163" s="2">
        <v>45952</v>
      </c>
      <c r="H163" s="2">
        <v>45959</v>
      </c>
      <c r="I163" s="1" t="s">
        <v>17</v>
      </c>
      <c r="K163" s="2">
        <v>45978</v>
      </c>
      <c r="L163" s="88">
        <f>IF(OR(Data[[#This Row],[Service Follow-up Date]]="",Data[[#This Row],[Delivery Date]]=""),"",INT(Data[[#This Row],[Service Follow-up Date]]-Data[[#This Row],[Delivery Date]]))</f>
        <v>19</v>
      </c>
      <c r="M163" s="1">
        <v>3</v>
      </c>
      <c r="N163" s="1">
        <v>3</v>
      </c>
      <c r="O163" s="1">
        <v>7</v>
      </c>
      <c r="P163" s="1">
        <v>2</v>
      </c>
      <c r="Q163" t="str">
        <f>IF(ISBLANK(Data[[#This Row],[Customer Rating]]),"No Rating",IF(Data[[#This Row],[Customer Rating]]&gt;=9,"Promoter",IF(Data[[#This Row],[Customer Rating]]&gt;=7,"Passive","Detractor")))</f>
        <v>Detractor</v>
      </c>
    </row>
    <row r="164" spans="1:17" ht="14.25" customHeight="1" x14ac:dyDescent="0.3">
      <c r="A164" s="1" t="s">
        <v>190</v>
      </c>
      <c r="B164" s="1" t="s">
        <v>21</v>
      </c>
      <c r="C164" s="1" t="s">
        <v>30</v>
      </c>
      <c r="D164" s="1" t="str">
        <f>IF(Data[[#This Row],[Cancellation Status]]="No", "High Potential", "Normal")</f>
        <v>High Potential</v>
      </c>
      <c r="E164" s="2">
        <v>45934</v>
      </c>
      <c r="F164" s="2">
        <v>45937</v>
      </c>
      <c r="G164" s="2">
        <v>45940</v>
      </c>
      <c r="H164" s="2">
        <v>45945</v>
      </c>
      <c r="I164" s="1" t="s">
        <v>17</v>
      </c>
      <c r="K164" s="2">
        <v>45955</v>
      </c>
      <c r="L164" s="88">
        <f>IF(OR(Data[[#This Row],[Service Follow-up Date]]="",Data[[#This Row],[Delivery Date]]=""),"",INT(Data[[#This Row],[Service Follow-up Date]]-Data[[#This Row],[Delivery Date]]))</f>
        <v>10</v>
      </c>
      <c r="M164" s="1">
        <v>3</v>
      </c>
      <c r="N164" s="1">
        <v>3</v>
      </c>
      <c r="O164" s="1">
        <v>5</v>
      </c>
      <c r="P164" s="1">
        <v>7</v>
      </c>
      <c r="Q164" t="str">
        <f>IF(ISBLANK(Data[[#This Row],[Customer Rating]]),"No Rating",IF(Data[[#This Row],[Customer Rating]]&gt;=9,"Promoter",IF(Data[[#This Row],[Customer Rating]]&gt;=7,"Passive","Detractor")))</f>
        <v>Passive</v>
      </c>
    </row>
    <row r="165" spans="1:17" ht="14.25" customHeight="1" x14ac:dyDescent="0.3">
      <c r="A165" s="1" t="s">
        <v>191</v>
      </c>
      <c r="B165" s="1" t="s">
        <v>15</v>
      </c>
      <c r="C165" s="1" t="s">
        <v>30</v>
      </c>
      <c r="D165" s="1" t="str">
        <f>IF(Data[[#This Row],[Cancellation Status]]="No", "High Potential", "Normal")</f>
        <v>High Potential</v>
      </c>
      <c r="E165" s="2">
        <v>45958</v>
      </c>
      <c r="F165" s="2">
        <v>45961</v>
      </c>
      <c r="G165" s="2">
        <v>45964</v>
      </c>
      <c r="H165" s="2">
        <v>45970</v>
      </c>
      <c r="I165" s="1" t="s">
        <v>17</v>
      </c>
      <c r="K165" s="2">
        <v>45990</v>
      </c>
      <c r="L165" s="88">
        <f>IF(OR(Data[[#This Row],[Service Follow-up Date]]="",Data[[#This Row],[Delivery Date]]=""),"",INT(Data[[#This Row],[Service Follow-up Date]]-Data[[#This Row],[Delivery Date]]))</f>
        <v>20</v>
      </c>
      <c r="M165" s="1">
        <v>3</v>
      </c>
      <c r="N165" s="1">
        <v>3</v>
      </c>
      <c r="O165" s="1">
        <v>6</v>
      </c>
      <c r="P165" s="1">
        <v>5</v>
      </c>
      <c r="Q165" t="str">
        <f>IF(ISBLANK(Data[[#This Row],[Customer Rating]]),"No Rating",IF(Data[[#This Row],[Customer Rating]]&gt;=9,"Promoter",IF(Data[[#This Row],[Customer Rating]]&gt;=7,"Passive","Detractor")))</f>
        <v>Detractor</v>
      </c>
    </row>
    <row r="166" spans="1:17" ht="14.25" customHeight="1" x14ac:dyDescent="0.3">
      <c r="A166" s="1" t="s">
        <v>192</v>
      </c>
      <c r="B166" s="1" t="s">
        <v>21</v>
      </c>
      <c r="C166" s="1" t="s">
        <v>30</v>
      </c>
      <c r="D166" s="1" t="str">
        <f>IF(Data[[#This Row],[Cancellation Status]]="No", "High Potential", "Normal")</f>
        <v>High Potential</v>
      </c>
      <c r="E166" s="2">
        <v>45931</v>
      </c>
      <c r="F166" s="2">
        <v>45932</v>
      </c>
      <c r="G166" s="2">
        <v>45933</v>
      </c>
      <c r="H166" s="2">
        <v>45939</v>
      </c>
      <c r="I166" s="1" t="s">
        <v>17</v>
      </c>
      <c r="K166" s="2">
        <v>45957</v>
      </c>
      <c r="L166" s="88">
        <f>IF(OR(Data[[#This Row],[Service Follow-up Date]]="",Data[[#This Row],[Delivery Date]]=""),"",INT(Data[[#This Row],[Service Follow-up Date]]-Data[[#This Row],[Delivery Date]]))</f>
        <v>18</v>
      </c>
      <c r="M166" s="1">
        <v>1</v>
      </c>
      <c r="N166" s="1">
        <v>1</v>
      </c>
      <c r="O166" s="1">
        <v>6</v>
      </c>
      <c r="P166" s="1">
        <v>6</v>
      </c>
      <c r="Q166" t="str">
        <f>IF(ISBLANK(Data[[#This Row],[Customer Rating]]),"No Rating",IF(Data[[#This Row],[Customer Rating]]&gt;=9,"Promoter",IF(Data[[#This Row],[Customer Rating]]&gt;=7,"Passive","Detractor")))</f>
        <v>Detractor</v>
      </c>
    </row>
    <row r="167" spans="1:17" ht="14.25" customHeight="1" x14ac:dyDescent="0.3">
      <c r="A167" s="1" t="s">
        <v>193</v>
      </c>
      <c r="B167" s="1" t="s">
        <v>21</v>
      </c>
      <c r="C167" s="1" t="s">
        <v>16</v>
      </c>
      <c r="D167" s="1" t="str">
        <f>IF(Data[[#This Row],[Cancellation Status]]="No", "High Potential", "Normal")</f>
        <v>High Potential</v>
      </c>
      <c r="E167" s="2">
        <v>45949</v>
      </c>
      <c r="F167" s="2">
        <v>45950</v>
      </c>
      <c r="G167" s="2">
        <v>45951</v>
      </c>
      <c r="H167" s="2">
        <v>45953</v>
      </c>
      <c r="I167" s="1" t="s">
        <v>17</v>
      </c>
      <c r="K167" s="2">
        <v>45966</v>
      </c>
      <c r="L167" s="88">
        <f>IF(OR(Data[[#This Row],[Service Follow-up Date]]="",Data[[#This Row],[Delivery Date]]=""),"",INT(Data[[#This Row],[Service Follow-up Date]]-Data[[#This Row],[Delivery Date]]))</f>
        <v>13</v>
      </c>
      <c r="M167" s="1">
        <v>1</v>
      </c>
      <c r="N167" s="1">
        <v>1</v>
      </c>
      <c r="O167" s="1">
        <v>2</v>
      </c>
      <c r="P167" s="1">
        <v>2</v>
      </c>
      <c r="Q167" t="str">
        <f>IF(ISBLANK(Data[[#This Row],[Customer Rating]]),"No Rating",IF(Data[[#This Row],[Customer Rating]]&gt;=9,"Promoter",IF(Data[[#This Row],[Customer Rating]]&gt;=7,"Passive","Detractor")))</f>
        <v>Detractor</v>
      </c>
    </row>
    <row r="168" spans="1:17" ht="14.25" customHeight="1" x14ac:dyDescent="0.3">
      <c r="A168" s="1" t="s">
        <v>194</v>
      </c>
      <c r="B168" s="1" t="s">
        <v>32</v>
      </c>
      <c r="C168" s="1" t="s">
        <v>16</v>
      </c>
      <c r="D168" s="1" t="str">
        <f>IF(Data[[#This Row],[Cancellation Status]]="No", "High Potential", "Normal")</f>
        <v>Normal</v>
      </c>
      <c r="E168" s="2">
        <v>45940</v>
      </c>
      <c r="F168" s="2">
        <v>45944</v>
      </c>
      <c r="G168" s="2">
        <v>45949</v>
      </c>
      <c r="H168" s="2">
        <v>45955</v>
      </c>
      <c r="I168" s="1" t="s">
        <v>23</v>
      </c>
      <c r="J168" s="1" t="s">
        <v>33</v>
      </c>
      <c r="L168" s="88" t="str">
        <f>IF(OR(Data[[#This Row],[Service Follow-up Date]]="",Data[[#This Row],[Delivery Date]]=""),"",INT(Data[[#This Row],[Service Follow-up Date]]-Data[[#This Row],[Delivery Date]]))</f>
        <v/>
      </c>
      <c r="M168" s="1">
        <v>4</v>
      </c>
      <c r="N168" s="1">
        <v>5</v>
      </c>
      <c r="O168" s="1">
        <v>6</v>
      </c>
      <c r="Q168" t="str">
        <f>IF(ISBLANK(Data[[#This Row],[Customer Rating]]),"No Rating",IF(Data[[#This Row],[Customer Rating]]&gt;=9,"Promoter",IF(Data[[#This Row],[Customer Rating]]&gt;=7,"Passive","Detractor")))</f>
        <v>No Rating</v>
      </c>
    </row>
    <row r="169" spans="1:17" ht="14.25" customHeight="1" x14ac:dyDescent="0.3">
      <c r="A169" s="1" t="s">
        <v>195</v>
      </c>
      <c r="B169" s="1" t="s">
        <v>21</v>
      </c>
      <c r="C169" s="1" t="s">
        <v>30</v>
      </c>
      <c r="D169" s="1" t="str">
        <f>IF(Data[[#This Row],[Cancellation Status]]="No", "High Potential", "Normal")</f>
        <v>Normal</v>
      </c>
      <c r="E169" s="2">
        <v>45946</v>
      </c>
      <c r="F169" s="2">
        <v>45950</v>
      </c>
      <c r="G169" s="2">
        <v>45952</v>
      </c>
      <c r="H169" s="2">
        <v>45954</v>
      </c>
      <c r="I169" s="1" t="s">
        <v>23</v>
      </c>
      <c r="J169" s="1" t="s">
        <v>101</v>
      </c>
      <c r="L169" s="88" t="str">
        <f>IF(OR(Data[[#This Row],[Service Follow-up Date]]="",Data[[#This Row],[Delivery Date]]=""),"",INT(Data[[#This Row],[Service Follow-up Date]]-Data[[#This Row],[Delivery Date]]))</f>
        <v/>
      </c>
      <c r="M169" s="1">
        <v>4</v>
      </c>
      <c r="N169" s="1">
        <v>2</v>
      </c>
      <c r="O169" s="1">
        <v>2</v>
      </c>
      <c r="Q169" t="str">
        <f>IF(ISBLANK(Data[[#This Row],[Customer Rating]]),"No Rating",IF(Data[[#This Row],[Customer Rating]]&gt;=9,"Promoter",IF(Data[[#This Row],[Customer Rating]]&gt;=7,"Passive","Detractor")))</f>
        <v>No Rating</v>
      </c>
    </row>
    <row r="170" spans="1:17" ht="14.25" customHeight="1" x14ac:dyDescent="0.3">
      <c r="A170" s="1" t="s">
        <v>196</v>
      </c>
      <c r="B170" s="1" t="s">
        <v>21</v>
      </c>
      <c r="C170" s="1" t="s">
        <v>16</v>
      </c>
      <c r="D170" s="1" t="str">
        <f>IF(Data[[#This Row],[Cancellation Status]]="No", "High Potential", "Normal")</f>
        <v>High Potential</v>
      </c>
      <c r="E170" s="2">
        <v>45946</v>
      </c>
      <c r="F170" s="2">
        <v>45948</v>
      </c>
      <c r="G170" s="2">
        <v>45953</v>
      </c>
      <c r="H170" s="2">
        <v>45957</v>
      </c>
      <c r="I170" s="1" t="s">
        <v>17</v>
      </c>
      <c r="K170" s="2">
        <v>45969</v>
      </c>
      <c r="L170" s="88">
        <f>IF(OR(Data[[#This Row],[Service Follow-up Date]]="",Data[[#This Row],[Delivery Date]]=""),"",INT(Data[[#This Row],[Service Follow-up Date]]-Data[[#This Row],[Delivery Date]]))</f>
        <v>12</v>
      </c>
      <c r="M170" s="1">
        <v>2</v>
      </c>
      <c r="N170" s="1">
        <v>5</v>
      </c>
      <c r="O170" s="1">
        <v>4</v>
      </c>
      <c r="P170" s="1">
        <v>5</v>
      </c>
      <c r="Q170" t="str">
        <f>IF(ISBLANK(Data[[#This Row],[Customer Rating]]),"No Rating",IF(Data[[#This Row],[Customer Rating]]&gt;=9,"Promoter",IF(Data[[#This Row],[Customer Rating]]&gt;=7,"Passive","Detractor")))</f>
        <v>Detractor</v>
      </c>
    </row>
    <row r="171" spans="1:17" ht="14.25" customHeight="1" x14ac:dyDescent="0.3">
      <c r="A171" s="1" t="s">
        <v>197</v>
      </c>
      <c r="B171" s="1" t="s">
        <v>19</v>
      </c>
      <c r="C171" s="1" t="s">
        <v>30</v>
      </c>
      <c r="D171" s="1" t="str">
        <f>IF(Data[[#This Row],[Cancellation Status]]="No", "High Potential", "Normal")</f>
        <v>High Potential</v>
      </c>
      <c r="E171" s="2">
        <v>45945</v>
      </c>
      <c r="F171" s="2">
        <v>45947</v>
      </c>
      <c r="G171" s="2">
        <v>45948</v>
      </c>
      <c r="H171" s="2">
        <v>45954</v>
      </c>
      <c r="I171" s="1" t="s">
        <v>17</v>
      </c>
      <c r="K171" s="2">
        <v>45974</v>
      </c>
      <c r="L171" s="88">
        <f>IF(OR(Data[[#This Row],[Service Follow-up Date]]="",Data[[#This Row],[Delivery Date]]=""),"",INT(Data[[#This Row],[Service Follow-up Date]]-Data[[#This Row],[Delivery Date]]))</f>
        <v>20</v>
      </c>
      <c r="M171" s="1">
        <v>2</v>
      </c>
      <c r="N171" s="1">
        <v>1</v>
      </c>
      <c r="O171" s="1">
        <v>6</v>
      </c>
      <c r="P171" s="1">
        <v>2</v>
      </c>
      <c r="Q171" t="str">
        <f>IF(ISBLANK(Data[[#This Row],[Customer Rating]]),"No Rating",IF(Data[[#This Row],[Customer Rating]]&gt;=9,"Promoter",IF(Data[[#This Row],[Customer Rating]]&gt;=7,"Passive","Detractor")))</f>
        <v>Detractor</v>
      </c>
    </row>
    <row r="172" spans="1:17" ht="14.25" customHeight="1" x14ac:dyDescent="0.3">
      <c r="A172" s="1" t="s">
        <v>198</v>
      </c>
      <c r="B172" s="1" t="s">
        <v>32</v>
      </c>
      <c r="C172" s="1" t="s">
        <v>22</v>
      </c>
      <c r="D172" s="1" t="str">
        <f>IF(Data[[#This Row],[Cancellation Status]]="No", "High Potential", "Normal")</f>
        <v>Normal</v>
      </c>
      <c r="E172" s="2">
        <v>45941</v>
      </c>
      <c r="I172" s="1" t="s">
        <v>23</v>
      </c>
      <c r="J172" s="1" t="s">
        <v>26</v>
      </c>
      <c r="L172" s="88" t="str">
        <f>IF(OR(Data[[#This Row],[Service Follow-up Date]]="",Data[[#This Row],[Delivery Date]]=""),"",INT(Data[[#This Row],[Service Follow-up Date]]-Data[[#This Row],[Delivery Date]]))</f>
        <v/>
      </c>
      <c r="Q172" t="str">
        <f>IF(ISBLANK(Data[[#This Row],[Customer Rating]]),"No Rating",IF(Data[[#This Row],[Customer Rating]]&gt;=9,"Promoter",IF(Data[[#This Row],[Customer Rating]]&gt;=7,"Passive","Detractor")))</f>
        <v>No Rating</v>
      </c>
    </row>
    <row r="173" spans="1:17" ht="14.25" customHeight="1" x14ac:dyDescent="0.3">
      <c r="A173" s="1" t="s">
        <v>199</v>
      </c>
      <c r="B173" s="1" t="s">
        <v>32</v>
      </c>
      <c r="C173" s="1" t="s">
        <v>30</v>
      </c>
      <c r="D173" s="1" t="str">
        <f>IF(Data[[#This Row],[Cancellation Status]]="No", "High Potential", "Normal")</f>
        <v>High Potential</v>
      </c>
      <c r="E173" s="2">
        <v>45936</v>
      </c>
      <c r="F173" s="2">
        <v>45940</v>
      </c>
      <c r="G173" s="2">
        <v>45942</v>
      </c>
      <c r="H173" s="2">
        <v>45946</v>
      </c>
      <c r="I173" s="1" t="s">
        <v>17</v>
      </c>
      <c r="K173" s="2">
        <v>45961</v>
      </c>
      <c r="L173" s="88">
        <f>IF(OR(Data[[#This Row],[Service Follow-up Date]]="",Data[[#This Row],[Delivery Date]]=""),"",INT(Data[[#This Row],[Service Follow-up Date]]-Data[[#This Row],[Delivery Date]]))</f>
        <v>15</v>
      </c>
      <c r="M173" s="1">
        <v>4</v>
      </c>
      <c r="N173" s="1">
        <v>2</v>
      </c>
      <c r="O173" s="1">
        <v>4</v>
      </c>
      <c r="P173" s="1">
        <v>1</v>
      </c>
      <c r="Q173" t="str">
        <f>IF(ISBLANK(Data[[#This Row],[Customer Rating]]),"No Rating",IF(Data[[#This Row],[Customer Rating]]&gt;=9,"Promoter",IF(Data[[#This Row],[Customer Rating]]&gt;=7,"Passive","Detractor")))</f>
        <v>Detractor</v>
      </c>
    </row>
    <row r="174" spans="1:17" ht="14.25" customHeight="1" x14ac:dyDescent="0.3">
      <c r="A174" s="1" t="s">
        <v>200</v>
      </c>
      <c r="B174" s="1" t="s">
        <v>32</v>
      </c>
      <c r="C174" s="1" t="s">
        <v>30</v>
      </c>
      <c r="D174" s="1" t="str">
        <f>IF(Data[[#This Row],[Cancellation Status]]="No", "High Potential", "Normal")</f>
        <v>High Potential</v>
      </c>
      <c r="E174" s="2">
        <v>45961</v>
      </c>
      <c r="F174" s="2">
        <v>45966</v>
      </c>
      <c r="G174" s="2">
        <v>45970</v>
      </c>
      <c r="H174" s="2">
        <v>45976</v>
      </c>
      <c r="I174" s="1" t="s">
        <v>17</v>
      </c>
      <c r="K174" s="2">
        <v>45998</v>
      </c>
      <c r="L174" s="88">
        <f>IF(OR(Data[[#This Row],[Service Follow-up Date]]="",Data[[#This Row],[Delivery Date]]=""),"",INT(Data[[#This Row],[Service Follow-up Date]]-Data[[#This Row],[Delivery Date]]))</f>
        <v>22</v>
      </c>
      <c r="M174" s="1">
        <v>5</v>
      </c>
      <c r="N174" s="1">
        <v>4</v>
      </c>
      <c r="O174" s="1">
        <v>6</v>
      </c>
      <c r="P174" s="1">
        <v>8</v>
      </c>
      <c r="Q174" t="str">
        <f>IF(ISBLANK(Data[[#This Row],[Customer Rating]]),"No Rating",IF(Data[[#This Row],[Customer Rating]]&gt;=9,"Promoter",IF(Data[[#This Row],[Customer Rating]]&gt;=7,"Passive","Detractor")))</f>
        <v>Passive</v>
      </c>
    </row>
    <row r="175" spans="1:17" ht="14.25" customHeight="1" x14ac:dyDescent="0.3">
      <c r="A175" s="1" t="s">
        <v>201</v>
      </c>
      <c r="B175" s="1" t="s">
        <v>32</v>
      </c>
      <c r="C175" s="1" t="s">
        <v>30</v>
      </c>
      <c r="D175" s="1" t="str">
        <f>IF(Data[[#This Row],[Cancellation Status]]="No", "High Potential", "Normal")</f>
        <v>High Potential</v>
      </c>
      <c r="E175" s="2">
        <v>45932</v>
      </c>
      <c r="F175" s="2">
        <v>45934</v>
      </c>
      <c r="G175" s="2">
        <v>45936</v>
      </c>
      <c r="H175" s="2">
        <v>45938</v>
      </c>
      <c r="I175" s="1" t="s">
        <v>17</v>
      </c>
      <c r="K175" s="2">
        <v>45953</v>
      </c>
      <c r="L175" s="88">
        <f>IF(OR(Data[[#This Row],[Service Follow-up Date]]="",Data[[#This Row],[Delivery Date]]=""),"",INT(Data[[#This Row],[Service Follow-up Date]]-Data[[#This Row],[Delivery Date]]))</f>
        <v>15</v>
      </c>
      <c r="M175" s="1">
        <v>2</v>
      </c>
      <c r="N175" s="1">
        <v>2</v>
      </c>
      <c r="O175" s="1">
        <v>2</v>
      </c>
      <c r="P175" s="1">
        <v>6</v>
      </c>
      <c r="Q175" t="str">
        <f>IF(ISBLANK(Data[[#This Row],[Customer Rating]]),"No Rating",IF(Data[[#This Row],[Customer Rating]]&gt;=9,"Promoter",IF(Data[[#This Row],[Customer Rating]]&gt;=7,"Passive","Detractor")))</f>
        <v>Detractor</v>
      </c>
    </row>
    <row r="176" spans="1:17" ht="14.25" customHeight="1" x14ac:dyDescent="0.3">
      <c r="A176" s="1" t="s">
        <v>202</v>
      </c>
      <c r="B176" s="1" t="s">
        <v>32</v>
      </c>
      <c r="C176" s="1" t="s">
        <v>16</v>
      </c>
      <c r="D176" s="1" t="str">
        <f>IF(Data[[#This Row],[Cancellation Status]]="No", "High Potential", "Normal")</f>
        <v>High Potential</v>
      </c>
      <c r="E176" s="2">
        <v>45939</v>
      </c>
      <c r="F176" s="2">
        <v>45944</v>
      </c>
      <c r="G176" s="2">
        <v>45945</v>
      </c>
      <c r="H176" s="2">
        <v>45952</v>
      </c>
      <c r="I176" s="1" t="s">
        <v>17</v>
      </c>
      <c r="K176" s="2">
        <v>45964</v>
      </c>
      <c r="L176" s="88">
        <f>IF(OR(Data[[#This Row],[Service Follow-up Date]]="",Data[[#This Row],[Delivery Date]]=""),"",INT(Data[[#This Row],[Service Follow-up Date]]-Data[[#This Row],[Delivery Date]]))</f>
        <v>12</v>
      </c>
      <c r="M176" s="1">
        <v>5</v>
      </c>
      <c r="N176" s="1">
        <v>1</v>
      </c>
      <c r="O176" s="1">
        <v>7</v>
      </c>
      <c r="P176" s="1">
        <v>6</v>
      </c>
      <c r="Q176" t="str">
        <f>IF(ISBLANK(Data[[#This Row],[Customer Rating]]),"No Rating",IF(Data[[#This Row],[Customer Rating]]&gt;=9,"Promoter",IF(Data[[#This Row],[Customer Rating]]&gt;=7,"Passive","Detractor")))</f>
        <v>Detractor</v>
      </c>
    </row>
    <row r="177" spans="1:17" ht="14.25" customHeight="1" x14ac:dyDescent="0.3">
      <c r="A177" s="1" t="s">
        <v>203</v>
      </c>
      <c r="B177" s="1" t="s">
        <v>32</v>
      </c>
      <c r="C177" s="1" t="s">
        <v>22</v>
      </c>
      <c r="D177" s="1" t="str">
        <f>IF(Data[[#This Row],[Cancellation Status]]="No", "High Potential", "Normal")</f>
        <v>Normal</v>
      </c>
      <c r="E177" s="2">
        <v>45961</v>
      </c>
      <c r="I177" s="1" t="s">
        <v>23</v>
      </c>
      <c r="J177" s="1" t="s">
        <v>101</v>
      </c>
      <c r="L177" s="88" t="str">
        <f>IF(OR(Data[[#This Row],[Service Follow-up Date]]="",Data[[#This Row],[Delivery Date]]=""),"",INT(Data[[#This Row],[Service Follow-up Date]]-Data[[#This Row],[Delivery Date]]))</f>
        <v/>
      </c>
      <c r="Q177" t="str">
        <f>IF(ISBLANK(Data[[#This Row],[Customer Rating]]),"No Rating",IF(Data[[#This Row],[Customer Rating]]&gt;=9,"Promoter",IF(Data[[#This Row],[Customer Rating]]&gt;=7,"Passive","Detractor")))</f>
        <v>No Rating</v>
      </c>
    </row>
    <row r="178" spans="1:17" ht="14.25" customHeight="1" x14ac:dyDescent="0.3">
      <c r="A178" s="1" t="s">
        <v>204</v>
      </c>
      <c r="B178" s="1" t="s">
        <v>15</v>
      </c>
      <c r="C178" s="1" t="s">
        <v>16</v>
      </c>
      <c r="D178" s="1" t="str">
        <f>IF(Data[[#This Row],[Cancellation Status]]="No", "High Potential", "Normal")</f>
        <v>High Potential</v>
      </c>
      <c r="E178" s="2">
        <v>45958</v>
      </c>
      <c r="F178" s="2">
        <v>45963</v>
      </c>
      <c r="G178" s="2">
        <v>45967</v>
      </c>
      <c r="H178" s="2">
        <v>45972</v>
      </c>
      <c r="I178" s="1" t="s">
        <v>17</v>
      </c>
      <c r="K178" s="2">
        <v>45999</v>
      </c>
      <c r="L178" s="88">
        <f>IF(OR(Data[[#This Row],[Service Follow-up Date]]="",Data[[#This Row],[Delivery Date]]=""),"",INT(Data[[#This Row],[Service Follow-up Date]]-Data[[#This Row],[Delivery Date]]))</f>
        <v>27</v>
      </c>
      <c r="M178" s="1">
        <v>5</v>
      </c>
      <c r="N178" s="1">
        <v>4</v>
      </c>
      <c r="O178" s="1">
        <v>5</v>
      </c>
      <c r="P178" s="1">
        <v>3</v>
      </c>
      <c r="Q178" t="str">
        <f>IF(ISBLANK(Data[[#This Row],[Customer Rating]]),"No Rating",IF(Data[[#This Row],[Customer Rating]]&gt;=9,"Promoter",IF(Data[[#This Row],[Customer Rating]]&gt;=7,"Passive","Detractor")))</f>
        <v>Detractor</v>
      </c>
    </row>
    <row r="179" spans="1:17" ht="14.25" customHeight="1" x14ac:dyDescent="0.3">
      <c r="A179" s="1" t="s">
        <v>205</v>
      </c>
      <c r="B179" s="1" t="s">
        <v>21</v>
      </c>
      <c r="C179" s="1" t="s">
        <v>30</v>
      </c>
      <c r="D179" s="1" t="str">
        <f>IF(Data[[#This Row],[Cancellation Status]]="No", "High Potential", "Normal")</f>
        <v>High Potential</v>
      </c>
      <c r="E179" s="2">
        <v>45946</v>
      </c>
      <c r="F179" s="2">
        <v>45949</v>
      </c>
      <c r="G179" s="2">
        <v>45953</v>
      </c>
      <c r="H179" s="2">
        <v>45959</v>
      </c>
      <c r="I179" s="1" t="s">
        <v>17</v>
      </c>
      <c r="K179" s="2">
        <v>45971</v>
      </c>
      <c r="L179" s="88">
        <f>IF(OR(Data[[#This Row],[Service Follow-up Date]]="",Data[[#This Row],[Delivery Date]]=""),"",INT(Data[[#This Row],[Service Follow-up Date]]-Data[[#This Row],[Delivery Date]]))</f>
        <v>12</v>
      </c>
      <c r="M179" s="1">
        <v>3</v>
      </c>
      <c r="N179" s="1">
        <v>4</v>
      </c>
      <c r="O179" s="1">
        <v>6</v>
      </c>
      <c r="P179" s="1">
        <v>5</v>
      </c>
      <c r="Q179" t="str">
        <f>IF(ISBLANK(Data[[#This Row],[Customer Rating]]),"No Rating",IF(Data[[#This Row],[Customer Rating]]&gt;=9,"Promoter",IF(Data[[#This Row],[Customer Rating]]&gt;=7,"Passive","Detractor")))</f>
        <v>Detractor</v>
      </c>
    </row>
    <row r="180" spans="1:17" ht="14.25" customHeight="1" x14ac:dyDescent="0.3">
      <c r="A180" s="1" t="s">
        <v>206</v>
      </c>
      <c r="B180" s="1" t="s">
        <v>32</v>
      </c>
      <c r="C180" s="1" t="s">
        <v>16</v>
      </c>
      <c r="D180" s="1" t="str">
        <f>IF(Data[[#This Row],[Cancellation Status]]="No", "High Potential", "Normal")</f>
        <v>High Potential</v>
      </c>
      <c r="E180" s="2">
        <v>45934</v>
      </c>
      <c r="F180" s="2">
        <v>45935</v>
      </c>
      <c r="G180" s="2">
        <v>45937</v>
      </c>
      <c r="H180" s="2">
        <v>45940</v>
      </c>
      <c r="I180" s="1" t="s">
        <v>17</v>
      </c>
      <c r="K180" s="2">
        <v>45960</v>
      </c>
      <c r="L180" s="88">
        <f>IF(OR(Data[[#This Row],[Service Follow-up Date]]="",Data[[#This Row],[Delivery Date]]=""),"",INT(Data[[#This Row],[Service Follow-up Date]]-Data[[#This Row],[Delivery Date]]))</f>
        <v>20</v>
      </c>
      <c r="M180" s="1">
        <v>1</v>
      </c>
      <c r="N180" s="1">
        <v>2</v>
      </c>
      <c r="O180" s="1">
        <v>3</v>
      </c>
      <c r="P180" s="1">
        <v>9</v>
      </c>
      <c r="Q180" t="str">
        <f>IF(ISBLANK(Data[[#This Row],[Customer Rating]]),"No Rating",IF(Data[[#This Row],[Customer Rating]]&gt;=9,"Promoter",IF(Data[[#This Row],[Customer Rating]]&gt;=7,"Passive","Detractor")))</f>
        <v>Promoter</v>
      </c>
    </row>
    <row r="181" spans="1:17" ht="14.25" customHeight="1" x14ac:dyDescent="0.3">
      <c r="A181" s="1" t="s">
        <v>207</v>
      </c>
      <c r="B181" s="1" t="s">
        <v>21</v>
      </c>
      <c r="C181" s="1" t="s">
        <v>16</v>
      </c>
      <c r="D181" s="1" t="str">
        <f>IF(Data[[#This Row],[Cancellation Status]]="No", "High Potential", "Normal")</f>
        <v>High Potential</v>
      </c>
      <c r="E181" s="2">
        <v>45957</v>
      </c>
      <c r="F181" s="2">
        <v>45961</v>
      </c>
      <c r="G181" s="2">
        <v>45964</v>
      </c>
      <c r="H181" s="2">
        <v>45969</v>
      </c>
      <c r="I181" s="1" t="s">
        <v>17</v>
      </c>
      <c r="K181" s="2">
        <v>45998</v>
      </c>
      <c r="L181" s="88">
        <f>IF(OR(Data[[#This Row],[Service Follow-up Date]]="",Data[[#This Row],[Delivery Date]]=""),"",INT(Data[[#This Row],[Service Follow-up Date]]-Data[[#This Row],[Delivery Date]]))</f>
        <v>29</v>
      </c>
      <c r="M181" s="1">
        <v>4</v>
      </c>
      <c r="N181" s="1">
        <v>3</v>
      </c>
      <c r="O181" s="1">
        <v>5</v>
      </c>
      <c r="P181" s="1">
        <v>4</v>
      </c>
      <c r="Q181" t="str">
        <f>IF(ISBLANK(Data[[#This Row],[Customer Rating]]),"No Rating",IF(Data[[#This Row],[Customer Rating]]&gt;=9,"Promoter",IF(Data[[#This Row],[Customer Rating]]&gt;=7,"Passive","Detractor")))</f>
        <v>Detractor</v>
      </c>
    </row>
    <row r="182" spans="1:17" ht="14.25" customHeight="1" x14ac:dyDescent="0.3">
      <c r="A182" s="1" t="s">
        <v>208</v>
      </c>
      <c r="B182" s="1" t="s">
        <v>21</v>
      </c>
      <c r="C182" s="1" t="s">
        <v>30</v>
      </c>
      <c r="D182" s="1" t="str">
        <f>IF(Data[[#This Row],[Cancellation Status]]="No", "High Potential", "Normal")</f>
        <v>High Potential</v>
      </c>
      <c r="E182" s="2">
        <v>45933</v>
      </c>
      <c r="F182" s="2">
        <v>45934</v>
      </c>
      <c r="G182" s="2">
        <v>45935</v>
      </c>
      <c r="H182" s="2">
        <v>45937</v>
      </c>
      <c r="I182" s="1" t="s">
        <v>17</v>
      </c>
      <c r="K182" s="2">
        <v>45966</v>
      </c>
      <c r="L182" s="88">
        <f>IF(OR(Data[[#This Row],[Service Follow-up Date]]="",Data[[#This Row],[Delivery Date]]=""),"",INT(Data[[#This Row],[Service Follow-up Date]]-Data[[#This Row],[Delivery Date]]))</f>
        <v>29</v>
      </c>
      <c r="M182" s="1">
        <v>1</v>
      </c>
      <c r="N182" s="1">
        <v>1</v>
      </c>
      <c r="O182" s="1">
        <v>2</v>
      </c>
      <c r="P182" s="1">
        <v>1</v>
      </c>
      <c r="Q182" t="str">
        <f>IF(ISBLANK(Data[[#This Row],[Customer Rating]]),"No Rating",IF(Data[[#This Row],[Customer Rating]]&gt;=9,"Promoter",IF(Data[[#This Row],[Customer Rating]]&gt;=7,"Passive","Detractor")))</f>
        <v>Detractor</v>
      </c>
    </row>
    <row r="183" spans="1:17" ht="14.25" customHeight="1" x14ac:dyDescent="0.3">
      <c r="A183" s="1" t="s">
        <v>209</v>
      </c>
      <c r="B183" s="1" t="s">
        <v>15</v>
      </c>
      <c r="C183" s="1" t="s">
        <v>16</v>
      </c>
      <c r="D183" s="1" t="str">
        <f>IF(Data[[#This Row],[Cancellation Status]]="No", "High Potential", "Normal")</f>
        <v>High Potential</v>
      </c>
      <c r="E183" s="2">
        <v>45943</v>
      </c>
      <c r="F183" s="2">
        <v>45947</v>
      </c>
      <c r="G183" s="2">
        <v>45948</v>
      </c>
      <c r="H183" s="2">
        <v>45955</v>
      </c>
      <c r="I183" s="1" t="s">
        <v>17</v>
      </c>
      <c r="K183" s="2">
        <v>45980</v>
      </c>
      <c r="L183" s="88">
        <f>IF(OR(Data[[#This Row],[Service Follow-up Date]]="",Data[[#This Row],[Delivery Date]]=""),"",INT(Data[[#This Row],[Service Follow-up Date]]-Data[[#This Row],[Delivery Date]]))</f>
        <v>25</v>
      </c>
      <c r="M183" s="1">
        <v>4</v>
      </c>
      <c r="N183" s="1">
        <v>1</v>
      </c>
      <c r="O183" s="1">
        <v>7</v>
      </c>
      <c r="P183" s="1">
        <v>4</v>
      </c>
      <c r="Q183" t="str">
        <f>IF(ISBLANK(Data[[#This Row],[Customer Rating]]),"No Rating",IF(Data[[#This Row],[Customer Rating]]&gt;=9,"Promoter",IF(Data[[#This Row],[Customer Rating]]&gt;=7,"Passive","Detractor")))</f>
        <v>Detractor</v>
      </c>
    </row>
    <row r="184" spans="1:17" ht="14.25" customHeight="1" x14ac:dyDescent="0.3">
      <c r="A184" s="1" t="s">
        <v>210</v>
      </c>
      <c r="B184" s="1" t="s">
        <v>32</v>
      </c>
      <c r="C184" s="1" t="s">
        <v>22</v>
      </c>
      <c r="D184" s="1" t="str">
        <f>IF(Data[[#This Row],[Cancellation Status]]="No", "High Potential", "Normal")</f>
        <v>Normal</v>
      </c>
      <c r="E184" s="2">
        <v>45946</v>
      </c>
      <c r="I184" s="1" t="s">
        <v>23</v>
      </c>
      <c r="J184" s="1" t="s">
        <v>26</v>
      </c>
      <c r="L184" s="88" t="str">
        <f>IF(OR(Data[[#This Row],[Service Follow-up Date]]="",Data[[#This Row],[Delivery Date]]=""),"",INT(Data[[#This Row],[Service Follow-up Date]]-Data[[#This Row],[Delivery Date]]))</f>
        <v/>
      </c>
      <c r="Q184" t="str">
        <f>IF(ISBLANK(Data[[#This Row],[Customer Rating]]),"No Rating",IF(Data[[#This Row],[Customer Rating]]&gt;=9,"Promoter",IF(Data[[#This Row],[Customer Rating]]&gt;=7,"Passive","Detractor")))</f>
        <v>No Rating</v>
      </c>
    </row>
    <row r="185" spans="1:17" ht="14.25" customHeight="1" x14ac:dyDescent="0.3">
      <c r="A185" s="1" t="s">
        <v>211</v>
      </c>
      <c r="B185" s="1" t="s">
        <v>19</v>
      </c>
      <c r="C185" s="1" t="s">
        <v>30</v>
      </c>
      <c r="D185" s="1" t="str">
        <f>IF(Data[[#This Row],[Cancellation Status]]="No", "High Potential", "Normal")</f>
        <v>High Potential</v>
      </c>
      <c r="E185" s="2">
        <v>45933</v>
      </c>
      <c r="F185" s="2">
        <v>45934</v>
      </c>
      <c r="G185" s="2">
        <v>45937</v>
      </c>
      <c r="H185" s="2">
        <v>45944</v>
      </c>
      <c r="I185" s="1" t="s">
        <v>17</v>
      </c>
      <c r="K185" s="2">
        <v>45954</v>
      </c>
      <c r="L185" s="88">
        <f>IF(OR(Data[[#This Row],[Service Follow-up Date]]="",Data[[#This Row],[Delivery Date]]=""),"",INT(Data[[#This Row],[Service Follow-up Date]]-Data[[#This Row],[Delivery Date]]))</f>
        <v>10</v>
      </c>
      <c r="M185" s="1">
        <v>1</v>
      </c>
      <c r="N185" s="1">
        <v>3</v>
      </c>
      <c r="O185" s="1">
        <v>7</v>
      </c>
      <c r="P185" s="1">
        <v>6</v>
      </c>
      <c r="Q185" t="str">
        <f>IF(ISBLANK(Data[[#This Row],[Customer Rating]]),"No Rating",IF(Data[[#This Row],[Customer Rating]]&gt;=9,"Promoter",IF(Data[[#This Row],[Customer Rating]]&gt;=7,"Passive","Detractor")))</f>
        <v>Detractor</v>
      </c>
    </row>
    <row r="186" spans="1:17" ht="14.25" customHeight="1" x14ac:dyDescent="0.3">
      <c r="A186" s="1" t="s">
        <v>212</v>
      </c>
      <c r="B186" s="1" t="s">
        <v>15</v>
      </c>
      <c r="C186" s="1" t="s">
        <v>16</v>
      </c>
      <c r="D186" s="1" t="str">
        <f>IF(Data[[#This Row],[Cancellation Status]]="No", "High Potential", "Normal")</f>
        <v>High Potential</v>
      </c>
      <c r="E186" s="2">
        <v>45949</v>
      </c>
      <c r="F186" s="2">
        <v>45953</v>
      </c>
      <c r="G186" s="2">
        <v>45958</v>
      </c>
      <c r="H186" s="2">
        <v>45961</v>
      </c>
      <c r="I186" s="1" t="s">
        <v>17</v>
      </c>
      <c r="K186" s="2">
        <v>45984</v>
      </c>
      <c r="L186" s="88">
        <f>IF(OR(Data[[#This Row],[Service Follow-up Date]]="",Data[[#This Row],[Delivery Date]]=""),"",INT(Data[[#This Row],[Service Follow-up Date]]-Data[[#This Row],[Delivery Date]]))</f>
        <v>23</v>
      </c>
      <c r="M186" s="1">
        <v>4</v>
      </c>
      <c r="N186" s="1">
        <v>5</v>
      </c>
      <c r="O186" s="1">
        <v>3</v>
      </c>
      <c r="P186" s="1">
        <v>3</v>
      </c>
      <c r="Q186" t="str">
        <f>IF(ISBLANK(Data[[#This Row],[Customer Rating]]),"No Rating",IF(Data[[#This Row],[Customer Rating]]&gt;=9,"Promoter",IF(Data[[#This Row],[Customer Rating]]&gt;=7,"Passive","Detractor")))</f>
        <v>Detractor</v>
      </c>
    </row>
    <row r="187" spans="1:17" ht="14.25" customHeight="1" x14ac:dyDescent="0.3">
      <c r="A187" s="1" t="s">
        <v>213</v>
      </c>
      <c r="B187" s="1" t="s">
        <v>19</v>
      </c>
      <c r="C187" s="1" t="s">
        <v>16</v>
      </c>
      <c r="D187" s="1" t="str">
        <f>IF(Data[[#This Row],[Cancellation Status]]="No", "High Potential", "Normal")</f>
        <v>High Potential</v>
      </c>
      <c r="E187" s="2">
        <v>45951</v>
      </c>
      <c r="F187" s="2">
        <v>45952</v>
      </c>
      <c r="G187" s="2">
        <v>45957</v>
      </c>
      <c r="H187" s="2">
        <v>45961</v>
      </c>
      <c r="I187" s="1" t="s">
        <v>17</v>
      </c>
      <c r="K187" s="2">
        <v>45991</v>
      </c>
      <c r="L187" s="88">
        <f>IF(OR(Data[[#This Row],[Service Follow-up Date]]="",Data[[#This Row],[Delivery Date]]=""),"",INT(Data[[#This Row],[Service Follow-up Date]]-Data[[#This Row],[Delivery Date]]))</f>
        <v>30</v>
      </c>
      <c r="M187" s="1">
        <v>1</v>
      </c>
      <c r="N187" s="1">
        <v>5</v>
      </c>
      <c r="O187" s="1">
        <v>4</v>
      </c>
      <c r="P187" s="1">
        <v>2</v>
      </c>
      <c r="Q187" t="str">
        <f>IF(ISBLANK(Data[[#This Row],[Customer Rating]]),"No Rating",IF(Data[[#This Row],[Customer Rating]]&gt;=9,"Promoter",IF(Data[[#This Row],[Customer Rating]]&gt;=7,"Passive","Detractor")))</f>
        <v>Detractor</v>
      </c>
    </row>
    <row r="188" spans="1:17" ht="14.25" customHeight="1" x14ac:dyDescent="0.3">
      <c r="A188" s="1" t="s">
        <v>214</v>
      </c>
      <c r="B188" s="1" t="s">
        <v>21</v>
      </c>
      <c r="C188" s="1" t="s">
        <v>16</v>
      </c>
      <c r="D188" s="1" t="str">
        <f>IF(Data[[#This Row],[Cancellation Status]]="No", "High Potential", "Normal")</f>
        <v>High Potential</v>
      </c>
      <c r="E188" s="2">
        <v>45952</v>
      </c>
      <c r="F188" s="2">
        <v>45955</v>
      </c>
      <c r="G188" s="2">
        <v>45956</v>
      </c>
      <c r="H188" s="2">
        <v>45958</v>
      </c>
      <c r="I188" s="1" t="s">
        <v>17</v>
      </c>
      <c r="K188" s="2">
        <v>45973</v>
      </c>
      <c r="L188" s="88">
        <f>IF(OR(Data[[#This Row],[Service Follow-up Date]]="",Data[[#This Row],[Delivery Date]]=""),"",INT(Data[[#This Row],[Service Follow-up Date]]-Data[[#This Row],[Delivery Date]]))</f>
        <v>15</v>
      </c>
      <c r="M188" s="1">
        <v>3</v>
      </c>
      <c r="N188" s="1">
        <v>1</v>
      </c>
      <c r="O188" s="1">
        <v>2</v>
      </c>
      <c r="P188" s="1">
        <v>3</v>
      </c>
      <c r="Q188" t="str">
        <f>IF(ISBLANK(Data[[#This Row],[Customer Rating]]),"No Rating",IF(Data[[#This Row],[Customer Rating]]&gt;=9,"Promoter",IF(Data[[#This Row],[Customer Rating]]&gt;=7,"Passive","Detractor")))</f>
        <v>Detractor</v>
      </c>
    </row>
    <row r="189" spans="1:17" ht="14.25" customHeight="1" x14ac:dyDescent="0.3">
      <c r="A189" s="1" t="s">
        <v>215</v>
      </c>
      <c r="B189" s="1" t="s">
        <v>21</v>
      </c>
      <c r="C189" s="1" t="s">
        <v>30</v>
      </c>
      <c r="D189" s="1" t="str">
        <f>IF(Data[[#This Row],[Cancellation Status]]="No", "High Potential", "Normal")</f>
        <v>High Potential</v>
      </c>
      <c r="E189" s="2">
        <v>45932</v>
      </c>
      <c r="F189" s="2">
        <v>45937</v>
      </c>
      <c r="G189" s="2">
        <v>45940</v>
      </c>
      <c r="H189" s="2">
        <v>45945</v>
      </c>
      <c r="I189" s="1" t="s">
        <v>17</v>
      </c>
      <c r="K189" s="2">
        <v>45974</v>
      </c>
      <c r="L189" s="88">
        <f>IF(OR(Data[[#This Row],[Service Follow-up Date]]="",Data[[#This Row],[Delivery Date]]=""),"",INT(Data[[#This Row],[Service Follow-up Date]]-Data[[#This Row],[Delivery Date]]))</f>
        <v>29</v>
      </c>
      <c r="M189" s="1">
        <v>5</v>
      </c>
      <c r="N189" s="1">
        <v>3</v>
      </c>
      <c r="O189" s="1">
        <v>5</v>
      </c>
      <c r="P189" s="1">
        <v>7</v>
      </c>
      <c r="Q189" t="str">
        <f>IF(ISBLANK(Data[[#This Row],[Customer Rating]]),"No Rating",IF(Data[[#This Row],[Customer Rating]]&gt;=9,"Promoter",IF(Data[[#This Row],[Customer Rating]]&gt;=7,"Passive","Detractor")))</f>
        <v>Passive</v>
      </c>
    </row>
    <row r="190" spans="1:17" ht="14.25" customHeight="1" x14ac:dyDescent="0.3">
      <c r="A190" s="1" t="s">
        <v>216</v>
      </c>
      <c r="B190" s="1" t="s">
        <v>15</v>
      </c>
      <c r="C190" s="1" t="s">
        <v>30</v>
      </c>
      <c r="D190" s="1" t="str">
        <f>IF(Data[[#This Row],[Cancellation Status]]="No", "High Potential", "Normal")</f>
        <v>High Potential</v>
      </c>
      <c r="E190" s="2">
        <v>45935</v>
      </c>
      <c r="F190" s="2">
        <v>45939</v>
      </c>
      <c r="G190" s="2">
        <v>45942</v>
      </c>
      <c r="H190" s="2">
        <v>45946</v>
      </c>
      <c r="I190" s="1" t="s">
        <v>17</v>
      </c>
      <c r="K190" s="2">
        <v>45969</v>
      </c>
      <c r="L190" s="88">
        <f>IF(OR(Data[[#This Row],[Service Follow-up Date]]="",Data[[#This Row],[Delivery Date]]=""),"",INT(Data[[#This Row],[Service Follow-up Date]]-Data[[#This Row],[Delivery Date]]))</f>
        <v>23</v>
      </c>
      <c r="M190" s="1">
        <v>4</v>
      </c>
      <c r="N190" s="1">
        <v>3</v>
      </c>
      <c r="O190" s="1">
        <v>4</v>
      </c>
      <c r="P190" s="1">
        <v>9</v>
      </c>
      <c r="Q190" t="str">
        <f>IF(ISBLANK(Data[[#This Row],[Customer Rating]]),"No Rating",IF(Data[[#This Row],[Customer Rating]]&gt;=9,"Promoter",IF(Data[[#This Row],[Customer Rating]]&gt;=7,"Passive","Detractor")))</f>
        <v>Promoter</v>
      </c>
    </row>
    <row r="191" spans="1:17" ht="14.25" customHeight="1" x14ac:dyDescent="0.3">
      <c r="A191" s="1" t="s">
        <v>217</v>
      </c>
      <c r="B191" s="1" t="s">
        <v>15</v>
      </c>
      <c r="C191" s="1" t="s">
        <v>22</v>
      </c>
      <c r="D191" s="1" t="str">
        <f>IF(Data[[#This Row],[Cancellation Status]]="No", "High Potential", "Normal")</f>
        <v>Normal</v>
      </c>
      <c r="E191" s="2">
        <v>45935</v>
      </c>
      <c r="I191" s="1" t="s">
        <v>23</v>
      </c>
      <c r="J191" s="1" t="s">
        <v>26</v>
      </c>
      <c r="L191" s="88" t="str">
        <f>IF(OR(Data[[#This Row],[Service Follow-up Date]]="",Data[[#This Row],[Delivery Date]]=""),"",INT(Data[[#This Row],[Service Follow-up Date]]-Data[[#This Row],[Delivery Date]]))</f>
        <v/>
      </c>
      <c r="Q191" t="str">
        <f>IF(ISBLANK(Data[[#This Row],[Customer Rating]]),"No Rating",IF(Data[[#This Row],[Customer Rating]]&gt;=9,"Promoter",IF(Data[[#This Row],[Customer Rating]]&gt;=7,"Passive","Detractor")))</f>
        <v>No Rating</v>
      </c>
    </row>
    <row r="192" spans="1:17" ht="14.25" customHeight="1" x14ac:dyDescent="0.3">
      <c r="A192" s="1" t="s">
        <v>218</v>
      </c>
      <c r="B192" s="1" t="s">
        <v>19</v>
      </c>
      <c r="C192" s="1" t="s">
        <v>22</v>
      </c>
      <c r="D192" s="1" t="str">
        <f>IF(Data[[#This Row],[Cancellation Status]]="No", "High Potential", "Normal")</f>
        <v>Normal</v>
      </c>
      <c r="E192" s="2">
        <v>45956</v>
      </c>
      <c r="I192" s="1" t="s">
        <v>23</v>
      </c>
      <c r="J192" s="1" t="s">
        <v>24</v>
      </c>
      <c r="L192" s="88" t="str">
        <f>IF(OR(Data[[#This Row],[Service Follow-up Date]]="",Data[[#This Row],[Delivery Date]]=""),"",INT(Data[[#This Row],[Service Follow-up Date]]-Data[[#This Row],[Delivery Date]]))</f>
        <v/>
      </c>
      <c r="Q192" t="str">
        <f>IF(ISBLANK(Data[[#This Row],[Customer Rating]]),"No Rating",IF(Data[[#This Row],[Customer Rating]]&gt;=9,"Promoter",IF(Data[[#This Row],[Customer Rating]]&gt;=7,"Passive","Detractor")))</f>
        <v>No Rating</v>
      </c>
    </row>
    <row r="193" spans="1:17" ht="14.25" customHeight="1" x14ac:dyDescent="0.3">
      <c r="A193" s="1" t="s">
        <v>219</v>
      </c>
      <c r="B193" s="1" t="s">
        <v>32</v>
      </c>
      <c r="C193" s="1" t="s">
        <v>16</v>
      </c>
      <c r="D193" s="1" t="str">
        <f>IF(Data[[#This Row],[Cancellation Status]]="No", "High Potential", "Normal")</f>
        <v>High Potential</v>
      </c>
      <c r="E193" s="2">
        <v>45949</v>
      </c>
      <c r="F193" s="2">
        <v>45954</v>
      </c>
      <c r="G193" s="2">
        <v>45958</v>
      </c>
      <c r="H193" s="2">
        <v>45962</v>
      </c>
      <c r="I193" s="1" t="s">
        <v>17</v>
      </c>
      <c r="K193" s="2">
        <v>45977</v>
      </c>
      <c r="L193" s="88">
        <f>IF(OR(Data[[#This Row],[Service Follow-up Date]]="",Data[[#This Row],[Delivery Date]]=""),"",INT(Data[[#This Row],[Service Follow-up Date]]-Data[[#This Row],[Delivery Date]]))</f>
        <v>15</v>
      </c>
      <c r="M193" s="1">
        <v>5</v>
      </c>
      <c r="N193" s="1">
        <v>4</v>
      </c>
      <c r="O193" s="1">
        <v>4</v>
      </c>
      <c r="P193" s="1">
        <v>10</v>
      </c>
      <c r="Q193" t="str">
        <f>IF(ISBLANK(Data[[#This Row],[Customer Rating]]),"No Rating",IF(Data[[#This Row],[Customer Rating]]&gt;=9,"Promoter",IF(Data[[#This Row],[Customer Rating]]&gt;=7,"Passive","Detractor")))</f>
        <v>Promoter</v>
      </c>
    </row>
    <row r="194" spans="1:17" ht="14.25" customHeight="1" x14ac:dyDescent="0.3">
      <c r="A194" s="1" t="s">
        <v>220</v>
      </c>
      <c r="B194" s="1" t="s">
        <v>19</v>
      </c>
      <c r="C194" s="1" t="s">
        <v>16</v>
      </c>
      <c r="D194" s="1" t="str">
        <f>IF(Data[[#This Row],[Cancellation Status]]="No", "High Potential", "Normal")</f>
        <v>Normal</v>
      </c>
      <c r="E194" s="2">
        <v>45961</v>
      </c>
      <c r="F194" s="2">
        <v>45965</v>
      </c>
      <c r="G194" s="2">
        <v>45970</v>
      </c>
      <c r="H194" s="2">
        <v>45972</v>
      </c>
      <c r="I194" s="1" t="s">
        <v>23</v>
      </c>
      <c r="J194" s="1" t="s">
        <v>33</v>
      </c>
      <c r="L194" s="88" t="str">
        <f>IF(OR(Data[[#This Row],[Service Follow-up Date]]="",Data[[#This Row],[Delivery Date]]=""),"",INT(Data[[#This Row],[Service Follow-up Date]]-Data[[#This Row],[Delivery Date]]))</f>
        <v/>
      </c>
      <c r="M194" s="1">
        <v>4</v>
      </c>
      <c r="N194" s="1">
        <v>5</v>
      </c>
      <c r="O194" s="1">
        <v>2</v>
      </c>
      <c r="Q194" t="str">
        <f>IF(ISBLANK(Data[[#This Row],[Customer Rating]]),"No Rating",IF(Data[[#This Row],[Customer Rating]]&gt;=9,"Promoter",IF(Data[[#This Row],[Customer Rating]]&gt;=7,"Passive","Detractor")))</f>
        <v>No Rating</v>
      </c>
    </row>
    <row r="195" spans="1:17" ht="14.25" customHeight="1" x14ac:dyDescent="0.3">
      <c r="A195" s="1" t="s">
        <v>221</v>
      </c>
      <c r="B195" s="1" t="s">
        <v>15</v>
      </c>
      <c r="C195" s="1" t="s">
        <v>16</v>
      </c>
      <c r="D195" s="1" t="str">
        <f>IF(Data[[#This Row],[Cancellation Status]]="No", "High Potential", "Normal")</f>
        <v>High Potential</v>
      </c>
      <c r="E195" s="2">
        <v>45940</v>
      </c>
      <c r="F195" s="2">
        <v>45944</v>
      </c>
      <c r="G195" s="2">
        <v>45949</v>
      </c>
      <c r="H195" s="2">
        <v>45954</v>
      </c>
      <c r="I195" s="1" t="s">
        <v>17</v>
      </c>
      <c r="K195" s="2">
        <v>45965</v>
      </c>
      <c r="L195" s="88">
        <f>IF(OR(Data[[#This Row],[Service Follow-up Date]]="",Data[[#This Row],[Delivery Date]]=""),"",INT(Data[[#This Row],[Service Follow-up Date]]-Data[[#This Row],[Delivery Date]]))</f>
        <v>11</v>
      </c>
      <c r="M195" s="1">
        <v>4</v>
      </c>
      <c r="N195" s="1">
        <v>5</v>
      </c>
      <c r="O195" s="1">
        <v>5</v>
      </c>
      <c r="P195" s="1">
        <v>5</v>
      </c>
      <c r="Q195" t="str">
        <f>IF(ISBLANK(Data[[#This Row],[Customer Rating]]),"No Rating",IF(Data[[#This Row],[Customer Rating]]&gt;=9,"Promoter",IF(Data[[#This Row],[Customer Rating]]&gt;=7,"Passive","Detractor")))</f>
        <v>Detractor</v>
      </c>
    </row>
    <row r="196" spans="1:17" ht="14.25" customHeight="1" x14ac:dyDescent="0.3">
      <c r="A196" s="1" t="s">
        <v>222</v>
      </c>
      <c r="B196" s="1" t="s">
        <v>19</v>
      </c>
      <c r="C196" s="1" t="s">
        <v>16</v>
      </c>
      <c r="D196" s="1" t="str">
        <f>IF(Data[[#This Row],[Cancellation Status]]="No", "High Potential", "Normal")</f>
        <v>High Potential</v>
      </c>
      <c r="E196" s="2">
        <v>45933</v>
      </c>
      <c r="F196" s="2">
        <v>45936</v>
      </c>
      <c r="G196" s="2">
        <v>45940</v>
      </c>
      <c r="H196" s="2">
        <v>45942</v>
      </c>
      <c r="I196" s="1" t="s">
        <v>17</v>
      </c>
      <c r="K196" s="2">
        <v>45955</v>
      </c>
      <c r="L196" s="88">
        <f>IF(OR(Data[[#This Row],[Service Follow-up Date]]="",Data[[#This Row],[Delivery Date]]=""),"",INT(Data[[#This Row],[Service Follow-up Date]]-Data[[#This Row],[Delivery Date]]))</f>
        <v>13</v>
      </c>
      <c r="M196" s="1">
        <v>3</v>
      </c>
      <c r="N196" s="1">
        <v>4</v>
      </c>
      <c r="O196" s="1">
        <v>2</v>
      </c>
      <c r="P196" s="1">
        <v>3</v>
      </c>
      <c r="Q196" t="str">
        <f>IF(ISBLANK(Data[[#This Row],[Customer Rating]]),"No Rating",IF(Data[[#This Row],[Customer Rating]]&gt;=9,"Promoter",IF(Data[[#This Row],[Customer Rating]]&gt;=7,"Passive","Detractor")))</f>
        <v>Detractor</v>
      </c>
    </row>
    <row r="197" spans="1:17" ht="14.25" customHeight="1" x14ac:dyDescent="0.3">
      <c r="A197" s="1" t="s">
        <v>223</v>
      </c>
      <c r="B197" s="1" t="s">
        <v>15</v>
      </c>
      <c r="C197" s="1" t="s">
        <v>16</v>
      </c>
      <c r="D197" s="1" t="str">
        <f>IF(Data[[#This Row],[Cancellation Status]]="No", "High Potential", "Normal")</f>
        <v>High Potential</v>
      </c>
      <c r="E197" s="2">
        <v>45938</v>
      </c>
      <c r="F197" s="2">
        <v>45939</v>
      </c>
      <c r="G197" s="2">
        <v>45941</v>
      </c>
      <c r="H197" s="2">
        <v>45944</v>
      </c>
      <c r="I197" s="1" t="s">
        <v>17</v>
      </c>
      <c r="K197" s="2">
        <v>45964</v>
      </c>
      <c r="L197" s="88">
        <f>IF(OR(Data[[#This Row],[Service Follow-up Date]]="",Data[[#This Row],[Delivery Date]]=""),"",INT(Data[[#This Row],[Service Follow-up Date]]-Data[[#This Row],[Delivery Date]]))</f>
        <v>20</v>
      </c>
      <c r="M197" s="1">
        <v>1</v>
      </c>
      <c r="N197" s="1">
        <v>2</v>
      </c>
      <c r="O197" s="1">
        <v>3</v>
      </c>
      <c r="P197" s="1">
        <v>9</v>
      </c>
      <c r="Q197" t="str">
        <f>IF(ISBLANK(Data[[#This Row],[Customer Rating]]),"No Rating",IF(Data[[#This Row],[Customer Rating]]&gt;=9,"Promoter",IF(Data[[#This Row],[Customer Rating]]&gt;=7,"Passive","Detractor")))</f>
        <v>Promoter</v>
      </c>
    </row>
    <row r="198" spans="1:17" ht="14.25" customHeight="1" x14ac:dyDescent="0.3">
      <c r="A198" s="1" t="s">
        <v>224</v>
      </c>
      <c r="B198" s="1" t="s">
        <v>19</v>
      </c>
      <c r="C198" s="1" t="s">
        <v>30</v>
      </c>
      <c r="D198" s="1" t="str">
        <f>IF(Data[[#This Row],[Cancellation Status]]="No", "High Potential", "Normal")</f>
        <v>High Potential</v>
      </c>
      <c r="E198" s="2">
        <v>45934</v>
      </c>
      <c r="F198" s="2">
        <v>45938</v>
      </c>
      <c r="G198" s="2">
        <v>45943</v>
      </c>
      <c r="H198" s="2">
        <v>45946</v>
      </c>
      <c r="I198" s="1" t="s">
        <v>17</v>
      </c>
      <c r="K198" s="2">
        <v>45962</v>
      </c>
      <c r="L198" s="88">
        <f>IF(OR(Data[[#This Row],[Service Follow-up Date]]="",Data[[#This Row],[Delivery Date]]=""),"",INT(Data[[#This Row],[Service Follow-up Date]]-Data[[#This Row],[Delivery Date]]))</f>
        <v>16</v>
      </c>
      <c r="M198" s="1">
        <v>4</v>
      </c>
      <c r="N198" s="1">
        <v>5</v>
      </c>
      <c r="O198" s="1">
        <v>3</v>
      </c>
      <c r="P198" s="1">
        <v>10</v>
      </c>
      <c r="Q198" t="str">
        <f>IF(ISBLANK(Data[[#This Row],[Customer Rating]]),"No Rating",IF(Data[[#This Row],[Customer Rating]]&gt;=9,"Promoter",IF(Data[[#This Row],[Customer Rating]]&gt;=7,"Passive","Detractor")))</f>
        <v>Promoter</v>
      </c>
    </row>
    <row r="199" spans="1:17" ht="14.25" customHeight="1" x14ac:dyDescent="0.3">
      <c r="A199" s="1" t="s">
        <v>225</v>
      </c>
      <c r="B199" s="1" t="s">
        <v>15</v>
      </c>
      <c r="C199" s="1" t="s">
        <v>22</v>
      </c>
      <c r="D199" s="1" t="str">
        <f>IF(Data[[#This Row],[Cancellation Status]]="No", "High Potential", "Normal")</f>
        <v>Normal</v>
      </c>
      <c r="E199" s="2">
        <v>45948</v>
      </c>
      <c r="I199" s="1" t="s">
        <v>23</v>
      </c>
      <c r="J199" s="1" t="s">
        <v>33</v>
      </c>
      <c r="L199" s="88" t="str">
        <f>IF(OR(Data[[#This Row],[Service Follow-up Date]]="",Data[[#This Row],[Delivery Date]]=""),"",INT(Data[[#This Row],[Service Follow-up Date]]-Data[[#This Row],[Delivery Date]]))</f>
        <v/>
      </c>
      <c r="Q199" t="str">
        <f>IF(ISBLANK(Data[[#This Row],[Customer Rating]]),"No Rating",IF(Data[[#This Row],[Customer Rating]]&gt;=9,"Promoter",IF(Data[[#This Row],[Customer Rating]]&gt;=7,"Passive","Detractor")))</f>
        <v>No Rating</v>
      </c>
    </row>
    <row r="200" spans="1:17" ht="14.25" customHeight="1" x14ac:dyDescent="0.3">
      <c r="A200" s="1" t="s">
        <v>226</v>
      </c>
      <c r="B200" s="1" t="s">
        <v>15</v>
      </c>
      <c r="C200" s="1" t="s">
        <v>16</v>
      </c>
      <c r="D200" s="1" t="str">
        <f>IF(Data[[#This Row],[Cancellation Status]]="No", "High Potential", "Normal")</f>
        <v>High Potential</v>
      </c>
      <c r="E200" s="2">
        <v>45955</v>
      </c>
      <c r="F200" s="2">
        <v>45956</v>
      </c>
      <c r="G200" s="2">
        <v>45960</v>
      </c>
      <c r="H200" s="2">
        <v>45967</v>
      </c>
      <c r="I200" s="1" t="s">
        <v>17</v>
      </c>
      <c r="K200" s="2">
        <v>45983</v>
      </c>
      <c r="L200" s="88">
        <f>IF(OR(Data[[#This Row],[Service Follow-up Date]]="",Data[[#This Row],[Delivery Date]]=""),"",INT(Data[[#This Row],[Service Follow-up Date]]-Data[[#This Row],[Delivery Date]]))</f>
        <v>16</v>
      </c>
      <c r="M200" s="1">
        <v>1</v>
      </c>
      <c r="N200" s="1">
        <v>4</v>
      </c>
      <c r="O200" s="1">
        <v>7</v>
      </c>
      <c r="P200" s="1">
        <v>8</v>
      </c>
      <c r="Q200" t="str">
        <f>IF(ISBLANK(Data[[#This Row],[Customer Rating]]),"No Rating",IF(Data[[#This Row],[Customer Rating]]&gt;=9,"Promoter",IF(Data[[#This Row],[Customer Rating]]&gt;=7,"Passive","Detractor")))</f>
        <v>Passive</v>
      </c>
    </row>
    <row r="201" spans="1:17" ht="14.25" customHeight="1" x14ac:dyDescent="0.3">
      <c r="A201" s="1" t="s">
        <v>227</v>
      </c>
      <c r="B201" s="1" t="s">
        <v>15</v>
      </c>
      <c r="C201" s="1" t="s">
        <v>22</v>
      </c>
      <c r="D201" s="1" t="str">
        <f>IF(Data[[#This Row],[Cancellation Status]]="No", "High Potential", "Normal")</f>
        <v>Normal</v>
      </c>
      <c r="E201" s="2">
        <v>45944</v>
      </c>
      <c r="I201" s="1" t="s">
        <v>23</v>
      </c>
      <c r="J201" s="1" t="s">
        <v>26</v>
      </c>
      <c r="L201" s="88" t="str">
        <f>IF(OR(Data[[#This Row],[Service Follow-up Date]]="",Data[[#This Row],[Delivery Date]]=""),"",INT(Data[[#This Row],[Service Follow-up Date]]-Data[[#This Row],[Delivery Date]]))</f>
        <v/>
      </c>
      <c r="Q201" t="str">
        <f>IF(ISBLANK(Data[[#This Row],[Customer Rating]]),"No Rating",IF(Data[[#This Row],[Customer Rating]]&gt;=9,"Promoter",IF(Data[[#This Row],[Customer Rating]]&gt;=7,"Passive","Detractor")))</f>
        <v>No Rating</v>
      </c>
    </row>
    <row r="202" spans="1:17" ht="14.25" customHeight="1" x14ac:dyDescent="0.3">
      <c r="A202" s="1" t="s">
        <v>228</v>
      </c>
      <c r="B202" s="1" t="s">
        <v>32</v>
      </c>
      <c r="C202" s="1" t="s">
        <v>30</v>
      </c>
      <c r="D202" s="1" t="str">
        <f>IF(Data[[#This Row],[Cancellation Status]]="No", "High Potential", "Normal")</f>
        <v>High Potential</v>
      </c>
      <c r="E202" s="2">
        <v>45950</v>
      </c>
      <c r="F202" s="2">
        <v>45953</v>
      </c>
      <c r="G202" s="2">
        <v>45956</v>
      </c>
      <c r="H202" s="2">
        <v>45962</v>
      </c>
      <c r="I202" s="1" t="s">
        <v>17</v>
      </c>
      <c r="K202" s="2">
        <v>45985</v>
      </c>
      <c r="L202" s="88">
        <f>IF(OR(Data[[#This Row],[Service Follow-up Date]]="",Data[[#This Row],[Delivery Date]]=""),"",INT(Data[[#This Row],[Service Follow-up Date]]-Data[[#This Row],[Delivery Date]]))</f>
        <v>23</v>
      </c>
      <c r="M202" s="1">
        <v>3</v>
      </c>
      <c r="N202" s="1">
        <v>3</v>
      </c>
      <c r="O202" s="1">
        <v>6</v>
      </c>
      <c r="P202" s="1">
        <v>6</v>
      </c>
      <c r="Q202" t="str">
        <f>IF(ISBLANK(Data[[#This Row],[Customer Rating]]),"No Rating",IF(Data[[#This Row],[Customer Rating]]&gt;=9,"Promoter",IF(Data[[#This Row],[Customer Rating]]&gt;=7,"Passive","Detractor")))</f>
        <v>Detractor</v>
      </c>
    </row>
    <row r="203" spans="1:17" ht="14.25" customHeight="1" x14ac:dyDescent="0.3">
      <c r="A203" s="1" t="s">
        <v>229</v>
      </c>
      <c r="B203" s="1" t="s">
        <v>19</v>
      </c>
      <c r="C203" s="1" t="s">
        <v>30</v>
      </c>
      <c r="D203" s="1" t="str">
        <f>IF(Data[[#This Row],[Cancellation Status]]="No", "High Potential", "Normal")</f>
        <v>High Potential</v>
      </c>
      <c r="E203" s="2">
        <v>45950</v>
      </c>
      <c r="F203" s="2">
        <v>45952</v>
      </c>
      <c r="G203" s="2">
        <v>45954</v>
      </c>
      <c r="H203" s="2">
        <v>45961</v>
      </c>
      <c r="I203" s="1" t="s">
        <v>17</v>
      </c>
      <c r="K203" s="2">
        <v>45988</v>
      </c>
      <c r="L203" s="88">
        <f>IF(OR(Data[[#This Row],[Service Follow-up Date]]="",Data[[#This Row],[Delivery Date]]=""),"",INT(Data[[#This Row],[Service Follow-up Date]]-Data[[#This Row],[Delivery Date]]))</f>
        <v>27</v>
      </c>
      <c r="M203" s="1">
        <v>2</v>
      </c>
      <c r="N203" s="1">
        <v>2</v>
      </c>
      <c r="O203" s="1">
        <v>7</v>
      </c>
      <c r="P203" s="1">
        <v>2</v>
      </c>
      <c r="Q203" t="str">
        <f>IF(ISBLANK(Data[[#This Row],[Customer Rating]]),"No Rating",IF(Data[[#This Row],[Customer Rating]]&gt;=9,"Promoter",IF(Data[[#This Row],[Customer Rating]]&gt;=7,"Passive","Detractor")))</f>
        <v>Detractor</v>
      </c>
    </row>
    <row r="204" spans="1:17" ht="14.25" customHeight="1" x14ac:dyDescent="0.3">
      <c r="A204" s="1" t="s">
        <v>230</v>
      </c>
      <c r="B204" s="1" t="s">
        <v>19</v>
      </c>
      <c r="C204" s="1" t="s">
        <v>30</v>
      </c>
      <c r="D204" s="1" t="str">
        <f>IF(Data[[#This Row],[Cancellation Status]]="No", "High Potential", "Normal")</f>
        <v>High Potential</v>
      </c>
      <c r="E204" s="2">
        <v>45956</v>
      </c>
      <c r="F204" s="2">
        <v>45961</v>
      </c>
      <c r="G204" s="2">
        <v>45962</v>
      </c>
      <c r="H204" s="2">
        <v>45966</v>
      </c>
      <c r="I204" s="1" t="s">
        <v>17</v>
      </c>
      <c r="K204" s="2">
        <v>45993</v>
      </c>
      <c r="L204" s="88">
        <f>IF(OR(Data[[#This Row],[Service Follow-up Date]]="",Data[[#This Row],[Delivery Date]]=""),"",INT(Data[[#This Row],[Service Follow-up Date]]-Data[[#This Row],[Delivery Date]]))</f>
        <v>27</v>
      </c>
      <c r="M204" s="1">
        <v>5</v>
      </c>
      <c r="N204" s="1">
        <v>1</v>
      </c>
      <c r="O204" s="1">
        <v>4</v>
      </c>
      <c r="P204" s="1">
        <v>2</v>
      </c>
      <c r="Q204" t="str">
        <f>IF(ISBLANK(Data[[#This Row],[Customer Rating]]),"No Rating",IF(Data[[#This Row],[Customer Rating]]&gt;=9,"Promoter",IF(Data[[#This Row],[Customer Rating]]&gt;=7,"Passive","Detractor")))</f>
        <v>Detractor</v>
      </c>
    </row>
    <row r="205" spans="1:17" ht="14.25" customHeight="1" x14ac:dyDescent="0.3">
      <c r="A205" s="1" t="s">
        <v>231</v>
      </c>
      <c r="B205" s="1" t="s">
        <v>19</v>
      </c>
      <c r="C205" s="1" t="s">
        <v>16</v>
      </c>
      <c r="D205" s="1" t="str">
        <f>IF(Data[[#This Row],[Cancellation Status]]="No", "High Potential", "Normal")</f>
        <v>High Potential</v>
      </c>
      <c r="E205" s="2">
        <v>45950</v>
      </c>
      <c r="F205" s="2">
        <v>45954</v>
      </c>
      <c r="G205" s="2">
        <v>45957</v>
      </c>
      <c r="H205" s="2">
        <v>45964</v>
      </c>
      <c r="I205" s="1" t="s">
        <v>17</v>
      </c>
      <c r="K205" s="2">
        <v>45982</v>
      </c>
      <c r="L205" s="88">
        <f>IF(OR(Data[[#This Row],[Service Follow-up Date]]="",Data[[#This Row],[Delivery Date]]=""),"",INT(Data[[#This Row],[Service Follow-up Date]]-Data[[#This Row],[Delivery Date]]))</f>
        <v>18</v>
      </c>
      <c r="M205" s="1">
        <v>4</v>
      </c>
      <c r="N205" s="1">
        <v>3</v>
      </c>
      <c r="O205" s="1">
        <v>7</v>
      </c>
      <c r="P205" s="1">
        <v>9</v>
      </c>
      <c r="Q205" t="str">
        <f>IF(ISBLANK(Data[[#This Row],[Customer Rating]]),"No Rating",IF(Data[[#This Row],[Customer Rating]]&gt;=9,"Promoter",IF(Data[[#This Row],[Customer Rating]]&gt;=7,"Passive","Detractor")))</f>
        <v>Promoter</v>
      </c>
    </row>
    <row r="206" spans="1:17" ht="14.25" customHeight="1" x14ac:dyDescent="0.3">
      <c r="A206" s="1" t="s">
        <v>232</v>
      </c>
      <c r="B206" s="1" t="s">
        <v>15</v>
      </c>
      <c r="C206" s="1" t="s">
        <v>22</v>
      </c>
      <c r="D206" s="1" t="str">
        <f>IF(Data[[#This Row],[Cancellation Status]]="No", "High Potential", "Normal")</f>
        <v>Normal</v>
      </c>
      <c r="E206" s="2">
        <v>45938</v>
      </c>
      <c r="I206" s="1" t="s">
        <v>23</v>
      </c>
      <c r="J206" s="1" t="s">
        <v>63</v>
      </c>
      <c r="L206" s="88" t="str">
        <f>IF(OR(Data[[#This Row],[Service Follow-up Date]]="",Data[[#This Row],[Delivery Date]]=""),"",INT(Data[[#This Row],[Service Follow-up Date]]-Data[[#This Row],[Delivery Date]]))</f>
        <v/>
      </c>
      <c r="Q206" t="str">
        <f>IF(ISBLANK(Data[[#This Row],[Customer Rating]]),"No Rating",IF(Data[[#This Row],[Customer Rating]]&gt;=9,"Promoter",IF(Data[[#This Row],[Customer Rating]]&gt;=7,"Passive","Detractor")))</f>
        <v>No Rating</v>
      </c>
    </row>
    <row r="207" spans="1:17" ht="14.25" customHeight="1" x14ac:dyDescent="0.3">
      <c r="A207" s="1" t="s">
        <v>233</v>
      </c>
      <c r="B207" s="1" t="s">
        <v>19</v>
      </c>
      <c r="C207" s="1" t="s">
        <v>30</v>
      </c>
      <c r="D207" s="1" t="str">
        <f>IF(Data[[#This Row],[Cancellation Status]]="No", "High Potential", "Normal")</f>
        <v>High Potential</v>
      </c>
      <c r="E207" s="2">
        <v>45955</v>
      </c>
      <c r="F207" s="2">
        <v>45958</v>
      </c>
      <c r="G207" s="2">
        <v>45960</v>
      </c>
      <c r="H207" s="2">
        <v>45966</v>
      </c>
      <c r="I207" s="1" t="s">
        <v>17</v>
      </c>
      <c r="K207" s="2">
        <v>45985</v>
      </c>
      <c r="L207" s="88">
        <f>IF(OR(Data[[#This Row],[Service Follow-up Date]]="",Data[[#This Row],[Delivery Date]]=""),"",INT(Data[[#This Row],[Service Follow-up Date]]-Data[[#This Row],[Delivery Date]]))</f>
        <v>19</v>
      </c>
      <c r="M207" s="1">
        <v>3</v>
      </c>
      <c r="N207" s="1">
        <v>2</v>
      </c>
      <c r="O207" s="1">
        <v>6</v>
      </c>
      <c r="P207" s="1">
        <v>2</v>
      </c>
      <c r="Q207" t="str">
        <f>IF(ISBLANK(Data[[#This Row],[Customer Rating]]),"No Rating",IF(Data[[#This Row],[Customer Rating]]&gt;=9,"Promoter",IF(Data[[#This Row],[Customer Rating]]&gt;=7,"Passive","Detractor")))</f>
        <v>Detractor</v>
      </c>
    </row>
    <row r="208" spans="1:17" ht="14.25" customHeight="1" x14ac:dyDescent="0.3">
      <c r="A208" s="1" t="s">
        <v>234</v>
      </c>
      <c r="B208" s="1" t="s">
        <v>19</v>
      </c>
      <c r="C208" s="1" t="s">
        <v>22</v>
      </c>
      <c r="D208" s="1" t="str">
        <f>IF(Data[[#This Row],[Cancellation Status]]="No", "High Potential", "Normal")</f>
        <v>Normal</v>
      </c>
      <c r="E208" s="2">
        <v>45947</v>
      </c>
      <c r="I208" s="1" t="s">
        <v>23</v>
      </c>
      <c r="J208" s="1" t="s">
        <v>63</v>
      </c>
      <c r="L208" s="88" t="str">
        <f>IF(OR(Data[[#This Row],[Service Follow-up Date]]="",Data[[#This Row],[Delivery Date]]=""),"",INT(Data[[#This Row],[Service Follow-up Date]]-Data[[#This Row],[Delivery Date]]))</f>
        <v/>
      </c>
      <c r="Q208" t="str">
        <f>IF(ISBLANK(Data[[#This Row],[Customer Rating]]),"No Rating",IF(Data[[#This Row],[Customer Rating]]&gt;=9,"Promoter",IF(Data[[#This Row],[Customer Rating]]&gt;=7,"Passive","Detractor")))</f>
        <v>No Rating</v>
      </c>
    </row>
    <row r="209" spans="1:17" ht="14.25" customHeight="1" x14ac:dyDescent="0.3">
      <c r="A209" s="1" t="s">
        <v>235</v>
      </c>
      <c r="B209" s="1" t="s">
        <v>15</v>
      </c>
      <c r="C209" s="1" t="s">
        <v>16</v>
      </c>
      <c r="D209" s="1" t="str">
        <f>IF(Data[[#This Row],[Cancellation Status]]="No", "High Potential", "Normal")</f>
        <v>High Potential</v>
      </c>
      <c r="E209" s="2">
        <v>45943</v>
      </c>
      <c r="F209" s="2">
        <v>45944</v>
      </c>
      <c r="G209" s="2">
        <v>45948</v>
      </c>
      <c r="H209" s="2">
        <v>45955</v>
      </c>
      <c r="I209" s="1" t="s">
        <v>17</v>
      </c>
      <c r="K209" s="2">
        <v>45974</v>
      </c>
      <c r="L209" s="88">
        <f>IF(OR(Data[[#This Row],[Service Follow-up Date]]="",Data[[#This Row],[Delivery Date]]=""),"",INT(Data[[#This Row],[Service Follow-up Date]]-Data[[#This Row],[Delivery Date]]))</f>
        <v>19</v>
      </c>
      <c r="M209" s="1">
        <v>1</v>
      </c>
      <c r="N209" s="1">
        <v>4</v>
      </c>
      <c r="O209" s="1">
        <v>7</v>
      </c>
      <c r="P209" s="1">
        <v>7</v>
      </c>
      <c r="Q209" t="str">
        <f>IF(ISBLANK(Data[[#This Row],[Customer Rating]]),"No Rating",IF(Data[[#This Row],[Customer Rating]]&gt;=9,"Promoter",IF(Data[[#This Row],[Customer Rating]]&gt;=7,"Passive","Detractor")))</f>
        <v>Passive</v>
      </c>
    </row>
    <row r="210" spans="1:17" ht="14.25" customHeight="1" x14ac:dyDescent="0.3">
      <c r="A210" s="1" t="s">
        <v>236</v>
      </c>
      <c r="B210" s="1" t="s">
        <v>21</v>
      </c>
      <c r="C210" s="1" t="s">
        <v>22</v>
      </c>
      <c r="D210" s="1" t="str">
        <f>IF(Data[[#This Row],[Cancellation Status]]="No", "High Potential", "Normal")</f>
        <v>Normal</v>
      </c>
      <c r="E210" s="2">
        <v>45945</v>
      </c>
      <c r="I210" s="1" t="s">
        <v>23</v>
      </c>
      <c r="J210" s="1" t="s">
        <v>101</v>
      </c>
      <c r="L210" s="88" t="str">
        <f>IF(OR(Data[[#This Row],[Service Follow-up Date]]="",Data[[#This Row],[Delivery Date]]=""),"",INT(Data[[#This Row],[Service Follow-up Date]]-Data[[#This Row],[Delivery Date]]))</f>
        <v/>
      </c>
      <c r="Q210" t="str">
        <f>IF(ISBLANK(Data[[#This Row],[Customer Rating]]),"No Rating",IF(Data[[#This Row],[Customer Rating]]&gt;=9,"Promoter",IF(Data[[#This Row],[Customer Rating]]&gt;=7,"Passive","Detractor")))</f>
        <v>No Rating</v>
      </c>
    </row>
    <row r="211" spans="1:17" ht="14.25" customHeight="1" x14ac:dyDescent="0.3">
      <c r="A211" s="1" t="s">
        <v>237</v>
      </c>
      <c r="B211" s="1" t="s">
        <v>15</v>
      </c>
      <c r="C211" s="1" t="s">
        <v>30</v>
      </c>
      <c r="D211" s="1" t="str">
        <f>IF(Data[[#This Row],[Cancellation Status]]="No", "High Potential", "Normal")</f>
        <v>High Potential</v>
      </c>
      <c r="E211" s="2">
        <v>45960</v>
      </c>
      <c r="F211" s="2">
        <v>45964</v>
      </c>
      <c r="G211" s="2">
        <v>45967</v>
      </c>
      <c r="H211" s="2">
        <v>45972</v>
      </c>
      <c r="I211" s="1" t="s">
        <v>17</v>
      </c>
      <c r="K211" s="2">
        <v>45989</v>
      </c>
      <c r="L211" s="88">
        <f>IF(OR(Data[[#This Row],[Service Follow-up Date]]="",Data[[#This Row],[Delivery Date]]=""),"",INT(Data[[#This Row],[Service Follow-up Date]]-Data[[#This Row],[Delivery Date]]))</f>
        <v>17</v>
      </c>
      <c r="M211" s="1">
        <v>4</v>
      </c>
      <c r="N211" s="1">
        <v>3</v>
      </c>
      <c r="O211" s="1">
        <v>5</v>
      </c>
      <c r="P211" s="1">
        <v>9</v>
      </c>
      <c r="Q211" t="str">
        <f>IF(ISBLANK(Data[[#This Row],[Customer Rating]]),"No Rating",IF(Data[[#This Row],[Customer Rating]]&gt;=9,"Promoter",IF(Data[[#This Row],[Customer Rating]]&gt;=7,"Passive","Detractor")))</f>
        <v>Promoter</v>
      </c>
    </row>
    <row r="212" spans="1:17" ht="14.25" customHeight="1" x14ac:dyDescent="0.3">
      <c r="A212" s="1" t="s">
        <v>238</v>
      </c>
      <c r="B212" s="1" t="s">
        <v>19</v>
      </c>
      <c r="C212" s="1" t="s">
        <v>22</v>
      </c>
      <c r="D212" s="1" t="str">
        <f>IF(Data[[#This Row],[Cancellation Status]]="No", "High Potential", "Normal")</f>
        <v>Normal</v>
      </c>
      <c r="E212" s="2">
        <v>45945</v>
      </c>
      <c r="I212" s="1" t="s">
        <v>23</v>
      </c>
      <c r="J212" s="1" t="s">
        <v>101</v>
      </c>
      <c r="L212" s="88" t="str">
        <f>IF(OR(Data[[#This Row],[Service Follow-up Date]]="",Data[[#This Row],[Delivery Date]]=""),"",INT(Data[[#This Row],[Service Follow-up Date]]-Data[[#This Row],[Delivery Date]]))</f>
        <v/>
      </c>
      <c r="Q212" t="str">
        <f>IF(ISBLANK(Data[[#This Row],[Customer Rating]]),"No Rating",IF(Data[[#This Row],[Customer Rating]]&gt;=9,"Promoter",IF(Data[[#This Row],[Customer Rating]]&gt;=7,"Passive","Detractor")))</f>
        <v>No Rating</v>
      </c>
    </row>
    <row r="213" spans="1:17" ht="14.25" customHeight="1" x14ac:dyDescent="0.3">
      <c r="A213" s="1" t="s">
        <v>239</v>
      </c>
      <c r="B213" s="1" t="s">
        <v>15</v>
      </c>
      <c r="C213" s="1" t="s">
        <v>16</v>
      </c>
      <c r="D213" s="1" t="str">
        <f>IF(Data[[#This Row],[Cancellation Status]]="No", "High Potential", "Normal")</f>
        <v>Normal</v>
      </c>
      <c r="E213" s="2">
        <v>45940</v>
      </c>
      <c r="F213" s="2">
        <v>45941</v>
      </c>
      <c r="G213" s="2">
        <v>45943</v>
      </c>
      <c r="H213" s="2">
        <v>45946</v>
      </c>
      <c r="I213" s="1" t="s">
        <v>23</v>
      </c>
      <c r="J213" s="1" t="s">
        <v>24</v>
      </c>
      <c r="L213" s="88" t="str">
        <f>IF(OR(Data[[#This Row],[Service Follow-up Date]]="",Data[[#This Row],[Delivery Date]]=""),"",INT(Data[[#This Row],[Service Follow-up Date]]-Data[[#This Row],[Delivery Date]]))</f>
        <v/>
      </c>
      <c r="M213" s="1">
        <v>1</v>
      </c>
      <c r="N213" s="1">
        <v>2</v>
      </c>
      <c r="O213" s="1">
        <v>3</v>
      </c>
      <c r="Q213" t="str">
        <f>IF(ISBLANK(Data[[#This Row],[Customer Rating]]),"No Rating",IF(Data[[#This Row],[Customer Rating]]&gt;=9,"Promoter",IF(Data[[#This Row],[Customer Rating]]&gt;=7,"Passive","Detractor")))</f>
        <v>No Rating</v>
      </c>
    </row>
    <row r="214" spans="1:17" ht="14.25" customHeight="1" x14ac:dyDescent="0.3">
      <c r="A214" s="1" t="s">
        <v>240</v>
      </c>
      <c r="B214" s="1" t="s">
        <v>21</v>
      </c>
      <c r="C214" s="1" t="s">
        <v>30</v>
      </c>
      <c r="D214" s="1" t="str">
        <f>IF(Data[[#This Row],[Cancellation Status]]="No", "High Potential", "Normal")</f>
        <v>High Potential</v>
      </c>
      <c r="E214" s="2">
        <v>45958</v>
      </c>
      <c r="F214" s="2">
        <v>45960</v>
      </c>
      <c r="G214" s="2">
        <v>45961</v>
      </c>
      <c r="H214" s="2">
        <v>45967</v>
      </c>
      <c r="I214" s="1" t="s">
        <v>17</v>
      </c>
      <c r="K214" s="2">
        <v>45980</v>
      </c>
      <c r="L214" s="88">
        <f>IF(OR(Data[[#This Row],[Service Follow-up Date]]="",Data[[#This Row],[Delivery Date]]=""),"",INT(Data[[#This Row],[Service Follow-up Date]]-Data[[#This Row],[Delivery Date]]))</f>
        <v>13</v>
      </c>
      <c r="M214" s="1">
        <v>2</v>
      </c>
      <c r="N214" s="1">
        <v>1</v>
      </c>
      <c r="O214" s="1">
        <v>6</v>
      </c>
      <c r="P214" s="1">
        <v>4</v>
      </c>
      <c r="Q214" t="str">
        <f>IF(ISBLANK(Data[[#This Row],[Customer Rating]]),"No Rating",IF(Data[[#This Row],[Customer Rating]]&gt;=9,"Promoter",IF(Data[[#This Row],[Customer Rating]]&gt;=7,"Passive","Detractor")))</f>
        <v>Detractor</v>
      </c>
    </row>
    <row r="215" spans="1:17" ht="14.25" customHeight="1" x14ac:dyDescent="0.3">
      <c r="A215" s="1" t="s">
        <v>241</v>
      </c>
      <c r="B215" s="1" t="s">
        <v>15</v>
      </c>
      <c r="C215" s="1" t="s">
        <v>30</v>
      </c>
      <c r="D215" s="1" t="str">
        <f>IF(Data[[#This Row],[Cancellation Status]]="No", "High Potential", "Normal")</f>
        <v>High Potential</v>
      </c>
      <c r="E215" s="2">
        <v>45949</v>
      </c>
      <c r="F215" s="2">
        <v>45953</v>
      </c>
      <c r="G215" s="2">
        <v>45956</v>
      </c>
      <c r="H215" s="2">
        <v>45959</v>
      </c>
      <c r="I215" s="1" t="s">
        <v>17</v>
      </c>
      <c r="K215" s="2">
        <v>45970</v>
      </c>
      <c r="L215" s="88">
        <f>IF(OR(Data[[#This Row],[Service Follow-up Date]]="",Data[[#This Row],[Delivery Date]]=""),"",INT(Data[[#This Row],[Service Follow-up Date]]-Data[[#This Row],[Delivery Date]]))</f>
        <v>11</v>
      </c>
      <c r="M215" s="1">
        <v>4</v>
      </c>
      <c r="N215" s="1">
        <v>3</v>
      </c>
      <c r="O215" s="1">
        <v>3</v>
      </c>
      <c r="P215" s="1">
        <v>2</v>
      </c>
      <c r="Q215" t="str">
        <f>IF(ISBLANK(Data[[#This Row],[Customer Rating]]),"No Rating",IF(Data[[#This Row],[Customer Rating]]&gt;=9,"Promoter",IF(Data[[#This Row],[Customer Rating]]&gt;=7,"Passive","Detractor")))</f>
        <v>Detractor</v>
      </c>
    </row>
    <row r="216" spans="1:17" ht="14.25" customHeight="1" x14ac:dyDescent="0.3">
      <c r="A216" s="1" t="s">
        <v>242</v>
      </c>
      <c r="B216" s="1" t="s">
        <v>19</v>
      </c>
      <c r="C216" s="1" t="s">
        <v>22</v>
      </c>
      <c r="D216" s="1" t="str">
        <f>IF(Data[[#This Row],[Cancellation Status]]="No", "High Potential", "Normal")</f>
        <v>Normal</v>
      </c>
      <c r="E216" s="2">
        <v>45944</v>
      </c>
      <c r="I216" s="1" t="s">
        <v>23</v>
      </c>
      <c r="J216" s="1" t="s">
        <v>26</v>
      </c>
      <c r="L216" s="88" t="str">
        <f>IF(OR(Data[[#This Row],[Service Follow-up Date]]="",Data[[#This Row],[Delivery Date]]=""),"",INT(Data[[#This Row],[Service Follow-up Date]]-Data[[#This Row],[Delivery Date]]))</f>
        <v/>
      </c>
      <c r="Q216" t="str">
        <f>IF(ISBLANK(Data[[#This Row],[Customer Rating]]),"No Rating",IF(Data[[#This Row],[Customer Rating]]&gt;=9,"Promoter",IF(Data[[#This Row],[Customer Rating]]&gt;=7,"Passive","Detractor")))</f>
        <v>No Rating</v>
      </c>
    </row>
    <row r="217" spans="1:17" ht="14.25" customHeight="1" x14ac:dyDescent="0.3">
      <c r="A217" s="1" t="s">
        <v>243</v>
      </c>
      <c r="B217" s="1" t="s">
        <v>21</v>
      </c>
      <c r="C217" s="1" t="s">
        <v>22</v>
      </c>
      <c r="D217" s="1" t="str">
        <f>IF(Data[[#This Row],[Cancellation Status]]="No", "High Potential", "Normal")</f>
        <v>Normal</v>
      </c>
      <c r="E217" s="2">
        <v>45940</v>
      </c>
      <c r="I217" s="1" t="s">
        <v>23</v>
      </c>
      <c r="J217" s="1" t="s">
        <v>101</v>
      </c>
      <c r="L217" s="88" t="str">
        <f>IF(OR(Data[[#This Row],[Service Follow-up Date]]="",Data[[#This Row],[Delivery Date]]=""),"",INT(Data[[#This Row],[Service Follow-up Date]]-Data[[#This Row],[Delivery Date]]))</f>
        <v/>
      </c>
      <c r="Q217" t="str">
        <f>IF(ISBLANK(Data[[#This Row],[Customer Rating]]),"No Rating",IF(Data[[#This Row],[Customer Rating]]&gt;=9,"Promoter",IF(Data[[#This Row],[Customer Rating]]&gt;=7,"Passive","Detractor")))</f>
        <v>No Rating</v>
      </c>
    </row>
    <row r="218" spans="1:17" ht="14.25" customHeight="1" x14ac:dyDescent="0.3">
      <c r="A218" s="1" t="s">
        <v>244</v>
      </c>
      <c r="B218" s="1" t="s">
        <v>32</v>
      </c>
      <c r="C218" s="1" t="s">
        <v>30</v>
      </c>
      <c r="D218" s="1" t="str">
        <f>IF(Data[[#This Row],[Cancellation Status]]="No", "High Potential", "Normal")</f>
        <v>High Potential</v>
      </c>
      <c r="E218" s="2">
        <v>45949</v>
      </c>
      <c r="F218" s="2">
        <v>45954</v>
      </c>
      <c r="G218" s="2">
        <v>45957</v>
      </c>
      <c r="H218" s="2">
        <v>45960</v>
      </c>
      <c r="I218" s="1" t="s">
        <v>17</v>
      </c>
      <c r="K218" s="2">
        <v>45982</v>
      </c>
      <c r="L218" s="88">
        <f>IF(OR(Data[[#This Row],[Service Follow-up Date]]="",Data[[#This Row],[Delivery Date]]=""),"",INT(Data[[#This Row],[Service Follow-up Date]]-Data[[#This Row],[Delivery Date]]))</f>
        <v>22</v>
      </c>
      <c r="M218" s="1">
        <v>5</v>
      </c>
      <c r="N218" s="1">
        <v>3</v>
      </c>
      <c r="O218" s="1">
        <v>3</v>
      </c>
      <c r="P218" s="1">
        <v>0</v>
      </c>
      <c r="Q218" t="str">
        <f>IF(ISBLANK(Data[[#This Row],[Customer Rating]]),"No Rating",IF(Data[[#This Row],[Customer Rating]]&gt;=9,"Promoter",IF(Data[[#This Row],[Customer Rating]]&gt;=7,"Passive","Detractor")))</f>
        <v>Detractor</v>
      </c>
    </row>
    <row r="219" spans="1:17" ht="14.25" customHeight="1" x14ac:dyDescent="0.3">
      <c r="A219" s="1" t="s">
        <v>245</v>
      </c>
      <c r="B219" s="1" t="s">
        <v>19</v>
      </c>
      <c r="C219" s="1" t="s">
        <v>16</v>
      </c>
      <c r="D219" s="1" t="str">
        <f>IF(Data[[#This Row],[Cancellation Status]]="No", "High Potential", "Normal")</f>
        <v>Normal</v>
      </c>
      <c r="E219" s="2">
        <v>45950</v>
      </c>
      <c r="F219" s="2">
        <v>45954</v>
      </c>
      <c r="G219" s="2">
        <v>45959</v>
      </c>
      <c r="H219" s="2">
        <v>45962</v>
      </c>
      <c r="I219" s="1" t="s">
        <v>23</v>
      </c>
      <c r="J219" s="1" t="s">
        <v>101</v>
      </c>
      <c r="L219" s="88" t="str">
        <f>IF(OR(Data[[#This Row],[Service Follow-up Date]]="",Data[[#This Row],[Delivery Date]]=""),"",INT(Data[[#This Row],[Service Follow-up Date]]-Data[[#This Row],[Delivery Date]]))</f>
        <v/>
      </c>
      <c r="M219" s="1">
        <v>4</v>
      </c>
      <c r="N219" s="1">
        <v>5</v>
      </c>
      <c r="O219" s="1">
        <v>3</v>
      </c>
      <c r="Q219" t="str">
        <f>IF(ISBLANK(Data[[#This Row],[Customer Rating]]),"No Rating",IF(Data[[#This Row],[Customer Rating]]&gt;=9,"Promoter",IF(Data[[#This Row],[Customer Rating]]&gt;=7,"Passive","Detractor")))</f>
        <v>No Rating</v>
      </c>
    </row>
    <row r="220" spans="1:17" ht="14.25" customHeight="1" x14ac:dyDescent="0.3">
      <c r="A220" s="1" t="s">
        <v>246</v>
      </c>
      <c r="B220" s="1" t="s">
        <v>21</v>
      </c>
      <c r="C220" s="1" t="s">
        <v>22</v>
      </c>
      <c r="D220" s="1" t="str">
        <f>IF(Data[[#This Row],[Cancellation Status]]="No", "High Potential", "Normal")</f>
        <v>Normal</v>
      </c>
      <c r="E220" s="2">
        <v>45932</v>
      </c>
      <c r="I220" s="1" t="s">
        <v>23</v>
      </c>
      <c r="J220" s="1" t="s">
        <v>26</v>
      </c>
      <c r="L220" s="88" t="str">
        <f>IF(OR(Data[[#This Row],[Service Follow-up Date]]="",Data[[#This Row],[Delivery Date]]=""),"",INT(Data[[#This Row],[Service Follow-up Date]]-Data[[#This Row],[Delivery Date]]))</f>
        <v/>
      </c>
      <c r="Q220" t="str">
        <f>IF(ISBLANK(Data[[#This Row],[Customer Rating]]),"No Rating",IF(Data[[#This Row],[Customer Rating]]&gt;=9,"Promoter",IF(Data[[#This Row],[Customer Rating]]&gt;=7,"Passive","Detractor")))</f>
        <v>No Rating</v>
      </c>
    </row>
    <row r="221" spans="1:17" ht="14.25" customHeight="1" x14ac:dyDescent="0.3">
      <c r="A221" s="1" t="s">
        <v>247</v>
      </c>
      <c r="B221" s="1" t="s">
        <v>21</v>
      </c>
      <c r="C221" s="1" t="s">
        <v>22</v>
      </c>
      <c r="D221" s="1" t="str">
        <f>IF(Data[[#This Row],[Cancellation Status]]="No", "High Potential", "Normal")</f>
        <v>Normal</v>
      </c>
      <c r="E221" s="2">
        <v>45950</v>
      </c>
      <c r="I221" s="1" t="s">
        <v>23</v>
      </c>
      <c r="J221" s="1" t="s">
        <v>24</v>
      </c>
      <c r="L221" s="88" t="str">
        <f>IF(OR(Data[[#This Row],[Service Follow-up Date]]="",Data[[#This Row],[Delivery Date]]=""),"",INT(Data[[#This Row],[Service Follow-up Date]]-Data[[#This Row],[Delivery Date]]))</f>
        <v/>
      </c>
      <c r="Q221" t="str">
        <f>IF(ISBLANK(Data[[#This Row],[Customer Rating]]),"No Rating",IF(Data[[#This Row],[Customer Rating]]&gt;=9,"Promoter",IF(Data[[#This Row],[Customer Rating]]&gt;=7,"Passive","Detractor")))</f>
        <v>No Rating</v>
      </c>
    </row>
    <row r="222" spans="1:17" ht="14.25" customHeight="1" x14ac:dyDescent="0.3">
      <c r="A222" s="1" t="s">
        <v>248</v>
      </c>
      <c r="B222" s="1" t="s">
        <v>32</v>
      </c>
      <c r="C222" s="1" t="s">
        <v>22</v>
      </c>
      <c r="D222" s="1" t="str">
        <f>IF(Data[[#This Row],[Cancellation Status]]="No", "High Potential", "Normal")</f>
        <v>Normal</v>
      </c>
      <c r="E222" s="2">
        <v>45961</v>
      </c>
      <c r="I222" s="1" t="s">
        <v>23</v>
      </c>
      <c r="J222" s="1" t="s">
        <v>101</v>
      </c>
      <c r="L222" s="88" t="str">
        <f>IF(OR(Data[[#This Row],[Service Follow-up Date]]="",Data[[#This Row],[Delivery Date]]=""),"",INT(Data[[#This Row],[Service Follow-up Date]]-Data[[#This Row],[Delivery Date]]))</f>
        <v/>
      </c>
      <c r="Q222" t="str">
        <f>IF(ISBLANK(Data[[#This Row],[Customer Rating]]),"No Rating",IF(Data[[#This Row],[Customer Rating]]&gt;=9,"Promoter",IF(Data[[#This Row],[Customer Rating]]&gt;=7,"Passive","Detractor")))</f>
        <v>No Rating</v>
      </c>
    </row>
    <row r="223" spans="1:17" ht="14.25" customHeight="1" x14ac:dyDescent="0.3">
      <c r="A223" s="1" t="s">
        <v>249</v>
      </c>
      <c r="B223" s="1" t="s">
        <v>15</v>
      </c>
      <c r="C223" s="1" t="s">
        <v>16</v>
      </c>
      <c r="D223" s="1" t="str">
        <f>IF(Data[[#This Row],[Cancellation Status]]="No", "High Potential", "Normal")</f>
        <v>High Potential</v>
      </c>
      <c r="E223" s="2">
        <v>45954</v>
      </c>
      <c r="F223" s="2">
        <v>45959</v>
      </c>
      <c r="G223" s="2">
        <v>45961</v>
      </c>
      <c r="H223" s="2">
        <v>45963</v>
      </c>
      <c r="I223" s="1" t="s">
        <v>17</v>
      </c>
      <c r="K223" s="2">
        <v>45991</v>
      </c>
      <c r="L223" s="88">
        <f>IF(OR(Data[[#This Row],[Service Follow-up Date]]="",Data[[#This Row],[Delivery Date]]=""),"",INT(Data[[#This Row],[Service Follow-up Date]]-Data[[#This Row],[Delivery Date]]))</f>
        <v>28</v>
      </c>
      <c r="M223" s="1">
        <v>5</v>
      </c>
      <c r="N223" s="1">
        <v>2</v>
      </c>
      <c r="O223" s="1">
        <v>2</v>
      </c>
      <c r="P223" s="1">
        <v>3</v>
      </c>
      <c r="Q223" t="str">
        <f>IF(ISBLANK(Data[[#This Row],[Customer Rating]]),"No Rating",IF(Data[[#This Row],[Customer Rating]]&gt;=9,"Promoter",IF(Data[[#This Row],[Customer Rating]]&gt;=7,"Passive","Detractor")))</f>
        <v>Detractor</v>
      </c>
    </row>
    <row r="224" spans="1:17" ht="14.25" customHeight="1" x14ac:dyDescent="0.3">
      <c r="A224" s="1" t="s">
        <v>250</v>
      </c>
      <c r="B224" s="1" t="s">
        <v>15</v>
      </c>
      <c r="C224" s="1" t="s">
        <v>16</v>
      </c>
      <c r="D224" s="1" t="str">
        <f>IF(Data[[#This Row],[Cancellation Status]]="No", "High Potential", "Normal")</f>
        <v>High Potential</v>
      </c>
      <c r="E224" s="2">
        <v>45934</v>
      </c>
      <c r="F224" s="2">
        <v>45935</v>
      </c>
      <c r="G224" s="2">
        <v>45937</v>
      </c>
      <c r="H224" s="2">
        <v>45943</v>
      </c>
      <c r="I224" s="1" t="s">
        <v>17</v>
      </c>
      <c r="K224" s="2">
        <v>45970</v>
      </c>
      <c r="L224" s="88">
        <f>IF(OR(Data[[#This Row],[Service Follow-up Date]]="",Data[[#This Row],[Delivery Date]]=""),"",INT(Data[[#This Row],[Service Follow-up Date]]-Data[[#This Row],[Delivery Date]]))</f>
        <v>27</v>
      </c>
      <c r="M224" s="1">
        <v>1</v>
      </c>
      <c r="N224" s="1">
        <v>2</v>
      </c>
      <c r="O224" s="1">
        <v>6</v>
      </c>
      <c r="P224" s="1">
        <v>1</v>
      </c>
      <c r="Q224" t="str">
        <f>IF(ISBLANK(Data[[#This Row],[Customer Rating]]),"No Rating",IF(Data[[#This Row],[Customer Rating]]&gt;=9,"Promoter",IF(Data[[#This Row],[Customer Rating]]&gt;=7,"Passive","Detractor")))</f>
        <v>Detractor</v>
      </c>
    </row>
    <row r="225" spans="1:17" ht="14.25" customHeight="1" x14ac:dyDescent="0.3">
      <c r="A225" s="1" t="s">
        <v>251</v>
      </c>
      <c r="B225" s="1" t="s">
        <v>19</v>
      </c>
      <c r="C225" s="1" t="s">
        <v>16</v>
      </c>
      <c r="D225" s="1" t="str">
        <f>IF(Data[[#This Row],[Cancellation Status]]="No", "High Potential", "Normal")</f>
        <v>High Potential</v>
      </c>
      <c r="E225" s="2">
        <v>45961</v>
      </c>
      <c r="F225" s="2">
        <v>45965</v>
      </c>
      <c r="G225" s="2">
        <v>45970</v>
      </c>
      <c r="H225" s="2">
        <v>45974</v>
      </c>
      <c r="I225" s="1" t="s">
        <v>17</v>
      </c>
      <c r="K225" s="2">
        <v>45999</v>
      </c>
      <c r="L225" s="88">
        <f>IF(OR(Data[[#This Row],[Service Follow-up Date]]="",Data[[#This Row],[Delivery Date]]=""),"",INT(Data[[#This Row],[Service Follow-up Date]]-Data[[#This Row],[Delivery Date]]))</f>
        <v>25</v>
      </c>
      <c r="M225" s="1">
        <v>4</v>
      </c>
      <c r="N225" s="1">
        <v>5</v>
      </c>
      <c r="O225" s="1">
        <v>4</v>
      </c>
      <c r="P225" s="1">
        <v>7</v>
      </c>
      <c r="Q225" t="str">
        <f>IF(ISBLANK(Data[[#This Row],[Customer Rating]]),"No Rating",IF(Data[[#This Row],[Customer Rating]]&gt;=9,"Promoter",IF(Data[[#This Row],[Customer Rating]]&gt;=7,"Passive","Detractor")))</f>
        <v>Passive</v>
      </c>
    </row>
    <row r="226" spans="1:17" ht="14.25" customHeight="1" x14ac:dyDescent="0.3">
      <c r="A226" s="1" t="s">
        <v>252</v>
      </c>
      <c r="B226" s="1" t="s">
        <v>32</v>
      </c>
      <c r="C226" s="1" t="s">
        <v>16</v>
      </c>
      <c r="D226" s="1" t="str">
        <f>IF(Data[[#This Row],[Cancellation Status]]="No", "High Potential", "Normal")</f>
        <v>High Potential</v>
      </c>
      <c r="E226" s="2">
        <v>45955</v>
      </c>
      <c r="F226" s="2">
        <v>45958</v>
      </c>
      <c r="G226" s="2">
        <v>45962</v>
      </c>
      <c r="H226" s="2">
        <v>45968</v>
      </c>
      <c r="I226" s="1" t="s">
        <v>17</v>
      </c>
      <c r="K226" s="2">
        <v>45982</v>
      </c>
      <c r="L226" s="88">
        <f>IF(OR(Data[[#This Row],[Service Follow-up Date]]="",Data[[#This Row],[Delivery Date]]=""),"",INT(Data[[#This Row],[Service Follow-up Date]]-Data[[#This Row],[Delivery Date]]))</f>
        <v>14</v>
      </c>
      <c r="M226" s="1">
        <v>3</v>
      </c>
      <c r="N226" s="1">
        <v>4</v>
      </c>
      <c r="O226" s="1">
        <v>6</v>
      </c>
      <c r="P226" s="1">
        <v>3</v>
      </c>
      <c r="Q226" t="str">
        <f>IF(ISBLANK(Data[[#This Row],[Customer Rating]]),"No Rating",IF(Data[[#This Row],[Customer Rating]]&gt;=9,"Promoter",IF(Data[[#This Row],[Customer Rating]]&gt;=7,"Passive","Detractor")))</f>
        <v>Detractor</v>
      </c>
    </row>
    <row r="227" spans="1:17" ht="14.25" customHeight="1" x14ac:dyDescent="0.3">
      <c r="A227" s="1" t="s">
        <v>253</v>
      </c>
      <c r="B227" s="1" t="s">
        <v>15</v>
      </c>
      <c r="C227" s="1" t="s">
        <v>16</v>
      </c>
      <c r="D227" s="1" t="str">
        <f>IF(Data[[#This Row],[Cancellation Status]]="No", "High Potential", "Normal")</f>
        <v>Normal</v>
      </c>
      <c r="E227" s="2">
        <v>45937</v>
      </c>
      <c r="F227" s="2">
        <v>45940</v>
      </c>
      <c r="G227" s="2">
        <v>45944</v>
      </c>
      <c r="H227" s="2">
        <v>45948</v>
      </c>
      <c r="I227" s="1" t="s">
        <v>23</v>
      </c>
      <c r="J227" s="1" t="s">
        <v>24</v>
      </c>
      <c r="L227" s="88" t="str">
        <f>IF(OR(Data[[#This Row],[Service Follow-up Date]]="",Data[[#This Row],[Delivery Date]]=""),"",INT(Data[[#This Row],[Service Follow-up Date]]-Data[[#This Row],[Delivery Date]]))</f>
        <v/>
      </c>
      <c r="M227" s="1">
        <v>3</v>
      </c>
      <c r="N227" s="1">
        <v>4</v>
      </c>
      <c r="O227" s="1">
        <v>4</v>
      </c>
      <c r="Q227" t="str">
        <f>IF(ISBLANK(Data[[#This Row],[Customer Rating]]),"No Rating",IF(Data[[#This Row],[Customer Rating]]&gt;=9,"Promoter",IF(Data[[#This Row],[Customer Rating]]&gt;=7,"Passive","Detractor")))</f>
        <v>No Rating</v>
      </c>
    </row>
    <row r="228" spans="1:17" ht="14.25" customHeight="1" x14ac:dyDescent="0.3">
      <c r="A228" s="1" t="s">
        <v>254</v>
      </c>
      <c r="B228" s="1" t="s">
        <v>32</v>
      </c>
      <c r="C228" s="1" t="s">
        <v>16</v>
      </c>
      <c r="D228" s="1" t="str">
        <f>IF(Data[[#This Row],[Cancellation Status]]="No", "High Potential", "Normal")</f>
        <v>Normal</v>
      </c>
      <c r="E228" s="2">
        <v>45951</v>
      </c>
      <c r="F228" s="2">
        <v>45953</v>
      </c>
      <c r="G228" s="2">
        <v>45958</v>
      </c>
      <c r="H228" s="2">
        <v>45964</v>
      </c>
      <c r="I228" s="1" t="s">
        <v>23</v>
      </c>
      <c r="J228" s="1" t="s">
        <v>33</v>
      </c>
      <c r="L228" s="88" t="str">
        <f>IF(OR(Data[[#This Row],[Service Follow-up Date]]="",Data[[#This Row],[Delivery Date]]=""),"",INT(Data[[#This Row],[Service Follow-up Date]]-Data[[#This Row],[Delivery Date]]))</f>
        <v/>
      </c>
      <c r="M228" s="1">
        <v>2</v>
      </c>
      <c r="N228" s="1">
        <v>5</v>
      </c>
      <c r="O228" s="1">
        <v>6</v>
      </c>
      <c r="Q228" t="str">
        <f>IF(ISBLANK(Data[[#This Row],[Customer Rating]]),"No Rating",IF(Data[[#This Row],[Customer Rating]]&gt;=9,"Promoter",IF(Data[[#This Row],[Customer Rating]]&gt;=7,"Passive","Detractor")))</f>
        <v>No Rating</v>
      </c>
    </row>
    <row r="229" spans="1:17" ht="14.25" customHeight="1" x14ac:dyDescent="0.3">
      <c r="A229" s="1" t="s">
        <v>255</v>
      </c>
      <c r="B229" s="1" t="s">
        <v>15</v>
      </c>
      <c r="C229" s="1" t="s">
        <v>30</v>
      </c>
      <c r="D229" s="1" t="str">
        <f>IF(Data[[#This Row],[Cancellation Status]]="No", "High Potential", "Normal")</f>
        <v>High Potential</v>
      </c>
      <c r="E229" s="2">
        <v>45937</v>
      </c>
      <c r="F229" s="2">
        <v>45940</v>
      </c>
      <c r="G229" s="2">
        <v>45943</v>
      </c>
      <c r="H229" s="2">
        <v>45949</v>
      </c>
      <c r="I229" s="1" t="s">
        <v>17</v>
      </c>
      <c r="K229" s="2">
        <v>45960</v>
      </c>
      <c r="L229" s="88">
        <f>IF(OR(Data[[#This Row],[Service Follow-up Date]]="",Data[[#This Row],[Delivery Date]]=""),"",INT(Data[[#This Row],[Service Follow-up Date]]-Data[[#This Row],[Delivery Date]]))</f>
        <v>11</v>
      </c>
      <c r="M229" s="1">
        <v>3</v>
      </c>
      <c r="N229" s="1">
        <v>3</v>
      </c>
      <c r="O229" s="1">
        <v>6</v>
      </c>
      <c r="P229" s="1">
        <v>4</v>
      </c>
      <c r="Q229" t="str">
        <f>IF(ISBLANK(Data[[#This Row],[Customer Rating]]),"No Rating",IF(Data[[#This Row],[Customer Rating]]&gt;=9,"Promoter",IF(Data[[#This Row],[Customer Rating]]&gt;=7,"Passive","Detractor")))</f>
        <v>Detractor</v>
      </c>
    </row>
    <row r="230" spans="1:17" ht="14.25" customHeight="1" x14ac:dyDescent="0.3">
      <c r="A230" s="1" t="s">
        <v>256</v>
      </c>
      <c r="B230" s="1" t="s">
        <v>21</v>
      </c>
      <c r="C230" s="1" t="s">
        <v>22</v>
      </c>
      <c r="D230" s="1" t="str">
        <f>IF(Data[[#This Row],[Cancellation Status]]="No", "High Potential", "Normal")</f>
        <v>Normal</v>
      </c>
      <c r="E230" s="2">
        <v>45939</v>
      </c>
      <c r="I230" s="1" t="s">
        <v>23</v>
      </c>
      <c r="J230" s="1" t="s">
        <v>24</v>
      </c>
      <c r="L230" s="88" t="str">
        <f>IF(OR(Data[[#This Row],[Service Follow-up Date]]="",Data[[#This Row],[Delivery Date]]=""),"",INT(Data[[#This Row],[Service Follow-up Date]]-Data[[#This Row],[Delivery Date]]))</f>
        <v/>
      </c>
      <c r="Q230" t="str">
        <f>IF(ISBLANK(Data[[#This Row],[Customer Rating]]),"No Rating",IF(Data[[#This Row],[Customer Rating]]&gt;=9,"Promoter",IF(Data[[#This Row],[Customer Rating]]&gt;=7,"Passive","Detractor")))</f>
        <v>No Rating</v>
      </c>
    </row>
    <row r="231" spans="1:17" ht="14.25" customHeight="1" x14ac:dyDescent="0.3">
      <c r="A231" s="1" t="s">
        <v>257</v>
      </c>
      <c r="B231" s="1" t="s">
        <v>15</v>
      </c>
      <c r="C231" s="1" t="s">
        <v>16</v>
      </c>
      <c r="D231" s="1" t="str">
        <f>IF(Data[[#This Row],[Cancellation Status]]="No", "High Potential", "Normal")</f>
        <v>High Potential</v>
      </c>
      <c r="E231" s="2">
        <v>45952</v>
      </c>
      <c r="F231" s="2">
        <v>45954</v>
      </c>
      <c r="G231" s="2">
        <v>45955</v>
      </c>
      <c r="H231" s="2">
        <v>45958</v>
      </c>
      <c r="I231" s="1" t="s">
        <v>17</v>
      </c>
      <c r="K231" s="2">
        <v>45979</v>
      </c>
      <c r="L231" s="88">
        <f>IF(OR(Data[[#This Row],[Service Follow-up Date]]="",Data[[#This Row],[Delivery Date]]=""),"",INT(Data[[#This Row],[Service Follow-up Date]]-Data[[#This Row],[Delivery Date]]))</f>
        <v>21</v>
      </c>
      <c r="M231" s="1">
        <v>2</v>
      </c>
      <c r="N231" s="1">
        <v>1</v>
      </c>
      <c r="O231" s="1">
        <v>3</v>
      </c>
      <c r="P231" s="1">
        <v>2</v>
      </c>
      <c r="Q231" t="str">
        <f>IF(ISBLANK(Data[[#This Row],[Customer Rating]]),"No Rating",IF(Data[[#This Row],[Customer Rating]]&gt;=9,"Promoter",IF(Data[[#This Row],[Customer Rating]]&gt;=7,"Passive","Detractor")))</f>
        <v>Detractor</v>
      </c>
    </row>
    <row r="232" spans="1:17" ht="14.25" customHeight="1" x14ac:dyDescent="0.3">
      <c r="A232" s="1" t="s">
        <v>258</v>
      </c>
      <c r="B232" s="1" t="s">
        <v>32</v>
      </c>
      <c r="C232" s="1" t="s">
        <v>16</v>
      </c>
      <c r="D232" s="1" t="str">
        <f>IF(Data[[#This Row],[Cancellation Status]]="No", "High Potential", "Normal")</f>
        <v>High Potential</v>
      </c>
      <c r="E232" s="2">
        <v>45933</v>
      </c>
      <c r="F232" s="2">
        <v>45934</v>
      </c>
      <c r="G232" s="2">
        <v>45938</v>
      </c>
      <c r="H232" s="2">
        <v>45942</v>
      </c>
      <c r="I232" s="1" t="s">
        <v>17</v>
      </c>
      <c r="K232" s="2">
        <v>45952</v>
      </c>
      <c r="L232" s="88">
        <f>IF(OR(Data[[#This Row],[Service Follow-up Date]]="",Data[[#This Row],[Delivery Date]]=""),"",INT(Data[[#This Row],[Service Follow-up Date]]-Data[[#This Row],[Delivery Date]]))</f>
        <v>10</v>
      </c>
      <c r="M232" s="1">
        <v>1</v>
      </c>
      <c r="N232" s="1">
        <v>4</v>
      </c>
      <c r="O232" s="1">
        <v>4</v>
      </c>
      <c r="P232" s="1">
        <v>2</v>
      </c>
      <c r="Q232" t="str">
        <f>IF(ISBLANK(Data[[#This Row],[Customer Rating]]),"No Rating",IF(Data[[#This Row],[Customer Rating]]&gt;=9,"Promoter",IF(Data[[#This Row],[Customer Rating]]&gt;=7,"Passive","Detractor")))</f>
        <v>Detractor</v>
      </c>
    </row>
    <row r="233" spans="1:17" ht="14.25" customHeight="1" x14ac:dyDescent="0.3">
      <c r="A233" s="1" t="s">
        <v>259</v>
      </c>
      <c r="B233" s="1" t="s">
        <v>21</v>
      </c>
      <c r="C233" s="1" t="s">
        <v>16</v>
      </c>
      <c r="D233" s="1" t="str">
        <f>IF(Data[[#This Row],[Cancellation Status]]="No", "High Potential", "Normal")</f>
        <v>High Potential</v>
      </c>
      <c r="E233" s="2">
        <v>45936</v>
      </c>
      <c r="F233" s="2">
        <v>45941</v>
      </c>
      <c r="G233" s="2">
        <v>45942</v>
      </c>
      <c r="H233" s="2">
        <v>45949</v>
      </c>
      <c r="I233" s="1" t="s">
        <v>17</v>
      </c>
      <c r="K233" s="2">
        <v>45972</v>
      </c>
      <c r="L233" s="88">
        <f>IF(OR(Data[[#This Row],[Service Follow-up Date]]="",Data[[#This Row],[Delivery Date]]=""),"",INT(Data[[#This Row],[Service Follow-up Date]]-Data[[#This Row],[Delivery Date]]))</f>
        <v>23</v>
      </c>
      <c r="M233" s="1">
        <v>5</v>
      </c>
      <c r="N233" s="1">
        <v>1</v>
      </c>
      <c r="O233" s="1">
        <v>7</v>
      </c>
      <c r="P233" s="1">
        <v>8</v>
      </c>
      <c r="Q233" t="str">
        <f>IF(ISBLANK(Data[[#This Row],[Customer Rating]]),"No Rating",IF(Data[[#This Row],[Customer Rating]]&gt;=9,"Promoter",IF(Data[[#This Row],[Customer Rating]]&gt;=7,"Passive","Detractor")))</f>
        <v>Passive</v>
      </c>
    </row>
    <row r="234" spans="1:17" ht="14.25" customHeight="1" x14ac:dyDescent="0.3">
      <c r="A234" s="1" t="s">
        <v>260</v>
      </c>
      <c r="B234" s="1" t="s">
        <v>21</v>
      </c>
      <c r="C234" s="1" t="s">
        <v>16</v>
      </c>
      <c r="D234" s="1" t="str">
        <f>IF(Data[[#This Row],[Cancellation Status]]="No", "High Potential", "Normal")</f>
        <v>Normal</v>
      </c>
      <c r="E234" s="2">
        <v>45938</v>
      </c>
      <c r="F234" s="2">
        <v>45939</v>
      </c>
      <c r="G234" s="2">
        <v>45941</v>
      </c>
      <c r="H234" s="2">
        <v>45945</v>
      </c>
      <c r="I234" s="1" t="s">
        <v>23</v>
      </c>
      <c r="J234" s="1" t="s">
        <v>63</v>
      </c>
      <c r="L234" s="88" t="str">
        <f>IF(OR(Data[[#This Row],[Service Follow-up Date]]="",Data[[#This Row],[Delivery Date]]=""),"",INT(Data[[#This Row],[Service Follow-up Date]]-Data[[#This Row],[Delivery Date]]))</f>
        <v/>
      </c>
      <c r="M234" s="1">
        <v>1</v>
      </c>
      <c r="N234" s="1">
        <v>2</v>
      </c>
      <c r="O234" s="1">
        <v>4</v>
      </c>
      <c r="Q234" t="str">
        <f>IF(ISBLANK(Data[[#This Row],[Customer Rating]]),"No Rating",IF(Data[[#This Row],[Customer Rating]]&gt;=9,"Promoter",IF(Data[[#This Row],[Customer Rating]]&gt;=7,"Passive","Detractor")))</f>
        <v>No Rating</v>
      </c>
    </row>
    <row r="235" spans="1:17" ht="14.25" customHeight="1" x14ac:dyDescent="0.3">
      <c r="A235" s="1" t="s">
        <v>261</v>
      </c>
      <c r="B235" s="1" t="s">
        <v>21</v>
      </c>
      <c r="C235" s="1" t="s">
        <v>30</v>
      </c>
      <c r="D235" s="1" t="str">
        <f>IF(Data[[#This Row],[Cancellation Status]]="No", "High Potential", "Normal")</f>
        <v>High Potential</v>
      </c>
      <c r="E235" s="2">
        <v>45936</v>
      </c>
      <c r="F235" s="2">
        <v>45941</v>
      </c>
      <c r="G235" s="2">
        <v>45943</v>
      </c>
      <c r="H235" s="2">
        <v>45947</v>
      </c>
      <c r="I235" s="1" t="s">
        <v>17</v>
      </c>
      <c r="K235" s="2">
        <v>45959</v>
      </c>
      <c r="L235" s="88">
        <f>IF(OR(Data[[#This Row],[Service Follow-up Date]]="",Data[[#This Row],[Delivery Date]]=""),"",INT(Data[[#This Row],[Service Follow-up Date]]-Data[[#This Row],[Delivery Date]]))</f>
        <v>12</v>
      </c>
      <c r="M235" s="1">
        <v>5</v>
      </c>
      <c r="N235" s="1">
        <v>2</v>
      </c>
      <c r="O235" s="1">
        <v>4</v>
      </c>
      <c r="P235" s="1">
        <v>9</v>
      </c>
      <c r="Q235" t="str">
        <f>IF(ISBLANK(Data[[#This Row],[Customer Rating]]),"No Rating",IF(Data[[#This Row],[Customer Rating]]&gt;=9,"Promoter",IF(Data[[#This Row],[Customer Rating]]&gt;=7,"Passive","Detractor")))</f>
        <v>Promoter</v>
      </c>
    </row>
    <row r="236" spans="1:17" ht="14.25" customHeight="1" x14ac:dyDescent="0.3">
      <c r="A236" s="1" t="s">
        <v>262</v>
      </c>
      <c r="B236" s="1" t="s">
        <v>32</v>
      </c>
      <c r="C236" s="1" t="s">
        <v>30</v>
      </c>
      <c r="D236" s="1" t="str">
        <f>IF(Data[[#This Row],[Cancellation Status]]="No", "High Potential", "Normal")</f>
        <v>High Potential</v>
      </c>
      <c r="E236" s="2">
        <v>45948</v>
      </c>
      <c r="F236" s="2">
        <v>45953</v>
      </c>
      <c r="G236" s="2">
        <v>45957</v>
      </c>
      <c r="H236" s="2">
        <v>45963</v>
      </c>
      <c r="I236" s="1" t="s">
        <v>17</v>
      </c>
      <c r="K236" s="2">
        <v>45982</v>
      </c>
      <c r="L236" s="88">
        <f>IF(OR(Data[[#This Row],[Service Follow-up Date]]="",Data[[#This Row],[Delivery Date]]=""),"",INT(Data[[#This Row],[Service Follow-up Date]]-Data[[#This Row],[Delivery Date]]))</f>
        <v>19</v>
      </c>
      <c r="M236" s="1">
        <v>5</v>
      </c>
      <c r="N236" s="1">
        <v>4</v>
      </c>
      <c r="O236" s="1">
        <v>6</v>
      </c>
      <c r="P236" s="1">
        <v>4</v>
      </c>
      <c r="Q236" t="str">
        <f>IF(ISBLANK(Data[[#This Row],[Customer Rating]]),"No Rating",IF(Data[[#This Row],[Customer Rating]]&gt;=9,"Promoter",IF(Data[[#This Row],[Customer Rating]]&gt;=7,"Passive","Detractor")))</f>
        <v>Detractor</v>
      </c>
    </row>
    <row r="237" spans="1:17" ht="14.25" customHeight="1" x14ac:dyDescent="0.3">
      <c r="A237" s="1" t="s">
        <v>263</v>
      </c>
      <c r="B237" s="1" t="s">
        <v>19</v>
      </c>
      <c r="C237" s="1" t="s">
        <v>30</v>
      </c>
      <c r="D237" s="1" t="str">
        <f>IF(Data[[#This Row],[Cancellation Status]]="No", "High Potential", "Normal")</f>
        <v>High Potential</v>
      </c>
      <c r="E237" s="2">
        <v>45933</v>
      </c>
      <c r="F237" s="2">
        <v>45935</v>
      </c>
      <c r="G237" s="2">
        <v>45938</v>
      </c>
      <c r="H237" s="2">
        <v>45942</v>
      </c>
      <c r="I237" s="1" t="s">
        <v>17</v>
      </c>
      <c r="K237" s="2">
        <v>45972</v>
      </c>
      <c r="L237" s="88">
        <f>IF(OR(Data[[#This Row],[Service Follow-up Date]]="",Data[[#This Row],[Delivery Date]]=""),"",INT(Data[[#This Row],[Service Follow-up Date]]-Data[[#This Row],[Delivery Date]]))</f>
        <v>30</v>
      </c>
      <c r="M237" s="1">
        <v>2</v>
      </c>
      <c r="N237" s="1">
        <v>3</v>
      </c>
      <c r="O237" s="1">
        <v>4</v>
      </c>
      <c r="P237" s="1">
        <v>7</v>
      </c>
      <c r="Q237" t="str">
        <f>IF(ISBLANK(Data[[#This Row],[Customer Rating]]),"No Rating",IF(Data[[#This Row],[Customer Rating]]&gt;=9,"Promoter",IF(Data[[#This Row],[Customer Rating]]&gt;=7,"Passive","Detractor")))</f>
        <v>Passive</v>
      </c>
    </row>
    <row r="238" spans="1:17" ht="14.25" customHeight="1" x14ac:dyDescent="0.3">
      <c r="A238" s="1" t="s">
        <v>264</v>
      </c>
      <c r="B238" s="1" t="s">
        <v>19</v>
      </c>
      <c r="C238" s="1" t="s">
        <v>30</v>
      </c>
      <c r="D238" s="1" t="str">
        <f>IF(Data[[#This Row],[Cancellation Status]]="No", "High Potential", "Normal")</f>
        <v>High Potential</v>
      </c>
      <c r="E238" s="2">
        <v>45936</v>
      </c>
      <c r="F238" s="2">
        <v>45939</v>
      </c>
      <c r="G238" s="2">
        <v>45941</v>
      </c>
      <c r="H238" s="2">
        <v>45947</v>
      </c>
      <c r="I238" s="1" t="s">
        <v>17</v>
      </c>
      <c r="K238" s="2">
        <v>45976</v>
      </c>
      <c r="L238" s="88">
        <f>IF(OR(Data[[#This Row],[Service Follow-up Date]]="",Data[[#This Row],[Delivery Date]]=""),"",INT(Data[[#This Row],[Service Follow-up Date]]-Data[[#This Row],[Delivery Date]]))</f>
        <v>29</v>
      </c>
      <c r="M238" s="1">
        <v>3</v>
      </c>
      <c r="N238" s="1">
        <v>2</v>
      </c>
      <c r="O238" s="1">
        <v>6</v>
      </c>
      <c r="P238" s="1">
        <v>7</v>
      </c>
      <c r="Q238" t="str">
        <f>IF(ISBLANK(Data[[#This Row],[Customer Rating]]),"No Rating",IF(Data[[#This Row],[Customer Rating]]&gt;=9,"Promoter",IF(Data[[#This Row],[Customer Rating]]&gt;=7,"Passive","Detractor")))</f>
        <v>Passive</v>
      </c>
    </row>
    <row r="239" spans="1:17" ht="14.25" customHeight="1" x14ac:dyDescent="0.3">
      <c r="A239" s="1" t="s">
        <v>265</v>
      </c>
      <c r="B239" s="1" t="s">
        <v>19</v>
      </c>
      <c r="C239" s="1" t="s">
        <v>16</v>
      </c>
      <c r="D239" s="1" t="str">
        <f>IF(Data[[#This Row],[Cancellation Status]]="No", "High Potential", "Normal")</f>
        <v>High Potential</v>
      </c>
      <c r="E239" s="2">
        <v>45931</v>
      </c>
      <c r="F239" s="2">
        <v>45934</v>
      </c>
      <c r="G239" s="2">
        <v>45935</v>
      </c>
      <c r="H239" s="2">
        <v>45942</v>
      </c>
      <c r="I239" s="1" t="s">
        <v>17</v>
      </c>
      <c r="K239" s="2">
        <v>45967</v>
      </c>
      <c r="L239" s="88">
        <f>IF(OR(Data[[#This Row],[Service Follow-up Date]]="",Data[[#This Row],[Delivery Date]]=""),"",INT(Data[[#This Row],[Service Follow-up Date]]-Data[[#This Row],[Delivery Date]]))</f>
        <v>25</v>
      </c>
      <c r="M239" s="1">
        <v>3</v>
      </c>
      <c r="N239" s="1">
        <v>1</v>
      </c>
      <c r="O239" s="1">
        <v>7</v>
      </c>
      <c r="P239" s="1">
        <v>0</v>
      </c>
      <c r="Q239" t="str">
        <f>IF(ISBLANK(Data[[#This Row],[Customer Rating]]),"No Rating",IF(Data[[#This Row],[Customer Rating]]&gt;=9,"Promoter",IF(Data[[#This Row],[Customer Rating]]&gt;=7,"Passive","Detractor")))</f>
        <v>Detractor</v>
      </c>
    </row>
    <row r="240" spans="1:17" ht="14.25" customHeight="1" x14ac:dyDescent="0.3">
      <c r="A240" s="1" t="s">
        <v>266</v>
      </c>
      <c r="B240" s="1" t="s">
        <v>32</v>
      </c>
      <c r="C240" s="1" t="s">
        <v>16</v>
      </c>
      <c r="D240" s="1" t="str">
        <f>IF(Data[[#This Row],[Cancellation Status]]="No", "High Potential", "Normal")</f>
        <v>High Potential</v>
      </c>
      <c r="E240" s="2">
        <v>45944</v>
      </c>
      <c r="F240" s="2">
        <v>45946</v>
      </c>
      <c r="G240" s="2">
        <v>45949</v>
      </c>
      <c r="H240" s="2">
        <v>45951</v>
      </c>
      <c r="I240" s="1" t="s">
        <v>17</v>
      </c>
      <c r="K240" s="2">
        <v>45967</v>
      </c>
      <c r="L240" s="88">
        <f>IF(OR(Data[[#This Row],[Service Follow-up Date]]="",Data[[#This Row],[Delivery Date]]=""),"",INT(Data[[#This Row],[Service Follow-up Date]]-Data[[#This Row],[Delivery Date]]))</f>
        <v>16</v>
      </c>
      <c r="M240" s="1">
        <v>2</v>
      </c>
      <c r="N240" s="1">
        <v>3</v>
      </c>
      <c r="O240" s="1">
        <v>2</v>
      </c>
      <c r="P240" s="1">
        <v>1</v>
      </c>
      <c r="Q240" t="str">
        <f>IF(ISBLANK(Data[[#This Row],[Customer Rating]]),"No Rating",IF(Data[[#This Row],[Customer Rating]]&gt;=9,"Promoter",IF(Data[[#This Row],[Customer Rating]]&gt;=7,"Passive","Detractor")))</f>
        <v>Detractor</v>
      </c>
    </row>
    <row r="241" spans="1:17" ht="14.25" customHeight="1" x14ac:dyDescent="0.3">
      <c r="A241" s="1" t="s">
        <v>267</v>
      </c>
      <c r="B241" s="1" t="s">
        <v>21</v>
      </c>
      <c r="C241" s="1" t="s">
        <v>30</v>
      </c>
      <c r="D241" s="1" t="str">
        <f>IF(Data[[#This Row],[Cancellation Status]]="No", "High Potential", "Normal")</f>
        <v>Normal</v>
      </c>
      <c r="E241" s="2">
        <v>45945</v>
      </c>
      <c r="F241" s="2">
        <v>45947</v>
      </c>
      <c r="G241" s="2">
        <v>45951</v>
      </c>
      <c r="H241" s="2">
        <v>45954</v>
      </c>
      <c r="I241" s="1" t="s">
        <v>23</v>
      </c>
      <c r="J241" s="1" t="s">
        <v>63</v>
      </c>
      <c r="L241" s="88" t="str">
        <f>IF(OR(Data[[#This Row],[Service Follow-up Date]]="",Data[[#This Row],[Delivery Date]]=""),"",INT(Data[[#This Row],[Service Follow-up Date]]-Data[[#This Row],[Delivery Date]]))</f>
        <v/>
      </c>
      <c r="M241" s="1">
        <v>2</v>
      </c>
      <c r="N241" s="1">
        <v>4</v>
      </c>
      <c r="O241" s="1">
        <v>3</v>
      </c>
      <c r="Q241" t="str">
        <f>IF(ISBLANK(Data[[#This Row],[Customer Rating]]),"No Rating",IF(Data[[#This Row],[Customer Rating]]&gt;=9,"Promoter",IF(Data[[#This Row],[Customer Rating]]&gt;=7,"Passive","Detractor")))</f>
        <v>No Rating</v>
      </c>
    </row>
    <row r="242" spans="1:17" ht="14.25" customHeight="1" x14ac:dyDescent="0.3">
      <c r="A242" s="1" t="s">
        <v>268</v>
      </c>
      <c r="B242" s="1" t="s">
        <v>19</v>
      </c>
      <c r="C242" s="1" t="s">
        <v>16</v>
      </c>
      <c r="D242" s="1" t="str">
        <f>IF(Data[[#This Row],[Cancellation Status]]="No", "High Potential", "Normal")</f>
        <v>High Potential</v>
      </c>
      <c r="E242" s="2">
        <v>45953</v>
      </c>
      <c r="F242" s="2">
        <v>45954</v>
      </c>
      <c r="G242" s="2">
        <v>45956</v>
      </c>
      <c r="H242" s="2">
        <v>45961</v>
      </c>
      <c r="I242" s="1" t="s">
        <v>17</v>
      </c>
      <c r="K242" s="2">
        <v>45974</v>
      </c>
      <c r="L242" s="88">
        <f>IF(OR(Data[[#This Row],[Service Follow-up Date]]="",Data[[#This Row],[Delivery Date]]=""),"",INT(Data[[#This Row],[Service Follow-up Date]]-Data[[#This Row],[Delivery Date]]))</f>
        <v>13</v>
      </c>
      <c r="M242" s="1">
        <v>1</v>
      </c>
      <c r="N242" s="1">
        <v>2</v>
      </c>
      <c r="O242" s="1">
        <v>5</v>
      </c>
      <c r="P242" s="1">
        <v>9</v>
      </c>
      <c r="Q242" t="str">
        <f>IF(ISBLANK(Data[[#This Row],[Customer Rating]]),"No Rating",IF(Data[[#This Row],[Customer Rating]]&gt;=9,"Promoter",IF(Data[[#This Row],[Customer Rating]]&gt;=7,"Passive","Detractor")))</f>
        <v>Promoter</v>
      </c>
    </row>
    <row r="243" spans="1:17" ht="14.25" customHeight="1" x14ac:dyDescent="0.3">
      <c r="A243" s="1" t="s">
        <v>269</v>
      </c>
      <c r="B243" s="1" t="s">
        <v>32</v>
      </c>
      <c r="C243" s="1" t="s">
        <v>30</v>
      </c>
      <c r="D243" s="1" t="str">
        <f>IF(Data[[#This Row],[Cancellation Status]]="No", "High Potential", "Normal")</f>
        <v>High Potential</v>
      </c>
      <c r="E243" s="2">
        <v>45950</v>
      </c>
      <c r="F243" s="2">
        <v>45952</v>
      </c>
      <c r="G243" s="2">
        <v>45956</v>
      </c>
      <c r="H243" s="2">
        <v>45958</v>
      </c>
      <c r="I243" s="1" t="s">
        <v>17</v>
      </c>
      <c r="K243" s="2">
        <v>45968</v>
      </c>
      <c r="L243" s="88">
        <f>IF(OR(Data[[#This Row],[Service Follow-up Date]]="",Data[[#This Row],[Delivery Date]]=""),"",INT(Data[[#This Row],[Service Follow-up Date]]-Data[[#This Row],[Delivery Date]]))</f>
        <v>10</v>
      </c>
      <c r="M243" s="1">
        <v>2</v>
      </c>
      <c r="N243" s="1">
        <v>4</v>
      </c>
      <c r="O243" s="1">
        <v>2</v>
      </c>
      <c r="P243" s="1">
        <v>1</v>
      </c>
      <c r="Q243" t="str">
        <f>IF(ISBLANK(Data[[#This Row],[Customer Rating]]),"No Rating",IF(Data[[#This Row],[Customer Rating]]&gt;=9,"Promoter",IF(Data[[#This Row],[Customer Rating]]&gt;=7,"Passive","Detractor")))</f>
        <v>Detractor</v>
      </c>
    </row>
    <row r="244" spans="1:17" ht="14.25" customHeight="1" x14ac:dyDescent="0.3">
      <c r="A244" s="1" t="s">
        <v>270</v>
      </c>
      <c r="B244" s="1" t="s">
        <v>19</v>
      </c>
      <c r="C244" s="1" t="s">
        <v>22</v>
      </c>
      <c r="D244" s="1" t="str">
        <f>IF(Data[[#This Row],[Cancellation Status]]="No", "High Potential", "Normal")</f>
        <v>Normal</v>
      </c>
      <c r="E244" s="2">
        <v>45946</v>
      </c>
      <c r="I244" s="1" t="s">
        <v>23</v>
      </c>
      <c r="J244" s="1" t="s">
        <v>24</v>
      </c>
      <c r="L244" s="88" t="str">
        <f>IF(OR(Data[[#This Row],[Service Follow-up Date]]="",Data[[#This Row],[Delivery Date]]=""),"",INT(Data[[#This Row],[Service Follow-up Date]]-Data[[#This Row],[Delivery Date]]))</f>
        <v/>
      </c>
      <c r="Q244" t="str">
        <f>IF(ISBLANK(Data[[#This Row],[Customer Rating]]),"No Rating",IF(Data[[#This Row],[Customer Rating]]&gt;=9,"Promoter",IF(Data[[#This Row],[Customer Rating]]&gt;=7,"Passive","Detractor")))</f>
        <v>No Rating</v>
      </c>
    </row>
    <row r="245" spans="1:17" ht="14.25" customHeight="1" x14ac:dyDescent="0.3">
      <c r="A245" s="1" t="s">
        <v>271</v>
      </c>
      <c r="B245" s="1" t="s">
        <v>15</v>
      </c>
      <c r="C245" s="1" t="s">
        <v>22</v>
      </c>
      <c r="D245" s="1" t="str">
        <f>IF(Data[[#This Row],[Cancellation Status]]="No", "High Potential", "Normal")</f>
        <v>Normal</v>
      </c>
      <c r="E245" s="2">
        <v>45940</v>
      </c>
      <c r="I245" s="1" t="s">
        <v>23</v>
      </c>
      <c r="J245" s="1" t="s">
        <v>63</v>
      </c>
      <c r="L245" s="88" t="str">
        <f>IF(OR(Data[[#This Row],[Service Follow-up Date]]="",Data[[#This Row],[Delivery Date]]=""),"",INT(Data[[#This Row],[Service Follow-up Date]]-Data[[#This Row],[Delivery Date]]))</f>
        <v/>
      </c>
      <c r="Q245" t="str">
        <f>IF(ISBLANK(Data[[#This Row],[Customer Rating]]),"No Rating",IF(Data[[#This Row],[Customer Rating]]&gt;=9,"Promoter",IF(Data[[#This Row],[Customer Rating]]&gt;=7,"Passive","Detractor")))</f>
        <v>No Rating</v>
      </c>
    </row>
    <row r="246" spans="1:17" ht="14.25" customHeight="1" x14ac:dyDescent="0.3">
      <c r="A246" s="1" t="s">
        <v>272</v>
      </c>
      <c r="B246" s="1" t="s">
        <v>19</v>
      </c>
      <c r="C246" s="1" t="s">
        <v>30</v>
      </c>
      <c r="D246" s="1" t="str">
        <f>IF(Data[[#This Row],[Cancellation Status]]="No", "High Potential", "Normal")</f>
        <v>High Potential</v>
      </c>
      <c r="E246" s="2">
        <v>45932</v>
      </c>
      <c r="F246" s="2">
        <v>45935</v>
      </c>
      <c r="G246" s="2">
        <v>45938</v>
      </c>
      <c r="H246" s="2">
        <v>45942</v>
      </c>
      <c r="I246" s="1" t="s">
        <v>17</v>
      </c>
      <c r="K246" s="2">
        <v>45958</v>
      </c>
      <c r="L246" s="88">
        <f>IF(OR(Data[[#This Row],[Service Follow-up Date]]="",Data[[#This Row],[Delivery Date]]=""),"",INT(Data[[#This Row],[Service Follow-up Date]]-Data[[#This Row],[Delivery Date]]))</f>
        <v>16</v>
      </c>
      <c r="M246" s="1">
        <v>3</v>
      </c>
      <c r="N246" s="1">
        <v>3</v>
      </c>
      <c r="O246" s="1">
        <v>4</v>
      </c>
      <c r="P246" s="1">
        <v>6</v>
      </c>
      <c r="Q246" t="str">
        <f>IF(ISBLANK(Data[[#This Row],[Customer Rating]]),"No Rating",IF(Data[[#This Row],[Customer Rating]]&gt;=9,"Promoter",IF(Data[[#This Row],[Customer Rating]]&gt;=7,"Passive","Detractor")))</f>
        <v>Detractor</v>
      </c>
    </row>
    <row r="247" spans="1:17" ht="14.25" customHeight="1" x14ac:dyDescent="0.3">
      <c r="A247" s="1" t="s">
        <v>273</v>
      </c>
      <c r="B247" s="1" t="s">
        <v>19</v>
      </c>
      <c r="C247" s="1" t="s">
        <v>16</v>
      </c>
      <c r="D247" s="1" t="str">
        <f>IF(Data[[#This Row],[Cancellation Status]]="No", "High Potential", "Normal")</f>
        <v>Normal</v>
      </c>
      <c r="E247" s="2">
        <v>45938</v>
      </c>
      <c r="F247" s="2">
        <v>45940</v>
      </c>
      <c r="G247" s="2">
        <v>45943</v>
      </c>
      <c r="H247" s="2">
        <v>45950</v>
      </c>
      <c r="I247" s="1" t="s">
        <v>23</v>
      </c>
      <c r="J247" s="1" t="s">
        <v>33</v>
      </c>
      <c r="L247" s="88" t="str">
        <f>IF(OR(Data[[#This Row],[Service Follow-up Date]]="",Data[[#This Row],[Delivery Date]]=""),"",INT(Data[[#This Row],[Service Follow-up Date]]-Data[[#This Row],[Delivery Date]]))</f>
        <v/>
      </c>
      <c r="M247" s="1">
        <v>2</v>
      </c>
      <c r="N247" s="1">
        <v>3</v>
      </c>
      <c r="O247" s="1">
        <v>7</v>
      </c>
      <c r="Q247" t="str">
        <f>IF(ISBLANK(Data[[#This Row],[Customer Rating]]),"No Rating",IF(Data[[#This Row],[Customer Rating]]&gt;=9,"Promoter",IF(Data[[#This Row],[Customer Rating]]&gt;=7,"Passive","Detractor")))</f>
        <v>No Rating</v>
      </c>
    </row>
    <row r="248" spans="1:17" ht="14.25" customHeight="1" x14ac:dyDescent="0.3">
      <c r="A248" s="1" t="s">
        <v>274</v>
      </c>
      <c r="B248" s="1" t="s">
        <v>21</v>
      </c>
      <c r="C248" s="1" t="s">
        <v>30</v>
      </c>
      <c r="D248" s="1" t="str">
        <f>IF(Data[[#This Row],[Cancellation Status]]="No", "High Potential", "Normal")</f>
        <v>High Potential</v>
      </c>
      <c r="E248" s="2">
        <v>45940</v>
      </c>
      <c r="F248" s="2">
        <v>45942</v>
      </c>
      <c r="G248" s="2">
        <v>45945</v>
      </c>
      <c r="H248" s="2">
        <v>45948</v>
      </c>
      <c r="I248" s="1" t="s">
        <v>17</v>
      </c>
      <c r="K248" s="2">
        <v>45963</v>
      </c>
      <c r="L248" s="88">
        <f>IF(OR(Data[[#This Row],[Service Follow-up Date]]="",Data[[#This Row],[Delivery Date]]=""),"",INT(Data[[#This Row],[Service Follow-up Date]]-Data[[#This Row],[Delivery Date]]))</f>
        <v>15</v>
      </c>
      <c r="M248" s="1">
        <v>2</v>
      </c>
      <c r="N248" s="1">
        <v>3</v>
      </c>
      <c r="O248" s="1">
        <v>3</v>
      </c>
      <c r="P248" s="1">
        <v>6</v>
      </c>
      <c r="Q248" t="str">
        <f>IF(ISBLANK(Data[[#This Row],[Customer Rating]]),"No Rating",IF(Data[[#This Row],[Customer Rating]]&gt;=9,"Promoter",IF(Data[[#This Row],[Customer Rating]]&gt;=7,"Passive","Detractor")))</f>
        <v>Detractor</v>
      </c>
    </row>
    <row r="249" spans="1:17" ht="14.25" customHeight="1" x14ac:dyDescent="0.3">
      <c r="A249" s="1" t="s">
        <v>275</v>
      </c>
      <c r="B249" s="1" t="s">
        <v>32</v>
      </c>
      <c r="C249" s="1" t="s">
        <v>16</v>
      </c>
      <c r="D249" s="1" t="str">
        <f>IF(Data[[#This Row],[Cancellation Status]]="No", "High Potential", "Normal")</f>
        <v>High Potential</v>
      </c>
      <c r="E249" s="2">
        <v>45953</v>
      </c>
      <c r="F249" s="2">
        <v>45958</v>
      </c>
      <c r="G249" s="2">
        <v>45963</v>
      </c>
      <c r="H249" s="2">
        <v>45970</v>
      </c>
      <c r="I249" s="1" t="s">
        <v>17</v>
      </c>
      <c r="K249" s="2">
        <v>46000</v>
      </c>
      <c r="L249" s="88">
        <f>IF(OR(Data[[#This Row],[Service Follow-up Date]]="",Data[[#This Row],[Delivery Date]]=""),"",INT(Data[[#This Row],[Service Follow-up Date]]-Data[[#This Row],[Delivery Date]]))</f>
        <v>30</v>
      </c>
      <c r="M249" s="1">
        <v>5</v>
      </c>
      <c r="N249" s="1">
        <v>5</v>
      </c>
      <c r="O249" s="1">
        <v>7</v>
      </c>
      <c r="P249" s="1">
        <v>4</v>
      </c>
      <c r="Q249" t="str">
        <f>IF(ISBLANK(Data[[#This Row],[Customer Rating]]),"No Rating",IF(Data[[#This Row],[Customer Rating]]&gt;=9,"Promoter",IF(Data[[#This Row],[Customer Rating]]&gt;=7,"Passive","Detractor")))</f>
        <v>Detractor</v>
      </c>
    </row>
    <row r="250" spans="1:17" ht="14.25" customHeight="1" x14ac:dyDescent="0.3">
      <c r="A250" s="1" t="s">
        <v>276</v>
      </c>
      <c r="B250" s="1" t="s">
        <v>21</v>
      </c>
      <c r="C250" s="1" t="s">
        <v>16</v>
      </c>
      <c r="D250" s="1" t="str">
        <f>IF(Data[[#This Row],[Cancellation Status]]="No", "High Potential", "Normal")</f>
        <v>High Potential</v>
      </c>
      <c r="E250" s="2">
        <v>45940</v>
      </c>
      <c r="F250" s="2">
        <v>45942</v>
      </c>
      <c r="G250" s="2">
        <v>45947</v>
      </c>
      <c r="H250" s="2">
        <v>45950</v>
      </c>
      <c r="I250" s="1" t="s">
        <v>17</v>
      </c>
      <c r="K250" s="2">
        <v>45969</v>
      </c>
      <c r="L250" s="88">
        <f>IF(OR(Data[[#This Row],[Service Follow-up Date]]="",Data[[#This Row],[Delivery Date]]=""),"",INT(Data[[#This Row],[Service Follow-up Date]]-Data[[#This Row],[Delivery Date]]))</f>
        <v>19</v>
      </c>
      <c r="M250" s="1">
        <v>2</v>
      </c>
      <c r="N250" s="1">
        <v>5</v>
      </c>
      <c r="O250" s="1">
        <v>3</v>
      </c>
      <c r="P250" s="1">
        <v>7</v>
      </c>
      <c r="Q250" t="str">
        <f>IF(ISBLANK(Data[[#This Row],[Customer Rating]]),"No Rating",IF(Data[[#This Row],[Customer Rating]]&gt;=9,"Promoter",IF(Data[[#This Row],[Customer Rating]]&gt;=7,"Passive","Detractor")))</f>
        <v>Passive</v>
      </c>
    </row>
    <row r="251" spans="1:17" ht="14.25" customHeight="1" x14ac:dyDescent="0.3">
      <c r="A251" s="1" t="s">
        <v>277</v>
      </c>
      <c r="B251" s="1" t="s">
        <v>21</v>
      </c>
      <c r="C251" s="1" t="s">
        <v>30</v>
      </c>
      <c r="D251" s="1" t="str">
        <f>IF(Data[[#This Row],[Cancellation Status]]="No", "High Potential", "Normal")</f>
        <v>High Potential</v>
      </c>
      <c r="E251" s="2">
        <v>45953</v>
      </c>
      <c r="F251" s="2">
        <v>45954</v>
      </c>
      <c r="G251" s="2">
        <v>45955</v>
      </c>
      <c r="H251" s="2">
        <v>45958</v>
      </c>
      <c r="I251" s="1" t="s">
        <v>17</v>
      </c>
      <c r="K251" s="2">
        <v>45970</v>
      </c>
      <c r="L251" s="88">
        <f>IF(OR(Data[[#This Row],[Service Follow-up Date]]="",Data[[#This Row],[Delivery Date]]=""),"",INT(Data[[#This Row],[Service Follow-up Date]]-Data[[#This Row],[Delivery Date]]))</f>
        <v>12</v>
      </c>
      <c r="M251" s="1">
        <v>1</v>
      </c>
      <c r="N251" s="1">
        <v>1</v>
      </c>
      <c r="O251" s="1">
        <v>3</v>
      </c>
      <c r="P251" s="1">
        <v>3</v>
      </c>
      <c r="Q251" t="str">
        <f>IF(ISBLANK(Data[[#This Row],[Customer Rating]]),"No Rating",IF(Data[[#This Row],[Customer Rating]]&gt;=9,"Promoter",IF(Data[[#This Row],[Customer Rating]]&gt;=7,"Passive","Detractor")))</f>
        <v>Detractor</v>
      </c>
    </row>
    <row r="252" spans="1:17" ht="14.25" customHeight="1" x14ac:dyDescent="0.3">
      <c r="A252" s="1" t="s">
        <v>278</v>
      </c>
      <c r="B252" s="1" t="s">
        <v>21</v>
      </c>
      <c r="C252" s="1" t="s">
        <v>16</v>
      </c>
      <c r="D252" s="1" t="str">
        <f>IF(Data[[#This Row],[Cancellation Status]]="No", "High Potential", "Normal")</f>
        <v>High Potential</v>
      </c>
      <c r="E252" s="2">
        <v>45958</v>
      </c>
      <c r="F252" s="2">
        <v>45960</v>
      </c>
      <c r="G252" s="2">
        <v>45963</v>
      </c>
      <c r="H252" s="2">
        <v>45966</v>
      </c>
      <c r="I252" s="1" t="s">
        <v>17</v>
      </c>
      <c r="K252" s="2">
        <v>45991</v>
      </c>
      <c r="L252" s="88">
        <f>IF(OR(Data[[#This Row],[Service Follow-up Date]]="",Data[[#This Row],[Delivery Date]]=""),"",INT(Data[[#This Row],[Service Follow-up Date]]-Data[[#This Row],[Delivery Date]]))</f>
        <v>25</v>
      </c>
      <c r="M252" s="1">
        <v>2</v>
      </c>
      <c r="N252" s="1">
        <v>3</v>
      </c>
      <c r="O252" s="1">
        <v>3</v>
      </c>
      <c r="P252" s="1">
        <v>2</v>
      </c>
      <c r="Q252" t="str">
        <f>IF(ISBLANK(Data[[#This Row],[Customer Rating]]),"No Rating",IF(Data[[#This Row],[Customer Rating]]&gt;=9,"Promoter",IF(Data[[#This Row],[Customer Rating]]&gt;=7,"Passive","Detractor")))</f>
        <v>Detractor</v>
      </c>
    </row>
    <row r="253" spans="1:17" ht="14.25" customHeight="1" x14ac:dyDescent="0.3">
      <c r="A253" s="1" t="s">
        <v>279</v>
      </c>
      <c r="B253" s="1" t="s">
        <v>21</v>
      </c>
      <c r="C253" s="1" t="s">
        <v>30</v>
      </c>
      <c r="D253" s="1" t="str">
        <f>IF(Data[[#This Row],[Cancellation Status]]="No", "High Potential", "Normal")</f>
        <v>High Potential</v>
      </c>
      <c r="E253" s="2">
        <v>45945</v>
      </c>
      <c r="F253" s="2">
        <v>45949</v>
      </c>
      <c r="G253" s="2">
        <v>45952</v>
      </c>
      <c r="H253" s="2">
        <v>45959</v>
      </c>
      <c r="I253" s="1" t="s">
        <v>17</v>
      </c>
      <c r="K253" s="2">
        <v>45972</v>
      </c>
      <c r="L253" s="88">
        <f>IF(OR(Data[[#This Row],[Service Follow-up Date]]="",Data[[#This Row],[Delivery Date]]=""),"",INT(Data[[#This Row],[Service Follow-up Date]]-Data[[#This Row],[Delivery Date]]))</f>
        <v>13</v>
      </c>
      <c r="M253" s="1">
        <v>4</v>
      </c>
      <c r="N253" s="1">
        <v>3</v>
      </c>
      <c r="O253" s="1">
        <v>7</v>
      </c>
      <c r="P253" s="1">
        <v>6</v>
      </c>
      <c r="Q253" t="str">
        <f>IF(ISBLANK(Data[[#This Row],[Customer Rating]]),"No Rating",IF(Data[[#This Row],[Customer Rating]]&gt;=9,"Promoter",IF(Data[[#This Row],[Customer Rating]]&gt;=7,"Passive","Detractor")))</f>
        <v>Detractor</v>
      </c>
    </row>
    <row r="254" spans="1:17" ht="14.25" customHeight="1" x14ac:dyDescent="0.3">
      <c r="A254" s="1" t="s">
        <v>280</v>
      </c>
      <c r="B254" s="1" t="s">
        <v>21</v>
      </c>
      <c r="C254" s="1" t="s">
        <v>30</v>
      </c>
      <c r="D254" s="1" t="str">
        <f>IF(Data[[#This Row],[Cancellation Status]]="No", "High Potential", "Normal")</f>
        <v>High Potential</v>
      </c>
      <c r="E254" s="2">
        <v>45933</v>
      </c>
      <c r="F254" s="2">
        <v>45937</v>
      </c>
      <c r="G254" s="2">
        <v>45939</v>
      </c>
      <c r="H254" s="2">
        <v>45943</v>
      </c>
      <c r="I254" s="1" t="s">
        <v>17</v>
      </c>
      <c r="K254" s="2">
        <v>45962</v>
      </c>
      <c r="L254" s="88">
        <f>IF(OR(Data[[#This Row],[Service Follow-up Date]]="",Data[[#This Row],[Delivery Date]]=""),"",INT(Data[[#This Row],[Service Follow-up Date]]-Data[[#This Row],[Delivery Date]]))</f>
        <v>19</v>
      </c>
      <c r="M254" s="1">
        <v>4</v>
      </c>
      <c r="N254" s="1">
        <v>2</v>
      </c>
      <c r="O254" s="1">
        <v>4</v>
      </c>
      <c r="P254" s="1">
        <v>10</v>
      </c>
      <c r="Q254" t="str">
        <f>IF(ISBLANK(Data[[#This Row],[Customer Rating]]),"No Rating",IF(Data[[#This Row],[Customer Rating]]&gt;=9,"Promoter",IF(Data[[#This Row],[Customer Rating]]&gt;=7,"Passive","Detractor")))</f>
        <v>Promoter</v>
      </c>
    </row>
    <row r="255" spans="1:17" ht="14.25" customHeight="1" x14ac:dyDescent="0.3">
      <c r="A255" s="1" t="s">
        <v>281</v>
      </c>
      <c r="B255" s="1" t="s">
        <v>19</v>
      </c>
      <c r="C255" s="1" t="s">
        <v>16</v>
      </c>
      <c r="D255" s="1" t="str">
        <f>IF(Data[[#This Row],[Cancellation Status]]="No", "High Potential", "Normal")</f>
        <v>High Potential</v>
      </c>
      <c r="E255" s="2">
        <v>45952</v>
      </c>
      <c r="F255" s="2">
        <v>45957</v>
      </c>
      <c r="G255" s="2">
        <v>45958</v>
      </c>
      <c r="H255" s="2">
        <v>45961</v>
      </c>
      <c r="I255" s="1" t="s">
        <v>17</v>
      </c>
      <c r="K255" s="2">
        <v>45983</v>
      </c>
      <c r="L255" s="88">
        <f>IF(OR(Data[[#This Row],[Service Follow-up Date]]="",Data[[#This Row],[Delivery Date]]=""),"",INT(Data[[#This Row],[Service Follow-up Date]]-Data[[#This Row],[Delivery Date]]))</f>
        <v>22</v>
      </c>
      <c r="M255" s="1">
        <v>5</v>
      </c>
      <c r="N255" s="1">
        <v>1</v>
      </c>
      <c r="O255" s="1">
        <v>3</v>
      </c>
      <c r="P255" s="1">
        <v>4</v>
      </c>
      <c r="Q255" t="str">
        <f>IF(ISBLANK(Data[[#This Row],[Customer Rating]]),"No Rating",IF(Data[[#This Row],[Customer Rating]]&gt;=9,"Promoter",IF(Data[[#This Row],[Customer Rating]]&gt;=7,"Passive","Detractor")))</f>
        <v>Detractor</v>
      </c>
    </row>
    <row r="256" spans="1:17" ht="14.25" customHeight="1" x14ac:dyDescent="0.3">
      <c r="A256" s="1" t="s">
        <v>282</v>
      </c>
      <c r="B256" s="1" t="s">
        <v>21</v>
      </c>
      <c r="C256" s="1" t="s">
        <v>16</v>
      </c>
      <c r="D256" s="1" t="str">
        <f>IF(Data[[#This Row],[Cancellation Status]]="No", "High Potential", "Normal")</f>
        <v>High Potential</v>
      </c>
      <c r="E256" s="2">
        <v>45938</v>
      </c>
      <c r="F256" s="2">
        <v>45943</v>
      </c>
      <c r="G256" s="2">
        <v>45944</v>
      </c>
      <c r="H256" s="2">
        <v>45951</v>
      </c>
      <c r="I256" s="1" t="s">
        <v>17</v>
      </c>
      <c r="K256" s="2">
        <v>45976</v>
      </c>
      <c r="L256" s="88">
        <f>IF(OR(Data[[#This Row],[Service Follow-up Date]]="",Data[[#This Row],[Delivery Date]]=""),"",INT(Data[[#This Row],[Service Follow-up Date]]-Data[[#This Row],[Delivery Date]]))</f>
        <v>25</v>
      </c>
      <c r="M256" s="1">
        <v>5</v>
      </c>
      <c r="N256" s="1">
        <v>1</v>
      </c>
      <c r="O256" s="1">
        <v>7</v>
      </c>
      <c r="P256" s="1">
        <v>5</v>
      </c>
      <c r="Q256" t="str">
        <f>IF(ISBLANK(Data[[#This Row],[Customer Rating]]),"No Rating",IF(Data[[#This Row],[Customer Rating]]&gt;=9,"Promoter",IF(Data[[#This Row],[Customer Rating]]&gt;=7,"Passive","Detractor")))</f>
        <v>Detractor</v>
      </c>
    </row>
    <row r="257" spans="1:17" ht="14.25" customHeight="1" x14ac:dyDescent="0.3">
      <c r="A257" s="1" t="s">
        <v>283</v>
      </c>
      <c r="B257" s="1" t="s">
        <v>21</v>
      </c>
      <c r="C257" s="1" t="s">
        <v>16</v>
      </c>
      <c r="D257" s="1" t="str">
        <f>IF(Data[[#This Row],[Cancellation Status]]="No", "High Potential", "Normal")</f>
        <v>Normal</v>
      </c>
      <c r="E257" s="2">
        <v>45960</v>
      </c>
      <c r="F257" s="2">
        <v>45964</v>
      </c>
      <c r="G257" s="2">
        <v>45968</v>
      </c>
      <c r="H257" s="2">
        <v>45973</v>
      </c>
      <c r="I257" s="1" t="s">
        <v>23</v>
      </c>
      <c r="J257" s="1" t="s">
        <v>26</v>
      </c>
      <c r="L257" s="88" t="str">
        <f>IF(OR(Data[[#This Row],[Service Follow-up Date]]="",Data[[#This Row],[Delivery Date]]=""),"",INT(Data[[#This Row],[Service Follow-up Date]]-Data[[#This Row],[Delivery Date]]))</f>
        <v/>
      </c>
      <c r="M257" s="1">
        <v>4</v>
      </c>
      <c r="N257" s="1">
        <v>4</v>
      </c>
      <c r="O257" s="1">
        <v>5</v>
      </c>
      <c r="Q257" t="str">
        <f>IF(ISBLANK(Data[[#This Row],[Customer Rating]]),"No Rating",IF(Data[[#This Row],[Customer Rating]]&gt;=9,"Promoter",IF(Data[[#This Row],[Customer Rating]]&gt;=7,"Passive","Detractor")))</f>
        <v>No Rating</v>
      </c>
    </row>
    <row r="258" spans="1:17" ht="14.25" customHeight="1" x14ac:dyDescent="0.3">
      <c r="A258" s="1" t="s">
        <v>284</v>
      </c>
      <c r="B258" s="1" t="s">
        <v>32</v>
      </c>
      <c r="C258" s="1" t="s">
        <v>16</v>
      </c>
      <c r="D258" s="1" t="str">
        <f>IF(Data[[#This Row],[Cancellation Status]]="No", "High Potential", "Normal")</f>
        <v>High Potential</v>
      </c>
      <c r="E258" s="2">
        <v>45939</v>
      </c>
      <c r="F258" s="2">
        <v>45944</v>
      </c>
      <c r="G258" s="2">
        <v>45947</v>
      </c>
      <c r="H258" s="2">
        <v>45952</v>
      </c>
      <c r="I258" s="1" t="s">
        <v>17</v>
      </c>
      <c r="K258" s="2">
        <v>45977</v>
      </c>
      <c r="L258" s="88">
        <f>IF(OR(Data[[#This Row],[Service Follow-up Date]]="",Data[[#This Row],[Delivery Date]]=""),"",INT(Data[[#This Row],[Service Follow-up Date]]-Data[[#This Row],[Delivery Date]]))</f>
        <v>25</v>
      </c>
      <c r="M258" s="1">
        <v>5</v>
      </c>
      <c r="N258" s="1">
        <v>3</v>
      </c>
      <c r="O258" s="1">
        <v>5</v>
      </c>
      <c r="P258" s="1">
        <v>3</v>
      </c>
      <c r="Q258" t="str">
        <f>IF(ISBLANK(Data[[#This Row],[Customer Rating]]),"No Rating",IF(Data[[#This Row],[Customer Rating]]&gt;=9,"Promoter",IF(Data[[#This Row],[Customer Rating]]&gt;=7,"Passive","Detractor")))</f>
        <v>Detractor</v>
      </c>
    </row>
    <row r="259" spans="1:17" ht="14.25" customHeight="1" x14ac:dyDescent="0.3">
      <c r="A259" s="1" t="s">
        <v>285</v>
      </c>
      <c r="B259" s="1" t="s">
        <v>15</v>
      </c>
      <c r="C259" s="1" t="s">
        <v>22</v>
      </c>
      <c r="D259" s="1" t="str">
        <f>IF(Data[[#This Row],[Cancellation Status]]="No", "High Potential", "Normal")</f>
        <v>Normal</v>
      </c>
      <c r="E259" s="2">
        <v>45956</v>
      </c>
      <c r="I259" s="1" t="s">
        <v>23</v>
      </c>
      <c r="J259" s="1" t="s">
        <v>63</v>
      </c>
      <c r="L259" s="88" t="str">
        <f>IF(OR(Data[[#This Row],[Service Follow-up Date]]="",Data[[#This Row],[Delivery Date]]=""),"",INT(Data[[#This Row],[Service Follow-up Date]]-Data[[#This Row],[Delivery Date]]))</f>
        <v/>
      </c>
      <c r="Q259" t="str">
        <f>IF(ISBLANK(Data[[#This Row],[Customer Rating]]),"No Rating",IF(Data[[#This Row],[Customer Rating]]&gt;=9,"Promoter",IF(Data[[#This Row],[Customer Rating]]&gt;=7,"Passive","Detractor")))</f>
        <v>No Rating</v>
      </c>
    </row>
    <row r="260" spans="1:17" ht="14.25" customHeight="1" x14ac:dyDescent="0.3">
      <c r="A260" s="1" t="s">
        <v>286</v>
      </c>
      <c r="B260" s="1" t="s">
        <v>19</v>
      </c>
      <c r="C260" s="1" t="s">
        <v>30</v>
      </c>
      <c r="D260" s="1" t="str">
        <f>IF(Data[[#This Row],[Cancellation Status]]="No", "High Potential", "Normal")</f>
        <v>Normal</v>
      </c>
      <c r="E260" s="2">
        <v>45956</v>
      </c>
      <c r="F260" s="2">
        <v>45961</v>
      </c>
      <c r="G260" s="2">
        <v>45963</v>
      </c>
      <c r="H260" s="2">
        <v>45966</v>
      </c>
      <c r="I260" s="1" t="s">
        <v>23</v>
      </c>
      <c r="J260" s="1" t="s">
        <v>63</v>
      </c>
      <c r="L260" s="88" t="str">
        <f>IF(OR(Data[[#This Row],[Service Follow-up Date]]="",Data[[#This Row],[Delivery Date]]=""),"",INT(Data[[#This Row],[Service Follow-up Date]]-Data[[#This Row],[Delivery Date]]))</f>
        <v/>
      </c>
      <c r="M260" s="1">
        <v>5</v>
      </c>
      <c r="N260" s="1">
        <v>2</v>
      </c>
      <c r="O260" s="1">
        <v>3</v>
      </c>
      <c r="Q260" t="str">
        <f>IF(ISBLANK(Data[[#This Row],[Customer Rating]]),"No Rating",IF(Data[[#This Row],[Customer Rating]]&gt;=9,"Promoter",IF(Data[[#This Row],[Customer Rating]]&gt;=7,"Passive","Detractor")))</f>
        <v>No Rating</v>
      </c>
    </row>
    <row r="261" spans="1:17" ht="14.25" customHeight="1" x14ac:dyDescent="0.3">
      <c r="A261" s="1" t="s">
        <v>287</v>
      </c>
      <c r="B261" s="1" t="s">
        <v>19</v>
      </c>
      <c r="C261" s="1" t="s">
        <v>16</v>
      </c>
      <c r="D261" s="1" t="str">
        <f>IF(Data[[#This Row],[Cancellation Status]]="No", "High Potential", "Normal")</f>
        <v>High Potential</v>
      </c>
      <c r="E261" s="2">
        <v>45951</v>
      </c>
      <c r="F261" s="2">
        <v>45954</v>
      </c>
      <c r="G261" s="2">
        <v>45958</v>
      </c>
      <c r="H261" s="2">
        <v>45964</v>
      </c>
      <c r="I261" s="1" t="s">
        <v>17</v>
      </c>
      <c r="K261" s="2">
        <v>45982</v>
      </c>
      <c r="L261" s="88">
        <f>IF(OR(Data[[#This Row],[Service Follow-up Date]]="",Data[[#This Row],[Delivery Date]]=""),"",INT(Data[[#This Row],[Service Follow-up Date]]-Data[[#This Row],[Delivery Date]]))</f>
        <v>18</v>
      </c>
      <c r="M261" s="1">
        <v>3</v>
      </c>
      <c r="N261" s="1">
        <v>4</v>
      </c>
      <c r="O261" s="1">
        <v>6</v>
      </c>
      <c r="P261" s="1">
        <v>4</v>
      </c>
      <c r="Q261" t="str">
        <f>IF(ISBLANK(Data[[#This Row],[Customer Rating]]),"No Rating",IF(Data[[#This Row],[Customer Rating]]&gt;=9,"Promoter",IF(Data[[#This Row],[Customer Rating]]&gt;=7,"Passive","Detractor")))</f>
        <v>Detractor</v>
      </c>
    </row>
    <row r="262" spans="1:17" ht="14.25" customHeight="1" x14ac:dyDescent="0.3">
      <c r="A262" s="1" t="s">
        <v>288</v>
      </c>
      <c r="B262" s="1" t="s">
        <v>19</v>
      </c>
      <c r="C262" s="1" t="s">
        <v>16</v>
      </c>
      <c r="D262" s="1" t="str">
        <f>IF(Data[[#This Row],[Cancellation Status]]="No", "High Potential", "Normal")</f>
        <v>High Potential</v>
      </c>
      <c r="E262" s="2">
        <v>45949</v>
      </c>
      <c r="F262" s="2">
        <v>45952</v>
      </c>
      <c r="G262" s="2">
        <v>45957</v>
      </c>
      <c r="H262" s="2">
        <v>45964</v>
      </c>
      <c r="I262" s="1" t="s">
        <v>17</v>
      </c>
      <c r="K262" s="2">
        <v>45976</v>
      </c>
      <c r="L262" s="88">
        <f>IF(OR(Data[[#This Row],[Service Follow-up Date]]="",Data[[#This Row],[Delivery Date]]=""),"",INT(Data[[#This Row],[Service Follow-up Date]]-Data[[#This Row],[Delivery Date]]))</f>
        <v>12</v>
      </c>
      <c r="M262" s="1">
        <v>3</v>
      </c>
      <c r="N262" s="1">
        <v>5</v>
      </c>
      <c r="O262" s="1">
        <v>7</v>
      </c>
      <c r="P262" s="1">
        <v>2</v>
      </c>
      <c r="Q262" t="str">
        <f>IF(ISBLANK(Data[[#This Row],[Customer Rating]]),"No Rating",IF(Data[[#This Row],[Customer Rating]]&gt;=9,"Promoter",IF(Data[[#This Row],[Customer Rating]]&gt;=7,"Passive","Detractor")))</f>
        <v>Detractor</v>
      </c>
    </row>
    <row r="263" spans="1:17" ht="14.25" customHeight="1" x14ac:dyDescent="0.3">
      <c r="A263" s="1" t="s">
        <v>289</v>
      </c>
      <c r="B263" s="1" t="s">
        <v>21</v>
      </c>
      <c r="C263" s="1" t="s">
        <v>16</v>
      </c>
      <c r="D263" s="1" t="str">
        <f>IF(Data[[#This Row],[Cancellation Status]]="No", "High Potential", "Normal")</f>
        <v>High Potential</v>
      </c>
      <c r="E263" s="2">
        <v>45952</v>
      </c>
      <c r="F263" s="2">
        <v>45954</v>
      </c>
      <c r="G263" s="2">
        <v>45957</v>
      </c>
      <c r="H263" s="2">
        <v>45961</v>
      </c>
      <c r="I263" s="1" t="s">
        <v>17</v>
      </c>
      <c r="K263" s="2">
        <v>45991</v>
      </c>
      <c r="L263" s="88">
        <f>IF(OR(Data[[#This Row],[Service Follow-up Date]]="",Data[[#This Row],[Delivery Date]]=""),"",INT(Data[[#This Row],[Service Follow-up Date]]-Data[[#This Row],[Delivery Date]]))</f>
        <v>30</v>
      </c>
      <c r="M263" s="1">
        <v>2</v>
      </c>
      <c r="N263" s="1">
        <v>3</v>
      </c>
      <c r="O263" s="1">
        <v>4</v>
      </c>
      <c r="P263" s="1">
        <v>9</v>
      </c>
      <c r="Q263" t="str">
        <f>IF(ISBLANK(Data[[#This Row],[Customer Rating]]),"No Rating",IF(Data[[#This Row],[Customer Rating]]&gt;=9,"Promoter",IF(Data[[#This Row],[Customer Rating]]&gt;=7,"Passive","Detractor")))</f>
        <v>Promoter</v>
      </c>
    </row>
    <row r="264" spans="1:17" ht="14.25" customHeight="1" x14ac:dyDescent="0.3">
      <c r="A264" s="1" t="s">
        <v>290</v>
      </c>
      <c r="B264" s="1" t="s">
        <v>21</v>
      </c>
      <c r="C264" s="1" t="s">
        <v>22</v>
      </c>
      <c r="D264" s="1" t="str">
        <f>IF(Data[[#This Row],[Cancellation Status]]="No", "High Potential", "Normal")</f>
        <v>Normal</v>
      </c>
      <c r="E264" s="2">
        <v>45956</v>
      </c>
      <c r="I264" s="1" t="s">
        <v>23</v>
      </c>
      <c r="J264" s="1" t="s">
        <v>24</v>
      </c>
      <c r="L264" s="88" t="str">
        <f>IF(OR(Data[[#This Row],[Service Follow-up Date]]="",Data[[#This Row],[Delivery Date]]=""),"",INT(Data[[#This Row],[Service Follow-up Date]]-Data[[#This Row],[Delivery Date]]))</f>
        <v/>
      </c>
      <c r="Q264" t="str">
        <f>IF(ISBLANK(Data[[#This Row],[Customer Rating]]),"No Rating",IF(Data[[#This Row],[Customer Rating]]&gt;=9,"Promoter",IF(Data[[#This Row],[Customer Rating]]&gt;=7,"Passive","Detractor")))</f>
        <v>No Rating</v>
      </c>
    </row>
    <row r="265" spans="1:17" ht="14.25" customHeight="1" x14ac:dyDescent="0.3">
      <c r="A265" s="1" t="s">
        <v>291</v>
      </c>
      <c r="B265" s="1" t="s">
        <v>21</v>
      </c>
      <c r="C265" s="1" t="s">
        <v>16</v>
      </c>
      <c r="D265" s="1" t="str">
        <f>IF(Data[[#This Row],[Cancellation Status]]="No", "High Potential", "Normal")</f>
        <v>High Potential</v>
      </c>
      <c r="E265" s="2">
        <v>45960</v>
      </c>
      <c r="F265" s="2">
        <v>45964</v>
      </c>
      <c r="G265" s="2">
        <v>45965</v>
      </c>
      <c r="H265" s="2">
        <v>45972</v>
      </c>
      <c r="I265" s="1" t="s">
        <v>17</v>
      </c>
      <c r="K265" s="2">
        <v>45999</v>
      </c>
      <c r="L265" s="88">
        <f>IF(OR(Data[[#This Row],[Service Follow-up Date]]="",Data[[#This Row],[Delivery Date]]=""),"",INT(Data[[#This Row],[Service Follow-up Date]]-Data[[#This Row],[Delivery Date]]))</f>
        <v>27</v>
      </c>
      <c r="M265" s="1">
        <v>4</v>
      </c>
      <c r="N265" s="1">
        <v>1</v>
      </c>
      <c r="O265" s="1">
        <v>7</v>
      </c>
      <c r="P265" s="1">
        <v>5</v>
      </c>
      <c r="Q265" t="str">
        <f>IF(ISBLANK(Data[[#This Row],[Customer Rating]]),"No Rating",IF(Data[[#This Row],[Customer Rating]]&gt;=9,"Promoter",IF(Data[[#This Row],[Customer Rating]]&gt;=7,"Passive","Detractor")))</f>
        <v>Detractor</v>
      </c>
    </row>
    <row r="266" spans="1:17" ht="14.25" customHeight="1" x14ac:dyDescent="0.3">
      <c r="A266" s="1" t="s">
        <v>292</v>
      </c>
      <c r="B266" s="1" t="s">
        <v>32</v>
      </c>
      <c r="C266" s="1" t="s">
        <v>16</v>
      </c>
      <c r="D266" s="1" t="str">
        <f>IF(Data[[#This Row],[Cancellation Status]]="No", "High Potential", "Normal")</f>
        <v>High Potential</v>
      </c>
      <c r="E266" s="2">
        <v>45937</v>
      </c>
      <c r="F266" s="2">
        <v>45938</v>
      </c>
      <c r="G266" s="2">
        <v>45941</v>
      </c>
      <c r="H266" s="2">
        <v>45946</v>
      </c>
      <c r="I266" s="1" t="s">
        <v>17</v>
      </c>
      <c r="K266" s="2">
        <v>45968</v>
      </c>
      <c r="L266" s="88">
        <f>IF(OR(Data[[#This Row],[Service Follow-up Date]]="",Data[[#This Row],[Delivery Date]]=""),"",INT(Data[[#This Row],[Service Follow-up Date]]-Data[[#This Row],[Delivery Date]]))</f>
        <v>22</v>
      </c>
      <c r="M266" s="1">
        <v>1</v>
      </c>
      <c r="N266" s="1">
        <v>3</v>
      </c>
      <c r="O266" s="1">
        <v>5</v>
      </c>
      <c r="P266" s="1">
        <v>7</v>
      </c>
      <c r="Q266" t="str">
        <f>IF(ISBLANK(Data[[#This Row],[Customer Rating]]),"No Rating",IF(Data[[#This Row],[Customer Rating]]&gt;=9,"Promoter",IF(Data[[#This Row],[Customer Rating]]&gt;=7,"Passive","Detractor")))</f>
        <v>Passive</v>
      </c>
    </row>
    <row r="267" spans="1:17" ht="14.25" customHeight="1" x14ac:dyDescent="0.3">
      <c r="A267" s="1" t="s">
        <v>293</v>
      </c>
      <c r="B267" s="1" t="s">
        <v>15</v>
      </c>
      <c r="C267" s="1" t="s">
        <v>16</v>
      </c>
      <c r="D267" s="1" t="str">
        <f>IF(Data[[#This Row],[Cancellation Status]]="No", "High Potential", "Normal")</f>
        <v>High Potential</v>
      </c>
      <c r="E267" s="2">
        <v>45944</v>
      </c>
      <c r="F267" s="2">
        <v>45948</v>
      </c>
      <c r="G267" s="2">
        <v>45951</v>
      </c>
      <c r="H267" s="2">
        <v>45956</v>
      </c>
      <c r="I267" s="1" t="s">
        <v>17</v>
      </c>
      <c r="K267" s="2">
        <v>45971</v>
      </c>
      <c r="L267" s="88">
        <f>IF(OR(Data[[#This Row],[Service Follow-up Date]]="",Data[[#This Row],[Delivery Date]]=""),"",INT(Data[[#This Row],[Service Follow-up Date]]-Data[[#This Row],[Delivery Date]]))</f>
        <v>15</v>
      </c>
      <c r="M267" s="1">
        <v>4</v>
      </c>
      <c r="N267" s="1">
        <v>3</v>
      </c>
      <c r="O267" s="1">
        <v>5</v>
      </c>
      <c r="P267" s="1">
        <v>5</v>
      </c>
      <c r="Q267" t="str">
        <f>IF(ISBLANK(Data[[#This Row],[Customer Rating]]),"No Rating",IF(Data[[#This Row],[Customer Rating]]&gt;=9,"Promoter",IF(Data[[#This Row],[Customer Rating]]&gt;=7,"Passive","Detractor")))</f>
        <v>Detractor</v>
      </c>
    </row>
    <row r="268" spans="1:17" ht="14.25" customHeight="1" x14ac:dyDescent="0.3">
      <c r="A268" s="1" t="s">
        <v>294</v>
      </c>
      <c r="B268" s="1" t="s">
        <v>21</v>
      </c>
      <c r="C268" s="1" t="s">
        <v>22</v>
      </c>
      <c r="D268" s="1" t="str">
        <f>IF(Data[[#This Row],[Cancellation Status]]="No", "High Potential", "Normal")</f>
        <v>Normal</v>
      </c>
      <c r="E268" s="2">
        <v>45934</v>
      </c>
      <c r="I268" s="1" t="s">
        <v>23</v>
      </c>
      <c r="J268" s="1" t="s">
        <v>33</v>
      </c>
      <c r="L268" s="88" t="str">
        <f>IF(OR(Data[[#This Row],[Service Follow-up Date]]="",Data[[#This Row],[Delivery Date]]=""),"",INT(Data[[#This Row],[Service Follow-up Date]]-Data[[#This Row],[Delivery Date]]))</f>
        <v/>
      </c>
      <c r="Q268" t="str">
        <f>IF(ISBLANK(Data[[#This Row],[Customer Rating]]),"No Rating",IF(Data[[#This Row],[Customer Rating]]&gt;=9,"Promoter",IF(Data[[#This Row],[Customer Rating]]&gt;=7,"Passive","Detractor")))</f>
        <v>No Rating</v>
      </c>
    </row>
    <row r="269" spans="1:17" ht="14.25" customHeight="1" x14ac:dyDescent="0.3">
      <c r="A269" s="1" t="s">
        <v>295</v>
      </c>
      <c r="B269" s="1" t="s">
        <v>15</v>
      </c>
      <c r="C269" s="1" t="s">
        <v>22</v>
      </c>
      <c r="D269" s="1" t="str">
        <f>IF(Data[[#This Row],[Cancellation Status]]="No", "High Potential", "Normal")</f>
        <v>Normal</v>
      </c>
      <c r="E269" s="2">
        <v>45948</v>
      </c>
      <c r="I269" s="1" t="s">
        <v>23</v>
      </c>
      <c r="J269" s="1" t="s">
        <v>26</v>
      </c>
      <c r="L269" s="88" t="str">
        <f>IF(OR(Data[[#This Row],[Service Follow-up Date]]="",Data[[#This Row],[Delivery Date]]=""),"",INT(Data[[#This Row],[Service Follow-up Date]]-Data[[#This Row],[Delivery Date]]))</f>
        <v/>
      </c>
      <c r="Q269" t="str">
        <f>IF(ISBLANK(Data[[#This Row],[Customer Rating]]),"No Rating",IF(Data[[#This Row],[Customer Rating]]&gt;=9,"Promoter",IF(Data[[#This Row],[Customer Rating]]&gt;=7,"Passive","Detractor")))</f>
        <v>No Rating</v>
      </c>
    </row>
    <row r="270" spans="1:17" ht="14.25" customHeight="1" x14ac:dyDescent="0.3">
      <c r="A270" s="1" t="s">
        <v>296</v>
      </c>
      <c r="B270" s="1" t="s">
        <v>32</v>
      </c>
      <c r="C270" s="1" t="s">
        <v>16</v>
      </c>
      <c r="D270" s="1" t="str">
        <f>IF(Data[[#This Row],[Cancellation Status]]="No", "High Potential", "Normal")</f>
        <v>High Potential</v>
      </c>
      <c r="E270" s="2">
        <v>45938</v>
      </c>
      <c r="F270" s="2">
        <v>45942</v>
      </c>
      <c r="G270" s="2">
        <v>45947</v>
      </c>
      <c r="H270" s="2">
        <v>45952</v>
      </c>
      <c r="I270" s="1" t="s">
        <v>17</v>
      </c>
      <c r="K270" s="2">
        <v>45973</v>
      </c>
      <c r="L270" s="88">
        <f>IF(OR(Data[[#This Row],[Service Follow-up Date]]="",Data[[#This Row],[Delivery Date]]=""),"",INT(Data[[#This Row],[Service Follow-up Date]]-Data[[#This Row],[Delivery Date]]))</f>
        <v>21</v>
      </c>
      <c r="M270" s="1">
        <v>4</v>
      </c>
      <c r="N270" s="1">
        <v>5</v>
      </c>
      <c r="O270" s="1">
        <v>5</v>
      </c>
      <c r="P270" s="1">
        <v>6</v>
      </c>
      <c r="Q270" t="str">
        <f>IF(ISBLANK(Data[[#This Row],[Customer Rating]]),"No Rating",IF(Data[[#This Row],[Customer Rating]]&gt;=9,"Promoter",IF(Data[[#This Row],[Customer Rating]]&gt;=7,"Passive","Detractor")))</f>
        <v>Detractor</v>
      </c>
    </row>
    <row r="271" spans="1:17" ht="14.25" customHeight="1" x14ac:dyDescent="0.3">
      <c r="A271" s="1" t="s">
        <v>297</v>
      </c>
      <c r="B271" s="1" t="s">
        <v>19</v>
      </c>
      <c r="C271" s="1" t="s">
        <v>16</v>
      </c>
      <c r="D271" s="1" t="str">
        <f>IF(Data[[#This Row],[Cancellation Status]]="No", "High Potential", "Normal")</f>
        <v>High Potential</v>
      </c>
      <c r="E271" s="2">
        <v>45951</v>
      </c>
      <c r="F271" s="2">
        <v>45954</v>
      </c>
      <c r="G271" s="2">
        <v>45956</v>
      </c>
      <c r="H271" s="2">
        <v>45958</v>
      </c>
      <c r="I271" s="1" t="s">
        <v>17</v>
      </c>
      <c r="K271" s="2">
        <v>45980</v>
      </c>
      <c r="L271" s="88">
        <f>IF(OR(Data[[#This Row],[Service Follow-up Date]]="",Data[[#This Row],[Delivery Date]]=""),"",INT(Data[[#This Row],[Service Follow-up Date]]-Data[[#This Row],[Delivery Date]]))</f>
        <v>22</v>
      </c>
      <c r="M271" s="1">
        <v>3</v>
      </c>
      <c r="N271" s="1">
        <v>2</v>
      </c>
      <c r="O271" s="1">
        <v>2</v>
      </c>
      <c r="P271" s="1">
        <v>1</v>
      </c>
      <c r="Q271" t="str">
        <f>IF(ISBLANK(Data[[#This Row],[Customer Rating]]),"No Rating",IF(Data[[#This Row],[Customer Rating]]&gt;=9,"Promoter",IF(Data[[#This Row],[Customer Rating]]&gt;=7,"Passive","Detractor")))</f>
        <v>Detractor</v>
      </c>
    </row>
    <row r="272" spans="1:17" ht="14.25" customHeight="1" x14ac:dyDescent="0.3">
      <c r="A272" s="1" t="s">
        <v>298</v>
      </c>
      <c r="B272" s="1" t="s">
        <v>21</v>
      </c>
      <c r="C272" s="1" t="s">
        <v>30</v>
      </c>
      <c r="D272" s="1" t="str">
        <f>IF(Data[[#This Row],[Cancellation Status]]="No", "High Potential", "Normal")</f>
        <v>High Potential</v>
      </c>
      <c r="E272" s="2">
        <v>45935</v>
      </c>
      <c r="F272" s="2">
        <v>45938</v>
      </c>
      <c r="G272" s="2">
        <v>45940</v>
      </c>
      <c r="H272" s="2">
        <v>45947</v>
      </c>
      <c r="I272" s="1" t="s">
        <v>17</v>
      </c>
      <c r="K272" s="2">
        <v>45968</v>
      </c>
      <c r="L272" s="88">
        <f>IF(OR(Data[[#This Row],[Service Follow-up Date]]="",Data[[#This Row],[Delivery Date]]=""),"",INT(Data[[#This Row],[Service Follow-up Date]]-Data[[#This Row],[Delivery Date]]))</f>
        <v>21</v>
      </c>
      <c r="M272" s="1">
        <v>3</v>
      </c>
      <c r="N272" s="1">
        <v>2</v>
      </c>
      <c r="O272" s="1">
        <v>7</v>
      </c>
      <c r="P272" s="1">
        <v>5</v>
      </c>
      <c r="Q272" t="str">
        <f>IF(ISBLANK(Data[[#This Row],[Customer Rating]]),"No Rating",IF(Data[[#This Row],[Customer Rating]]&gt;=9,"Promoter",IF(Data[[#This Row],[Customer Rating]]&gt;=7,"Passive","Detractor")))</f>
        <v>Detractor</v>
      </c>
    </row>
    <row r="273" spans="1:17" ht="14.25" customHeight="1" x14ac:dyDescent="0.3">
      <c r="A273" s="1" t="s">
        <v>299</v>
      </c>
      <c r="B273" s="1" t="s">
        <v>15</v>
      </c>
      <c r="C273" s="1" t="s">
        <v>30</v>
      </c>
      <c r="D273" s="1" t="str">
        <f>IF(Data[[#This Row],[Cancellation Status]]="No", "High Potential", "Normal")</f>
        <v>High Potential</v>
      </c>
      <c r="E273" s="2">
        <v>45960</v>
      </c>
      <c r="F273" s="2">
        <v>45965</v>
      </c>
      <c r="G273" s="2">
        <v>45967</v>
      </c>
      <c r="H273" s="2">
        <v>45969</v>
      </c>
      <c r="I273" s="1" t="s">
        <v>17</v>
      </c>
      <c r="K273" s="2">
        <v>45984</v>
      </c>
      <c r="L273" s="88">
        <f>IF(OR(Data[[#This Row],[Service Follow-up Date]]="",Data[[#This Row],[Delivery Date]]=""),"",INT(Data[[#This Row],[Service Follow-up Date]]-Data[[#This Row],[Delivery Date]]))</f>
        <v>15</v>
      </c>
      <c r="M273" s="1">
        <v>5</v>
      </c>
      <c r="N273" s="1">
        <v>2</v>
      </c>
      <c r="O273" s="1">
        <v>2</v>
      </c>
      <c r="P273" s="1">
        <v>6</v>
      </c>
      <c r="Q273" t="str">
        <f>IF(ISBLANK(Data[[#This Row],[Customer Rating]]),"No Rating",IF(Data[[#This Row],[Customer Rating]]&gt;=9,"Promoter",IF(Data[[#This Row],[Customer Rating]]&gt;=7,"Passive","Detractor")))</f>
        <v>Detractor</v>
      </c>
    </row>
    <row r="274" spans="1:17" ht="14.25" customHeight="1" x14ac:dyDescent="0.3">
      <c r="A274" s="1" t="s">
        <v>300</v>
      </c>
      <c r="B274" s="1" t="s">
        <v>15</v>
      </c>
      <c r="C274" s="1" t="s">
        <v>16</v>
      </c>
      <c r="D274" s="1" t="str">
        <f>IF(Data[[#This Row],[Cancellation Status]]="No", "High Potential", "Normal")</f>
        <v>High Potential</v>
      </c>
      <c r="E274" s="2">
        <v>45939</v>
      </c>
      <c r="F274" s="2">
        <v>45940</v>
      </c>
      <c r="G274" s="2">
        <v>45944</v>
      </c>
      <c r="H274" s="2">
        <v>45949</v>
      </c>
      <c r="I274" s="1" t="s">
        <v>17</v>
      </c>
      <c r="K274" s="2">
        <v>45973</v>
      </c>
      <c r="L274" s="88">
        <f>IF(OR(Data[[#This Row],[Service Follow-up Date]]="",Data[[#This Row],[Delivery Date]]=""),"",INT(Data[[#This Row],[Service Follow-up Date]]-Data[[#This Row],[Delivery Date]]))</f>
        <v>24</v>
      </c>
      <c r="M274" s="1">
        <v>1</v>
      </c>
      <c r="N274" s="1">
        <v>4</v>
      </c>
      <c r="O274" s="1">
        <v>5</v>
      </c>
      <c r="P274" s="1">
        <v>9</v>
      </c>
      <c r="Q274" t="str">
        <f>IF(ISBLANK(Data[[#This Row],[Customer Rating]]),"No Rating",IF(Data[[#This Row],[Customer Rating]]&gt;=9,"Promoter",IF(Data[[#This Row],[Customer Rating]]&gt;=7,"Passive","Detractor")))</f>
        <v>Promoter</v>
      </c>
    </row>
    <row r="275" spans="1:17" ht="14.25" customHeight="1" x14ac:dyDescent="0.3">
      <c r="A275" s="1" t="s">
        <v>301</v>
      </c>
      <c r="B275" s="1" t="s">
        <v>21</v>
      </c>
      <c r="C275" s="1" t="s">
        <v>30</v>
      </c>
      <c r="D275" s="1" t="str">
        <f>IF(Data[[#This Row],[Cancellation Status]]="No", "High Potential", "Normal")</f>
        <v>High Potential</v>
      </c>
      <c r="E275" s="2">
        <v>45957</v>
      </c>
      <c r="F275" s="2">
        <v>45960</v>
      </c>
      <c r="G275" s="2">
        <v>45962</v>
      </c>
      <c r="H275" s="2">
        <v>45968</v>
      </c>
      <c r="I275" s="1" t="s">
        <v>17</v>
      </c>
      <c r="K275" s="2">
        <v>45979</v>
      </c>
      <c r="L275" s="88">
        <f>IF(OR(Data[[#This Row],[Service Follow-up Date]]="",Data[[#This Row],[Delivery Date]]=""),"",INT(Data[[#This Row],[Service Follow-up Date]]-Data[[#This Row],[Delivery Date]]))</f>
        <v>11</v>
      </c>
      <c r="M275" s="1">
        <v>3</v>
      </c>
      <c r="N275" s="1">
        <v>2</v>
      </c>
      <c r="O275" s="1">
        <v>6</v>
      </c>
      <c r="P275" s="1">
        <v>2</v>
      </c>
      <c r="Q275" t="str">
        <f>IF(ISBLANK(Data[[#This Row],[Customer Rating]]),"No Rating",IF(Data[[#This Row],[Customer Rating]]&gt;=9,"Promoter",IF(Data[[#This Row],[Customer Rating]]&gt;=7,"Passive","Detractor")))</f>
        <v>Detractor</v>
      </c>
    </row>
    <row r="276" spans="1:17" ht="14.25" customHeight="1" x14ac:dyDescent="0.3">
      <c r="A276" s="1" t="s">
        <v>302</v>
      </c>
      <c r="B276" s="1" t="s">
        <v>19</v>
      </c>
      <c r="C276" s="1" t="s">
        <v>16</v>
      </c>
      <c r="D276" s="1" t="str">
        <f>IF(Data[[#This Row],[Cancellation Status]]="No", "High Potential", "Normal")</f>
        <v>High Potential</v>
      </c>
      <c r="E276" s="2">
        <v>45935</v>
      </c>
      <c r="F276" s="2">
        <v>45940</v>
      </c>
      <c r="G276" s="2">
        <v>45944</v>
      </c>
      <c r="H276" s="2">
        <v>45951</v>
      </c>
      <c r="I276" s="1" t="s">
        <v>17</v>
      </c>
      <c r="K276" s="2">
        <v>45969</v>
      </c>
      <c r="L276" s="88">
        <f>IF(OR(Data[[#This Row],[Service Follow-up Date]]="",Data[[#This Row],[Delivery Date]]=""),"",INT(Data[[#This Row],[Service Follow-up Date]]-Data[[#This Row],[Delivery Date]]))</f>
        <v>18</v>
      </c>
      <c r="M276" s="1">
        <v>5</v>
      </c>
      <c r="N276" s="1">
        <v>4</v>
      </c>
      <c r="O276" s="1">
        <v>7</v>
      </c>
      <c r="P276" s="1">
        <v>3</v>
      </c>
      <c r="Q276" t="str">
        <f>IF(ISBLANK(Data[[#This Row],[Customer Rating]]),"No Rating",IF(Data[[#This Row],[Customer Rating]]&gt;=9,"Promoter",IF(Data[[#This Row],[Customer Rating]]&gt;=7,"Passive","Detractor")))</f>
        <v>Detractor</v>
      </c>
    </row>
    <row r="277" spans="1:17" ht="14.25" customHeight="1" x14ac:dyDescent="0.3">
      <c r="A277" s="1" t="s">
        <v>303</v>
      </c>
      <c r="B277" s="1" t="s">
        <v>19</v>
      </c>
      <c r="C277" s="1" t="s">
        <v>30</v>
      </c>
      <c r="D277" s="1" t="str">
        <f>IF(Data[[#This Row],[Cancellation Status]]="No", "High Potential", "Normal")</f>
        <v>High Potential</v>
      </c>
      <c r="E277" s="2">
        <v>45933</v>
      </c>
      <c r="F277" s="2">
        <v>45934</v>
      </c>
      <c r="G277" s="2">
        <v>45939</v>
      </c>
      <c r="H277" s="2">
        <v>45943</v>
      </c>
      <c r="I277" s="1" t="s">
        <v>17</v>
      </c>
      <c r="K277" s="2">
        <v>45967</v>
      </c>
      <c r="L277" s="88">
        <f>IF(OR(Data[[#This Row],[Service Follow-up Date]]="",Data[[#This Row],[Delivery Date]]=""),"",INT(Data[[#This Row],[Service Follow-up Date]]-Data[[#This Row],[Delivery Date]]))</f>
        <v>24</v>
      </c>
      <c r="M277" s="1">
        <v>1</v>
      </c>
      <c r="N277" s="1">
        <v>5</v>
      </c>
      <c r="O277" s="1">
        <v>4</v>
      </c>
      <c r="P277" s="1">
        <v>10</v>
      </c>
      <c r="Q277" t="str">
        <f>IF(ISBLANK(Data[[#This Row],[Customer Rating]]),"No Rating",IF(Data[[#This Row],[Customer Rating]]&gt;=9,"Promoter",IF(Data[[#This Row],[Customer Rating]]&gt;=7,"Passive","Detractor")))</f>
        <v>Promoter</v>
      </c>
    </row>
    <row r="278" spans="1:17" ht="14.25" customHeight="1" x14ac:dyDescent="0.3">
      <c r="A278" s="1" t="s">
        <v>304</v>
      </c>
      <c r="B278" s="1" t="s">
        <v>19</v>
      </c>
      <c r="C278" s="1" t="s">
        <v>16</v>
      </c>
      <c r="D278" s="1" t="str">
        <f>IF(Data[[#This Row],[Cancellation Status]]="No", "High Potential", "Normal")</f>
        <v>High Potential</v>
      </c>
      <c r="E278" s="2">
        <v>45932</v>
      </c>
      <c r="F278" s="2">
        <v>45935</v>
      </c>
      <c r="G278" s="2">
        <v>45938</v>
      </c>
      <c r="H278" s="2">
        <v>45945</v>
      </c>
      <c r="I278" s="1" t="s">
        <v>17</v>
      </c>
      <c r="K278" s="2">
        <v>45969</v>
      </c>
      <c r="L278" s="88">
        <f>IF(OR(Data[[#This Row],[Service Follow-up Date]]="",Data[[#This Row],[Delivery Date]]=""),"",INT(Data[[#This Row],[Service Follow-up Date]]-Data[[#This Row],[Delivery Date]]))</f>
        <v>24</v>
      </c>
      <c r="M278" s="1">
        <v>3</v>
      </c>
      <c r="N278" s="1">
        <v>3</v>
      </c>
      <c r="O278" s="1">
        <v>7</v>
      </c>
      <c r="P278" s="1">
        <v>8</v>
      </c>
      <c r="Q278" t="str">
        <f>IF(ISBLANK(Data[[#This Row],[Customer Rating]]),"No Rating",IF(Data[[#This Row],[Customer Rating]]&gt;=9,"Promoter",IF(Data[[#This Row],[Customer Rating]]&gt;=7,"Passive","Detractor")))</f>
        <v>Passive</v>
      </c>
    </row>
    <row r="279" spans="1:17" ht="14.25" customHeight="1" x14ac:dyDescent="0.3">
      <c r="A279" s="1" t="s">
        <v>305</v>
      </c>
      <c r="B279" s="1" t="s">
        <v>32</v>
      </c>
      <c r="C279" s="1" t="s">
        <v>16</v>
      </c>
      <c r="D279" s="1" t="str">
        <f>IF(Data[[#This Row],[Cancellation Status]]="No", "High Potential", "Normal")</f>
        <v>High Potential</v>
      </c>
      <c r="E279" s="2">
        <v>45936</v>
      </c>
      <c r="F279" s="2">
        <v>45940</v>
      </c>
      <c r="G279" s="2">
        <v>45944</v>
      </c>
      <c r="H279" s="2">
        <v>45948</v>
      </c>
      <c r="I279" s="1" t="s">
        <v>17</v>
      </c>
      <c r="K279" s="2">
        <v>45966</v>
      </c>
      <c r="L279" s="88">
        <f>IF(OR(Data[[#This Row],[Service Follow-up Date]]="",Data[[#This Row],[Delivery Date]]=""),"",INT(Data[[#This Row],[Service Follow-up Date]]-Data[[#This Row],[Delivery Date]]))</f>
        <v>18</v>
      </c>
      <c r="M279" s="1">
        <v>4</v>
      </c>
      <c r="N279" s="1">
        <v>4</v>
      </c>
      <c r="O279" s="1">
        <v>4</v>
      </c>
      <c r="P279" s="1">
        <v>1</v>
      </c>
      <c r="Q279" t="str">
        <f>IF(ISBLANK(Data[[#This Row],[Customer Rating]]),"No Rating",IF(Data[[#This Row],[Customer Rating]]&gt;=9,"Promoter",IF(Data[[#This Row],[Customer Rating]]&gt;=7,"Passive","Detractor")))</f>
        <v>Detractor</v>
      </c>
    </row>
    <row r="280" spans="1:17" ht="14.25" customHeight="1" x14ac:dyDescent="0.3">
      <c r="A280" s="1" t="s">
        <v>306</v>
      </c>
      <c r="B280" s="1" t="s">
        <v>15</v>
      </c>
      <c r="C280" s="1" t="s">
        <v>22</v>
      </c>
      <c r="D280" s="1" t="str">
        <f>IF(Data[[#This Row],[Cancellation Status]]="No", "High Potential", "Normal")</f>
        <v>Normal</v>
      </c>
      <c r="E280" s="2">
        <v>45956</v>
      </c>
      <c r="I280" s="1" t="s">
        <v>23</v>
      </c>
      <c r="J280" s="1" t="s">
        <v>24</v>
      </c>
      <c r="L280" s="88" t="str">
        <f>IF(OR(Data[[#This Row],[Service Follow-up Date]]="",Data[[#This Row],[Delivery Date]]=""),"",INT(Data[[#This Row],[Service Follow-up Date]]-Data[[#This Row],[Delivery Date]]))</f>
        <v/>
      </c>
      <c r="Q280" t="str">
        <f>IF(ISBLANK(Data[[#This Row],[Customer Rating]]),"No Rating",IF(Data[[#This Row],[Customer Rating]]&gt;=9,"Promoter",IF(Data[[#This Row],[Customer Rating]]&gt;=7,"Passive","Detractor")))</f>
        <v>No Rating</v>
      </c>
    </row>
    <row r="281" spans="1:17" ht="14.25" customHeight="1" x14ac:dyDescent="0.3">
      <c r="A281" s="1" t="s">
        <v>307</v>
      </c>
      <c r="B281" s="1" t="s">
        <v>15</v>
      </c>
      <c r="C281" s="1" t="s">
        <v>30</v>
      </c>
      <c r="D281" s="1" t="str">
        <f>IF(Data[[#This Row],[Cancellation Status]]="No", "High Potential", "Normal")</f>
        <v>Normal</v>
      </c>
      <c r="E281" s="2">
        <v>45940</v>
      </c>
      <c r="F281" s="2">
        <v>45944</v>
      </c>
      <c r="G281" s="2">
        <v>45949</v>
      </c>
      <c r="H281" s="2">
        <v>45954</v>
      </c>
      <c r="I281" s="1" t="s">
        <v>23</v>
      </c>
      <c r="J281" s="1" t="s">
        <v>24</v>
      </c>
      <c r="L281" s="88" t="str">
        <f>IF(OR(Data[[#This Row],[Service Follow-up Date]]="",Data[[#This Row],[Delivery Date]]=""),"",INT(Data[[#This Row],[Service Follow-up Date]]-Data[[#This Row],[Delivery Date]]))</f>
        <v/>
      </c>
      <c r="M281" s="1">
        <v>4</v>
      </c>
      <c r="N281" s="1">
        <v>5</v>
      </c>
      <c r="O281" s="1">
        <v>5</v>
      </c>
      <c r="Q281" t="str">
        <f>IF(ISBLANK(Data[[#This Row],[Customer Rating]]),"No Rating",IF(Data[[#This Row],[Customer Rating]]&gt;=9,"Promoter",IF(Data[[#This Row],[Customer Rating]]&gt;=7,"Passive","Detractor")))</f>
        <v>No Rating</v>
      </c>
    </row>
    <row r="282" spans="1:17" ht="14.25" customHeight="1" x14ac:dyDescent="0.3">
      <c r="A282" s="1" t="s">
        <v>308</v>
      </c>
      <c r="B282" s="1" t="s">
        <v>15</v>
      </c>
      <c r="C282" s="1" t="s">
        <v>16</v>
      </c>
      <c r="D282" s="1" t="str">
        <f>IF(Data[[#This Row],[Cancellation Status]]="No", "High Potential", "Normal")</f>
        <v>High Potential</v>
      </c>
      <c r="E282" s="2">
        <v>45950</v>
      </c>
      <c r="F282" s="2">
        <v>45951</v>
      </c>
      <c r="G282" s="2">
        <v>45955</v>
      </c>
      <c r="H282" s="2">
        <v>45960</v>
      </c>
      <c r="I282" s="1" t="s">
        <v>17</v>
      </c>
      <c r="K282" s="2">
        <v>45977</v>
      </c>
      <c r="L282" s="88">
        <f>IF(OR(Data[[#This Row],[Service Follow-up Date]]="",Data[[#This Row],[Delivery Date]]=""),"",INT(Data[[#This Row],[Service Follow-up Date]]-Data[[#This Row],[Delivery Date]]))</f>
        <v>17</v>
      </c>
      <c r="M282" s="1">
        <v>1</v>
      </c>
      <c r="N282" s="1">
        <v>4</v>
      </c>
      <c r="O282" s="1">
        <v>5</v>
      </c>
      <c r="P282" s="1">
        <v>8</v>
      </c>
      <c r="Q282" t="str">
        <f>IF(ISBLANK(Data[[#This Row],[Customer Rating]]),"No Rating",IF(Data[[#This Row],[Customer Rating]]&gt;=9,"Promoter",IF(Data[[#This Row],[Customer Rating]]&gt;=7,"Passive","Detractor")))</f>
        <v>Passive</v>
      </c>
    </row>
    <row r="283" spans="1:17" ht="14.25" customHeight="1" x14ac:dyDescent="0.3">
      <c r="A283" s="1" t="s">
        <v>309</v>
      </c>
      <c r="B283" s="1" t="s">
        <v>32</v>
      </c>
      <c r="C283" s="1" t="s">
        <v>22</v>
      </c>
      <c r="D283" s="1" t="str">
        <f>IF(Data[[#This Row],[Cancellation Status]]="No", "High Potential", "Normal")</f>
        <v>Normal</v>
      </c>
      <c r="E283" s="2">
        <v>45954</v>
      </c>
      <c r="I283" s="1" t="s">
        <v>23</v>
      </c>
      <c r="J283" s="1" t="s">
        <v>33</v>
      </c>
      <c r="L283" s="88" t="str">
        <f>IF(OR(Data[[#This Row],[Service Follow-up Date]]="",Data[[#This Row],[Delivery Date]]=""),"",INT(Data[[#This Row],[Service Follow-up Date]]-Data[[#This Row],[Delivery Date]]))</f>
        <v/>
      </c>
      <c r="Q283" t="str">
        <f>IF(ISBLANK(Data[[#This Row],[Customer Rating]]),"No Rating",IF(Data[[#This Row],[Customer Rating]]&gt;=9,"Promoter",IF(Data[[#This Row],[Customer Rating]]&gt;=7,"Passive","Detractor")))</f>
        <v>No Rating</v>
      </c>
    </row>
    <row r="284" spans="1:17" ht="14.25" customHeight="1" x14ac:dyDescent="0.3">
      <c r="A284" s="1" t="s">
        <v>310</v>
      </c>
      <c r="B284" s="1" t="s">
        <v>15</v>
      </c>
      <c r="C284" s="1" t="s">
        <v>30</v>
      </c>
      <c r="D284" s="1" t="str">
        <f>IF(Data[[#This Row],[Cancellation Status]]="No", "High Potential", "Normal")</f>
        <v>Normal</v>
      </c>
      <c r="E284" s="2">
        <v>45957</v>
      </c>
      <c r="F284" s="2">
        <v>45958</v>
      </c>
      <c r="G284" s="2">
        <v>45963</v>
      </c>
      <c r="H284" s="2">
        <v>45967</v>
      </c>
      <c r="I284" s="1" t="s">
        <v>23</v>
      </c>
      <c r="J284" s="1" t="s">
        <v>26</v>
      </c>
      <c r="L284" s="88" t="str">
        <f>IF(OR(Data[[#This Row],[Service Follow-up Date]]="",Data[[#This Row],[Delivery Date]]=""),"",INT(Data[[#This Row],[Service Follow-up Date]]-Data[[#This Row],[Delivery Date]]))</f>
        <v/>
      </c>
      <c r="M284" s="1">
        <v>1</v>
      </c>
      <c r="N284" s="1">
        <v>5</v>
      </c>
      <c r="O284" s="1">
        <v>4</v>
      </c>
      <c r="Q284" t="str">
        <f>IF(ISBLANK(Data[[#This Row],[Customer Rating]]),"No Rating",IF(Data[[#This Row],[Customer Rating]]&gt;=9,"Promoter",IF(Data[[#This Row],[Customer Rating]]&gt;=7,"Passive","Detractor")))</f>
        <v>No Rating</v>
      </c>
    </row>
    <row r="285" spans="1:17" ht="14.25" customHeight="1" x14ac:dyDescent="0.3">
      <c r="A285" s="1" t="s">
        <v>311</v>
      </c>
      <c r="B285" s="1" t="s">
        <v>32</v>
      </c>
      <c r="C285" s="1" t="s">
        <v>22</v>
      </c>
      <c r="D285" s="1" t="str">
        <f>IF(Data[[#This Row],[Cancellation Status]]="No", "High Potential", "Normal")</f>
        <v>Normal</v>
      </c>
      <c r="E285" s="2">
        <v>45949</v>
      </c>
      <c r="I285" s="1" t="s">
        <v>23</v>
      </c>
      <c r="J285" s="1" t="s">
        <v>33</v>
      </c>
      <c r="L285" s="88" t="str">
        <f>IF(OR(Data[[#This Row],[Service Follow-up Date]]="",Data[[#This Row],[Delivery Date]]=""),"",INT(Data[[#This Row],[Service Follow-up Date]]-Data[[#This Row],[Delivery Date]]))</f>
        <v/>
      </c>
      <c r="Q285" t="str">
        <f>IF(ISBLANK(Data[[#This Row],[Customer Rating]]),"No Rating",IF(Data[[#This Row],[Customer Rating]]&gt;=9,"Promoter",IF(Data[[#This Row],[Customer Rating]]&gt;=7,"Passive","Detractor")))</f>
        <v>No Rating</v>
      </c>
    </row>
    <row r="286" spans="1:17" ht="14.25" customHeight="1" x14ac:dyDescent="0.3">
      <c r="A286" s="1" t="s">
        <v>312</v>
      </c>
      <c r="B286" s="1" t="s">
        <v>19</v>
      </c>
      <c r="C286" s="1" t="s">
        <v>16</v>
      </c>
      <c r="D286" s="1" t="str">
        <f>IF(Data[[#This Row],[Cancellation Status]]="No", "High Potential", "Normal")</f>
        <v>High Potential</v>
      </c>
      <c r="E286" s="2">
        <v>45960</v>
      </c>
      <c r="F286" s="2">
        <v>45963</v>
      </c>
      <c r="G286" s="2">
        <v>45965</v>
      </c>
      <c r="H286" s="2">
        <v>45971</v>
      </c>
      <c r="I286" s="1" t="s">
        <v>17</v>
      </c>
      <c r="K286" s="2">
        <v>45989</v>
      </c>
      <c r="L286" s="88">
        <f>IF(OR(Data[[#This Row],[Service Follow-up Date]]="",Data[[#This Row],[Delivery Date]]=""),"",INT(Data[[#This Row],[Service Follow-up Date]]-Data[[#This Row],[Delivery Date]]))</f>
        <v>18</v>
      </c>
      <c r="M286" s="1">
        <v>3</v>
      </c>
      <c r="N286" s="1">
        <v>2</v>
      </c>
      <c r="O286" s="1">
        <v>6</v>
      </c>
      <c r="P286" s="1">
        <v>4</v>
      </c>
      <c r="Q286" t="str">
        <f>IF(ISBLANK(Data[[#This Row],[Customer Rating]]),"No Rating",IF(Data[[#This Row],[Customer Rating]]&gt;=9,"Promoter",IF(Data[[#This Row],[Customer Rating]]&gt;=7,"Passive","Detractor")))</f>
        <v>Detractor</v>
      </c>
    </row>
    <row r="287" spans="1:17" ht="14.25" customHeight="1" x14ac:dyDescent="0.3">
      <c r="A287" s="1" t="s">
        <v>313</v>
      </c>
      <c r="B287" s="1" t="s">
        <v>21</v>
      </c>
      <c r="C287" s="1" t="s">
        <v>16</v>
      </c>
      <c r="D287" s="1" t="str">
        <f>IF(Data[[#This Row],[Cancellation Status]]="No", "High Potential", "Normal")</f>
        <v>High Potential</v>
      </c>
      <c r="E287" s="2">
        <v>45940</v>
      </c>
      <c r="F287" s="2">
        <v>45943</v>
      </c>
      <c r="G287" s="2">
        <v>45945</v>
      </c>
      <c r="H287" s="2">
        <v>45947</v>
      </c>
      <c r="I287" s="1" t="s">
        <v>17</v>
      </c>
      <c r="K287" s="2">
        <v>45975</v>
      </c>
      <c r="L287" s="88">
        <f>IF(OR(Data[[#This Row],[Service Follow-up Date]]="",Data[[#This Row],[Delivery Date]]=""),"",INT(Data[[#This Row],[Service Follow-up Date]]-Data[[#This Row],[Delivery Date]]))</f>
        <v>28</v>
      </c>
      <c r="M287" s="1">
        <v>3</v>
      </c>
      <c r="N287" s="1">
        <v>2</v>
      </c>
      <c r="O287" s="1">
        <v>2</v>
      </c>
      <c r="P287" s="1">
        <v>9</v>
      </c>
      <c r="Q287" t="str">
        <f>IF(ISBLANK(Data[[#This Row],[Customer Rating]]),"No Rating",IF(Data[[#This Row],[Customer Rating]]&gt;=9,"Promoter",IF(Data[[#This Row],[Customer Rating]]&gt;=7,"Passive","Detractor")))</f>
        <v>Promoter</v>
      </c>
    </row>
    <row r="288" spans="1:17" ht="14.25" customHeight="1" x14ac:dyDescent="0.3">
      <c r="A288" s="1" t="s">
        <v>314</v>
      </c>
      <c r="B288" s="1" t="s">
        <v>15</v>
      </c>
      <c r="C288" s="1" t="s">
        <v>22</v>
      </c>
      <c r="D288" s="1" t="str">
        <f>IF(Data[[#This Row],[Cancellation Status]]="No", "High Potential", "Normal")</f>
        <v>Normal</v>
      </c>
      <c r="E288" s="2">
        <v>45945</v>
      </c>
      <c r="I288" s="1" t="s">
        <v>23</v>
      </c>
      <c r="J288" s="1" t="s">
        <v>26</v>
      </c>
      <c r="L288" s="88" t="str">
        <f>IF(OR(Data[[#This Row],[Service Follow-up Date]]="",Data[[#This Row],[Delivery Date]]=""),"",INT(Data[[#This Row],[Service Follow-up Date]]-Data[[#This Row],[Delivery Date]]))</f>
        <v/>
      </c>
      <c r="Q288" t="str">
        <f>IF(ISBLANK(Data[[#This Row],[Customer Rating]]),"No Rating",IF(Data[[#This Row],[Customer Rating]]&gt;=9,"Promoter",IF(Data[[#This Row],[Customer Rating]]&gt;=7,"Passive","Detractor")))</f>
        <v>No Rating</v>
      </c>
    </row>
    <row r="289" spans="1:17" ht="14.25" customHeight="1" x14ac:dyDescent="0.3">
      <c r="A289" s="1" t="s">
        <v>315</v>
      </c>
      <c r="B289" s="1" t="s">
        <v>15</v>
      </c>
      <c r="C289" s="1" t="s">
        <v>30</v>
      </c>
      <c r="D289" s="1" t="str">
        <f>IF(Data[[#This Row],[Cancellation Status]]="No", "High Potential", "Normal")</f>
        <v>High Potential</v>
      </c>
      <c r="E289" s="2">
        <v>45934</v>
      </c>
      <c r="F289" s="2">
        <v>45935</v>
      </c>
      <c r="G289" s="2">
        <v>45940</v>
      </c>
      <c r="H289" s="2">
        <v>45947</v>
      </c>
      <c r="I289" s="1" t="s">
        <v>17</v>
      </c>
      <c r="K289" s="2">
        <v>45958</v>
      </c>
      <c r="L289" s="88">
        <f>IF(OR(Data[[#This Row],[Service Follow-up Date]]="",Data[[#This Row],[Delivery Date]]=""),"",INT(Data[[#This Row],[Service Follow-up Date]]-Data[[#This Row],[Delivery Date]]))</f>
        <v>11</v>
      </c>
      <c r="M289" s="1">
        <v>1</v>
      </c>
      <c r="N289" s="1">
        <v>5</v>
      </c>
      <c r="O289" s="1">
        <v>7</v>
      </c>
      <c r="P289" s="1">
        <v>2</v>
      </c>
      <c r="Q289" t="str">
        <f>IF(ISBLANK(Data[[#This Row],[Customer Rating]]),"No Rating",IF(Data[[#This Row],[Customer Rating]]&gt;=9,"Promoter",IF(Data[[#This Row],[Customer Rating]]&gt;=7,"Passive","Detractor")))</f>
        <v>Detractor</v>
      </c>
    </row>
    <row r="290" spans="1:17" ht="14.25" customHeight="1" x14ac:dyDescent="0.3">
      <c r="A290" s="1" t="s">
        <v>316</v>
      </c>
      <c r="B290" s="1" t="s">
        <v>19</v>
      </c>
      <c r="C290" s="1" t="s">
        <v>16</v>
      </c>
      <c r="D290" s="1" t="str">
        <f>IF(Data[[#This Row],[Cancellation Status]]="No", "High Potential", "Normal")</f>
        <v>Normal</v>
      </c>
      <c r="E290" s="2">
        <v>45945</v>
      </c>
      <c r="F290" s="2">
        <v>45946</v>
      </c>
      <c r="G290" s="2">
        <v>45947</v>
      </c>
      <c r="H290" s="2">
        <v>45949</v>
      </c>
      <c r="I290" s="1" t="s">
        <v>23</v>
      </c>
      <c r="J290" s="1" t="s">
        <v>33</v>
      </c>
      <c r="L290" s="88" t="str">
        <f>IF(OR(Data[[#This Row],[Service Follow-up Date]]="",Data[[#This Row],[Delivery Date]]=""),"",INT(Data[[#This Row],[Service Follow-up Date]]-Data[[#This Row],[Delivery Date]]))</f>
        <v/>
      </c>
      <c r="M290" s="1">
        <v>1</v>
      </c>
      <c r="N290" s="1">
        <v>1</v>
      </c>
      <c r="O290" s="1">
        <v>2</v>
      </c>
      <c r="Q290" t="str">
        <f>IF(ISBLANK(Data[[#This Row],[Customer Rating]]),"No Rating",IF(Data[[#This Row],[Customer Rating]]&gt;=9,"Promoter",IF(Data[[#This Row],[Customer Rating]]&gt;=7,"Passive","Detractor")))</f>
        <v>No Rating</v>
      </c>
    </row>
    <row r="291" spans="1:17" ht="14.25" customHeight="1" x14ac:dyDescent="0.3">
      <c r="A291" s="1" t="s">
        <v>317</v>
      </c>
      <c r="B291" s="1" t="s">
        <v>21</v>
      </c>
      <c r="C291" s="1" t="s">
        <v>22</v>
      </c>
      <c r="D291" s="1" t="str">
        <f>IF(Data[[#This Row],[Cancellation Status]]="No", "High Potential", "Normal")</f>
        <v>Normal</v>
      </c>
      <c r="E291" s="2">
        <v>45953</v>
      </c>
      <c r="I291" s="1" t="s">
        <v>23</v>
      </c>
      <c r="J291" s="1" t="s">
        <v>24</v>
      </c>
      <c r="L291" s="88" t="str">
        <f>IF(OR(Data[[#This Row],[Service Follow-up Date]]="",Data[[#This Row],[Delivery Date]]=""),"",INT(Data[[#This Row],[Service Follow-up Date]]-Data[[#This Row],[Delivery Date]]))</f>
        <v/>
      </c>
      <c r="Q291" t="str">
        <f>IF(ISBLANK(Data[[#This Row],[Customer Rating]]),"No Rating",IF(Data[[#This Row],[Customer Rating]]&gt;=9,"Promoter",IF(Data[[#This Row],[Customer Rating]]&gt;=7,"Passive","Detractor")))</f>
        <v>No Rating</v>
      </c>
    </row>
    <row r="292" spans="1:17" ht="14.25" customHeight="1" x14ac:dyDescent="0.3">
      <c r="A292" s="1" t="s">
        <v>318</v>
      </c>
      <c r="B292" s="1" t="s">
        <v>32</v>
      </c>
      <c r="C292" s="1" t="s">
        <v>30</v>
      </c>
      <c r="D292" s="1" t="str">
        <f>IF(Data[[#This Row],[Cancellation Status]]="No", "High Potential", "Normal")</f>
        <v>High Potential</v>
      </c>
      <c r="E292" s="2">
        <v>45940</v>
      </c>
      <c r="F292" s="2">
        <v>45945</v>
      </c>
      <c r="G292" s="2">
        <v>45950</v>
      </c>
      <c r="H292" s="2">
        <v>45957</v>
      </c>
      <c r="I292" s="1" t="s">
        <v>17</v>
      </c>
      <c r="K292" s="2">
        <v>45971</v>
      </c>
      <c r="L292" s="88">
        <f>IF(OR(Data[[#This Row],[Service Follow-up Date]]="",Data[[#This Row],[Delivery Date]]=""),"",INT(Data[[#This Row],[Service Follow-up Date]]-Data[[#This Row],[Delivery Date]]))</f>
        <v>14</v>
      </c>
      <c r="M292" s="1">
        <v>5</v>
      </c>
      <c r="N292" s="1">
        <v>5</v>
      </c>
      <c r="O292" s="1">
        <v>7</v>
      </c>
      <c r="P292" s="1">
        <v>4</v>
      </c>
      <c r="Q292" t="str">
        <f>IF(ISBLANK(Data[[#This Row],[Customer Rating]]),"No Rating",IF(Data[[#This Row],[Customer Rating]]&gt;=9,"Promoter",IF(Data[[#This Row],[Customer Rating]]&gt;=7,"Passive","Detractor")))</f>
        <v>Detractor</v>
      </c>
    </row>
    <row r="293" spans="1:17" ht="14.25" customHeight="1" x14ac:dyDescent="0.3">
      <c r="A293" s="1" t="s">
        <v>319</v>
      </c>
      <c r="B293" s="1" t="s">
        <v>21</v>
      </c>
      <c r="C293" s="1" t="s">
        <v>16</v>
      </c>
      <c r="D293" s="1" t="str">
        <f>IF(Data[[#This Row],[Cancellation Status]]="No", "High Potential", "Normal")</f>
        <v>High Potential</v>
      </c>
      <c r="E293" s="2">
        <v>45953</v>
      </c>
      <c r="F293" s="2">
        <v>45958</v>
      </c>
      <c r="G293" s="2">
        <v>45962</v>
      </c>
      <c r="H293" s="2">
        <v>45967</v>
      </c>
      <c r="I293" s="1" t="s">
        <v>17</v>
      </c>
      <c r="K293" s="2">
        <v>45980</v>
      </c>
      <c r="L293" s="88">
        <f>IF(OR(Data[[#This Row],[Service Follow-up Date]]="",Data[[#This Row],[Delivery Date]]=""),"",INT(Data[[#This Row],[Service Follow-up Date]]-Data[[#This Row],[Delivery Date]]))</f>
        <v>13</v>
      </c>
      <c r="M293" s="1">
        <v>5</v>
      </c>
      <c r="N293" s="1">
        <v>4</v>
      </c>
      <c r="O293" s="1">
        <v>5</v>
      </c>
      <c r="P293" s="1">
        <v>1</v>
      </c>
      <c r="Q293" t="str">
        <f>IF(ISBLANK(Data[[#This Row],[Customer Rating]]),"No Rating",IF(Data[[#This Row],[Customer Rating]]&gt;=9,"Promoter",IF(Data[[#This Row],[Customer Rating]]&gt;=7,"Passive","Detractor")))</f>
        <v>Detractor</v>
      </c>
    </row>
    <row r="294" spans="1:17" ht="14.25" customHeight="1" x14ac:dyDescent="0.3">
      <c r="A294" s="1" t="s">
        <v>320</v>
      </c>
      <c r="B294" s="1" t="s">
        <v>19</v>
      </c>
      <c r="C294" s="1" t="s">
        <v>22</v>
      </c>
      <c r="D294" s="1" t="str">
        <f>IF(Data[[#This Row],[Cancellation Status]]="No", "High Potential", "Normal")</f>
        <v>Normal</v>
      </c>
      <c r="E294" s="2">
        <v>45943</v>
      </c>
      <c r="I294" s="1" t="s">
        <v>23</v>
      </c>
      <c r="J294" s="1" t="s">
        <v>24</v>
      </c>
      <c r="L294" s="88" t="str">
        <f>IF(OR(Data[[#This Row],[Service Follow-up Date]]="",Data[[#This Row],[Delivery Date]]=""),"",INT(Data[[#This Row],[Service Follow-up Date]]-Data[[#This Row],[Delivery Date]]))</f>
        <v/>
      </c>
      <c r="Q294" t="str">
        <f>IF(ISBLANK(Data[[#This Row],[Customer Rating]]),"No Rating",IF(Data[[#This Row],[Customer Rating]]&gt;=9,"Promoter",IF(Data[[#This Row],[Customer Rating]]&gt;=7,"Passive","Detractor")))</f>
        <v>No Rating</v>
      </c>
    </row>
    <row r="295" spans="1:17" ht="14.25" customHeight="1" x14ac:dyDescent="0.3">
      <c r="A295" s="1" t="s">
        <v>321</v>
      </c>
      <c r="B295" s="1" t="s">
        <v>19</v>
      </c>
      <c r="C295" s="1" t="s">
        <v>30</v>
      </c>
      <c r="D295" s="1" t="str">
        <f>IF(Data[[#This Row],[Cancellation Status]]="No", "High Potential", "Normal")</f>
        <v>High Potential</v>
      </c>
      <c r="E295" s="2">
        <v>45961</v>
      </c>
      <c r="F295" s="2">
        <v>45966</v>
      </c>
      <c r="G295" s="2">
        <v>45971</v>
      </c>
      <c r="H295" s="2">
        <v>45978</v>
      </c>
      <c r="I295" s="1" t="s">
        <v>17</v>
      </c>
      <c r="K295" s="2">
        <v>45990</v>
      </c>
      <c r="L295" s="88">
        <f>IF(OR(Data[[#This Row],[Service Follow-up Date]]="",Data[[#This Row],[Delivery Date]]=""),"",INT(Data[[#This Row],[Service Follow-up Date]]-Data[[#This Row],[Delivery Date]]))</f>
        <v>12</v>
      </c>
      <c r="M295" s="1">
        <v>5</v>
      </c>
      <c r="N295" s="1">
        <v>5</v>
      </c>
      <c r="O295" s="1">
        <v>7</v>
      </c>
      <c r="P295" s="1">
        <v>6</v>
      </c>
      <c r="Q295" t="str">
        <f>IF(ISBLANK(Data[[#This Row],[Customer Rating]]),"No Rating",IF(Data[[#This Row],[Customer Rating]]&gt;=9,"Promoter",IF(Data[[#This Row],[Customer Rating]]&gt;=7,"Passive","Detractor")))</f>
        <v>Detractor</v>
      </c>
    </row>
    <row r="296" spans="1:17" ht="14.25" customHeight="1" x14ac:dyDescent="0.3">
      <c r="A296" s="1" t="s">
        <v>322</v>
      </c>
      <c r="B296" s="1" t="s">
        <v>21</v>
      </c>
      <c r="C296" s="1" t="s">
        <v>22</v>
      </c>
      <c r="D296" s="1" t="str">
        <f>IF(Data[[#This Row],[Cancellation Status]]="No", "High Potential", "Normal")</f>
        <v>Normal</v>
      </c>
      <c r="E296" s="2">
        <v>45939</v>
      </c>
      <c r="I296" s="1" t="s">
        <v>23</v>
      </c>
      <c r="J296" s="1" t="s">
        <v>101</v>
      </c>
      <c r="L296" s="88" t="str">
        <f>IF(OR(Data[[#This Row],[Service Follow-up Date]]="",Data[[#This Row],[Delivery Date]]=""),"",INT(Data[[#This Row],[Service Follow-up Date]]-Data[[#This Row],[Delivery Date]]))</f>
        <v/>
      </c>
      <c r="Q296" t="str">
        <f>IF(ISBLANK(Data[[#This Row],[Customer Rating]]),"No Rating",IF(Data[[#This Row],[Customer Rating]]&gt;=9,"Promoter",IF(Data[[#This Row],[Customer Rating]]&gt;=7,"Passive","Detractor")))</f>
        <v>No Rating</v>
      </c>
    </row>
    <row r="297" spans="1:17" ht="14.25" customHeight="1" x14ac:dyDescent="0.3">
      <c r="A297" s="1" t="s">
        <v>323</v>
      </c>
      <c r="B297" s="1" t="s">
        <v>32</v>
      </c>
      <c r="C297" s="1" t="s">
        <v>16</v>
      </c>
      <c r="D297" s="1" t="str">
        <f>IF(Data[[#This Row],[Cancellation Status]]="No", "High Potential", "Normal")</f>
        <v>Normal</v>
      </c>
      <c r="E297" s="2">
        <v>45947</v>
      </c>
      <c r="F297" s="2">
        <v>45951</v>
      </c>
      <c r="G297" s="2">
        <v>45954</v>
      </c>
      <c r="H297" s="2">
        <v>45961</v>
      </c>
      <c r="I297" s="1" t="s">
        <v>23</v>
      </c>
      <c r="J297" s="1" t="s">
        <v>63</v>
      </c>
      <c r="L297" s="88" t="str">
        <f>IF(OR(Data[[#This Row],[Service Follow-up Date]]="",Data[[#This Row],[Delivery Date]]=""),"",INT(Data[[#This Row],[Service Follow-up Date]]-Data[[#This Row],[Delivery Date]]))</f>
        <v/>
      </c>
      <c r="M297" s="1">
        <v>4</v>
      </c>
      <c r="N297" s="1">
        <v>3</v>
      </c>
      <c r="O297" s="1">
        <v>7</v>
      </c>
      <c r="Q297" t="str">
        <f>IF(ISBLANK(Data[[#This Row],[Customer Rating]]),"No Rating",IF(Data[[#This Row],[Customer Rating]]&gt;=9,"Promoter",IF(Data[[#This Row],[Customer Rating]]&gt;=7,"Passive","Detractor")))</f>
        <v>No Rating</v>
      </c>
    </row>
    <row r="298" spans="1:17" ht="14.25" customHeight="1" x14ac:dyDescent="0.3">
      <c r="A298" s="1" t="s">
        <v>324</v>
      </c>
      <c r="B298" s="1" t="s">
        <v>32</v>
      </c>
      <c r="C298" s="1" t="s">
        <v>16</v>
      </c>
      <c r="D298" s="1" t="str">
        <f>IF(Data[[#This Row],[Cancellation Status]]="No", "High Potential", "Normal")</f>
        <v>High Potential</v>
      </c>
      <c r="E298" s="2">
        <v>45948</v>
      </c>
      <c r="F298" s="2">
        <v>45952</v>
      </c>
      <c r="G298" s="2">
        <v>45953</v>
      </c>
      <c r="H298" s="2">
        <v>45960</v>
      </c>
      <c r="I298" s="1" t="s">
        <v>17</v>
      </c>
      <c r="K298" s="2">
        <v>45981</v>
      </c>
      <c r="L298" s="88">
        <f>IF(OR(Data[[#This Row],[Service Follow-up Date]]="",Data[[#This Row],[Delivery Date]]=""),"",INT(Data[[#This Row],[Service Follow-up Date]]-Data[[#This Row],[Delivery Date]]))</f>
        <v>21</v>
      </c>
      <c r="M298" s="1">
        <v>4</v>
      </c>
      <c r="N298" s="1">
        <v>1</v>
      </c>
      <c r="O298" s="1">
        <v>7</v>
      </c>
      <c r="P298" s="1">
        <v>6</v>
      </c>
      <c r="Q298" t="str">
        <f>IF(ISBLANK(Data[[#This Row],[Customer Rating]]),"No Rating",IF(Data[[#This Row],[Customer Rating]]&gt;=9,"Promoter",IF(Data[[#This Row],[Customer Rating]]&gt;=7,"Passive","Detractor")))</f>
        <v>Detractor</v>
      </c>
    </row>
    <row r="299" spans="1:17" ht="14.25" customHeight="1" x14ac:dyDescent="0.3">
      <c r="A299" s="1" t="s">
        <v>325</v>
      </c>
      <c r="B299" s="1" t="s">
        <v>15</v>
      </c>
      <c r="C299" s="1" t="s">
        <v>16</v>
      </c>
      <c r="D299" s="1" t="str">
        <f>IF(Data[[#This Row],[Cancellation Status]]="No", "High Potential", "Normal")</f>
        <v>High Potential</v>
      </c>
      <c r="E299" s="2">
        <v>45946</v>
      </c>
      <c r="F299" s="2">
        <v>45951</v>
      </c>
      <c r="G299" s="2">
        <v>45956</v>
      </c>
      <c r="H299" s="2">
        <v>45960</v>
      </c>
      <c r="I299" s="1" t="s">
        <v>17</v>
      </c>
      <c r="K299" s="2">
        <v>45987</v>
      </c>
      <c r="L299" s="88">
        <f>IF(OR(Data[[#This Row],[Service Follow-up Date]]="",Data[[#This Row],[Delivery Date]]=""),"",INT(Data[[#This Row],[Service Follow-up Date]]-Data[[#This Row],[Delivery Date]]))</f>
        <v>27</v>
      </c>
      <c r="M299" s="1">
        <v>5</v>
      </c>
      <c r="N299" s="1">
        <v>5</v>
      </c>
      <c r="O299" s="1">
        <v>4</v>
      </c>
      <c r="P299" s="1">
        <v>10</v>
      </c>
      <c r="Q299" t="str">
        <f>IF(ISBLANK(Data[[#This Row],[Customer Rating]]),"No Rating",IF(Data[[#This Row],[Customer Rating]]&gt;=9,"Promoter",IF(Data[[#This Row],[Customer Rating]]&gt;=7,"Passive","Detractor")))</f>
        <v>Promoter</v>
      </c>
    </row>
    <row r="300" spans="1:17" ht="14.25" customHeight="1" x14ac:dyDescent="0.3">
      <c r="A300" s="1" t="s">
        <v>326</v>
      </c>
      <c r="B300" s="1" t="s">
        <v>32</v>
      </c>
      <c r="C300" s="1" t="s">
        <v>30</v>
      </c>
      <c r="D300" s="1" t="str">
        <f>IF(Data[[#This Row],[Cancellation Status]]="No", "High Potential", "Normal")</f>
        <v>High Potential</v>
      </c>
      <c r="E300" s="2">
        <v>45945</v>
      </c>
      <c r="F300" s="2">
        <v>45950</v>
      </c>
      <c r="G300" s="2">
        <v>45951</v>
      </c>
      <c r="H300" s="2">
        <v>45953</v>
      </c>
      <c r="I300" s="1" t="s">
        <v>17</v>
      </c>
      <c r="K300" s="2">
        <v>45976</v>
      </c>
      <c r="L300" s="88">
        <f>IF(OR(Data[[#This Row],[Service Follow-up Date]]="",Data[[#This Row],[Delivery Date]]=""),"",INT(Data[[#This Row],[Service Follow-up Date]]-Data[[#This Row],[Delivery Date]]))</f>
        <v>23</v>
      </c>
      <c r="M300" s="1">
        <v>5</v>
      </c>
      <c r="N300" s="1">
        <v>1</v>
      </c>
      <c r="O300" s="1">
        <v>2</v>
      </c>
      <c r="P300" s="1">
        <v>10</v>
      </c>
      <c r="Q300" t="str">
        <f>IF(ISBLANK(Data[[#This Row],[Customer Rating]]),"No Rating",IF(Data[[#This Row],[Customer Rating]]&gt;=9,"Promoter",IF(Data[[#This Row],[Customer Rating]]&gt;=7,"Passive","Detractor")))</f>
        <v>Promoter</v>
      </c>
    </row>
    <row r="301" spans="1:17" ht="14.25" customHeight="1" x14ac:dyDescent="0.3">
      <c r="A301" s="1" t="s">
        <v>327</v>
      </c>
      <c r="B301" s="1" t="s">
        <v>21</v>
      </c>
      <c r="C301" s="1" t="s">
        <v>22</v>
      </c>
      <c r="D301" s="1" t="str">
        <f>IF(Data[[#This Row],[Cancellation Status]]="No", "High Potential", "Normal")</f>
        <v>Normal</v>
      </c>
      <c r="E301" s="2">
        <v>45933</v>
      </c>
      <c r="I301" s="1" t="s">
        <v>23</v>
      </c>
      <c r="J301" s="1" t="s">
        <v>33</v>
      </c>
      <c r="L301" s="88" t="str">
        <f>IF(OR(Data[[#This Row],[Service Follow-up Date]]="",Data[[#This Row],[Delivery Date]]=""),"",INT(Data[[#This Row],[Service Follow-up Date]]-Data[[#This Row],[Delivery Date]]))</f>
        <v/>
      </c>
      <c r="Q301" t="str">
        <f>IF(ISBLANK(Data[[#This Row],[Customer Rating]]),"No Rating",IF(Data[[#This Row],[Customer Rating]]&gt;=9,"Promoter",IF(Data[[#This Row],[Customer Rating]]&gt;=7,"Passive","Detractor")))</f>
        <v>No Rating</v>
      </c>
    </row>
    <row r="302" spans="1:17" ht="14.25" customHeight="1" x14ac:dyDescent="0.3">
      <c r="A302" s="1" t="s">
        <v>328</v>
      </c>
      <c r="B302" s="1" t="s">
        <v>19</v>
      </c>
      <c r="C302" s="1" t="s">
        <v>22</v>
      </c>
      <c r="D302" s="1" t="str">
        <f>IF(Data[[#This Row],[Cancellation Status]]="No", "High Potential", "Normal")</f>
        <v>Normal</v>
      </c>
      <c r="E302" s="2">
        <v>45950</v>
      </c>
      <c r="I302" s="1" t="s">
        <v>23</v>
      </c>
      <c r="J302" s="1" t="s">
        <v>101</v>
      </c>
      <c r="L302" s="88" t="str">
        <f>IF(OR(Data[[#This Row],[Service Follow-up Date]]="",Data[[#This Row],[Delivery Date]]=""),"",INT(Data[[#This Row],[Service Follow-up Date]]-Data[[#This Row],[Delivery Date]]))</f>
        <v/>
      </c>
      <c r="Q302" t="str">
        <f>IF(ISBLANK(Data[[#This Row],[Customer Rating]]),"No Rating",IF(Data[[#This Row],[Customer Rating]]&gt;=9,"Promoter",IF(Data[[#This Row],[Customer Rating]]&gt;=7,"Passive","Detractor")))</f>
        <v>No Rating</v>
      </c>
    </row>
    <row r="303" spans="1:17" ht="14.25" customHeight="1" x14ac:dyDescent="0.3">
      <c r="A303" s="1" t="s">
        <v>329</v>
      </c>
      <c r="B303" s="1" t="s">
        <v>15</v>
      </c>
      <c r="C303" s="1" t="s">
        <v>16</v>
      </c>
      <c r="D303" s="1" t="str">
        <f>IF(Data[[#This Row],[Cancellation Status]]="No", "High Potential", "Normal")</f>
        <v>High Potential</v>
      </c>
      <c r="E303" s="2">
        <v>45932</v>
      </c>
      <c r="F303" s="2">
        <v>45933</v>
      </c>
      <c r="G303" s="2">
        <v>45934</v>
      </c>
      <c r="H303" s="2">
        <v>45940</v>
      </c>
      <c r="I303" s="1" t="s">
        <v>17</v>
      </c>
      <c r="K303" s="2">
        <v>45968</v>
      </c>
      <c r="L303" s="88">
        <f>IF(OR(Data[[#This Row],[Service Follow-up Date]]="",Data[[#This Row],[Delivery Date]]=""),"",INT(Data[[#This Row],[Service Follow-up Date]]-Data[[#This Row],[Delivery Date]]))</f>
        <v>28</v>
      </c>
      <c r="M303" s="1">
        <v>1</v>
      </c>
      <c r="N303" s="1">
        <v>1</v>
      </c>
      <c r="O303" s="1">
        <v>6</v>
      </c>
      <c r="P303" s="1">
        <v>8</v>
      </c>
      <c r="Q303" t="str">
        <f>IF(ISBLANK(Data[[#This Row],[Customer Rating]]),"No Rating",IF(Data[[#This Row],[Customer Rating]]&gt;=9,"Promoter",IF(Data[[#This Row],[Customer Rating]]&gt;=7,"Passive","Detractor")))</f>
        <v>Passive</v>
      </c>
    </row>
    <row r="304" spans="1:17" ht="14.25" customHeight="1" x14ac:dyDescent="0.3">
      <c r="A304" s="1" t="s">
        <v>330</v>
      </c>
      <c r="B304" s="1" t="s">
        <v>15</v>
      </c>
      <c r="C304" s="1" t="s">
        <v>16</v>
      </c>
      <c r="D304" s="1" t="str">
        <f>IF(Data[[#This Row],[Cancellation Status]]="No", "High Potential", "Normal")</f>
        <v>High Potential</v>
      </c>
      <c r="E304" s="2">
        <v>45959</v>
      </c>
      <c r="F304" s="2">
        <v>45963</v>
      </c>
      <c r="G304" s="2">
        <v>45968</v>
      </c>
      <c r="H304" s="2">
        <v>45973</v>
      </c>
      <c r="I304" s="1" t="s">
        <v>17</v>
      </c>
      <c r="K304" s="2">
        <v>45990</v>
      </c>
      <c r="L304" s="88">
        <f>IF(OR(Data[[#This Row],[Service Follow-up Date]]="",Data[[#This Row],[Delivery Date]]=""),"",INT(Data[[#This Row],[Service Follow-up Date]]-Data[[#This Row],[Delivery Date]]))</f>
        <v>17</v>
      </c>
      <c r="M304" s="1">
        <v>4</v>
      </c>
      <c r="N304" s="1">
        <v>5</v>
      </c>
      <c r="O304" s="1">
        <v>5</v>
      </c>
      <c r="P304" s="1">
        <v>5</v>
      </c>
      <c r="Q304" t="str">
        <f>IF(ISBLANK(Data[[#This Row],[Customer Rating]]),"No Rating",IF(Data[[#This Row],[Customer Rating]]&gt;=9,"Promoter",IF(Data[[#This Row],[Customer Rating]]&gt;=7,"Passive","Detractor")))</f>
        <v>Detractor</v>
      </c>
    </row>
    <row r="305" spans="1:17" ht="14.25" customHeight="1" x14ac:dyDescent="0.3">
      <c r="A305" s="1" t="s">
        <v>331</v>
      </c>
      <c r="B305" s="1" t="s">
        <v>19</v>
      </c>
      <c r="C305" s="1" t="s">
        <v>16</v>
      </c>
      <c r="D305" s="1" t="str">
        <f>IF(Data[[#This Row],[Cancellation Status]]="No", "High Potential", "Normal")</f>
        <v>High Potential</v>
      </c>
      <c r="E305" s="2">
        <v>45944</v>
      </c>
      <c r="F305" s="2">
        <v>45949</v>
      </c>
      <c r="G305" s="2">
        <v>45954</v>
      </c>
      <c r="H305" s="2">
        <v>45957</v>
      </c>
      <c r="I305" s="1" t="s">
        <v>17</v>
      </c>
      <c r="K305" s="2">
        <v>45984</v>
      </c>
      <c r="L305" s="88">
        <f>IF(OR(Data[[#This Row],[Service Follow-up Date]]="",Data[[#This Row],[Delivery Date]]=""),"",INT(Data[[#This Row],[Service Follow-up Date]]-Data[[#This Row],[Delivery Date]]))</f>
        <v>27</v>
      </c>
      <c r="M305" s="1">
        <v>5</v>
      </c>
      <c r="N305" s="1">
        <v>5</v>
      </c>
      <c r="O305" s="1">
        <v>3</v>
      </c>
      <c r="P305" s="1">
        <v>6</v>
      </c>
      <c r="Q305" t="str">
        <f>IF(ISBLANK(Data[[#This Row],[Customer Rating]]),"No Rating",IF(Data[[#This Row],[Customer Rating]]&gt;=9,"Promoter",IF(Data[[#This Row],[Customer Rating]]&gt;=7,"Passive","Detractor")))</f>
        <v>Detractor</v>
      </c>
    </row>
    <row r="306" spans="1:17" ht="14.25" customHeight="1" x14ac:dyDescent="0.3">
      <c r="A306" s="1" t="s">
        <v>332</v>
      </c>
      <c r="B306" s="1" t="s">
        <v>32</v>
      </c>
      <c r="C306" s="1" t="s">
        <v>16</v>
      </c>
      <c r="D306" s="1" t="str">
        <f>IF(Data[[#This Row],[Cancellation Status]]="No", "High Potential", "Normal")</f>
        <v>High Potential</v>
      </c>
      <c r="E306" s="2">
        <v>45954</v>
      </c>
      <c r="F306" s="2">
        <v>45956</v>
      </c>
      <c r="G306" s="2">
        <v>45958</v>
      </c>
      <c r="H306" s="2">
        <v>45963</v>
      </c>
      <c r="I306" s="1" t="s">
        <v>17</v>
      </c>
      <c r="K306" s="2">
        <v>45974</v>
      </c>
      <c r="L306" s="88">
        <f>IF(OR(Data[[#This Row],[Service Follow-up Date]]="",Data[[#This Row],[Delivery Date]]=""),"",INT(Data[[#This Row],[Service Follow-up Date]]-Data[[#This Row],[Delivery Date]]))</f>
        <v>11</v>
      </c>
      <c r="M306" s="1">
        <v>2</v>
      </c>
      <c r="N306" s="1">
        <v>2</v>
      </c>
      <c r="O306" s="1">
        <v>5</v>
      </c>
      <c r="P306" s="1">
        <v>1</v>
      </c>
      <c r="Q306" t="str">
        <f>IF(ISBLANK(Data[[#This Row],[Customer Rating]]),"No Rating",IF(Data[[#This Row],[Customer Rating]]&gt;=9,"Promoter",IF(Data[[#This Row],[Customer Rating]]&gt;=7,"Passive","Detractor")))</f>
        <v>Detractor</v>
      </c>
    </row>
    <row r="307" spans="1:17" ht="14.25" customHeight="1" x14ac:dyDescent="0.3">
      <c r="A307" s="1" t="s">
        <v>333</v>
      </c>
      <c r="B307" s="1" t="s">
        <v>19</v>
      </c>
      <c r="C307" s="1" t="s">
        <v>16</v>
      </c>
      <c r="D307" s="1" t="str">
        <f>IF(Data[[#This Row],[Cancellation Status]]="No", "High Potential", "Normal")</f>
        <v>High Potential</v>
      </c>
      <c r="E307" s="2">
        <v>45941</v>
      </c>
      <c r="F307" s="2">
        <v>45944</v>
      </c>
      <c r="G307" s="2">
        <v>45949</v>
      </c>
      <c r="H307" s="2">
        <v>45952</v>
      </c>
      <c r="I307" s="1" t="s">
        <v>17</v>
      </c>
      <c r="K307" s="2">
        <v>45974</v>
      </c>
      <c r="L307" s="88">
        <f>IF(OR(Data[[#This Row],[Service Follow-up Date]]="",Data[[#This Row],[Delivery Date]]=""),"",INT(Data[[#This Row],[Service Follow-up Date]]-Data[[#This Row],[Delivery Date]]))</f>
        <v>22</v>
      </c>
      <c r="M307" s="1">
        <v>3</v>
      </c>
      <c r="N307" s="1">
        <v>5</v>
      </c>
      <c r="O307" s="1">
        <v>3</v>
      </c>
      <c r="P307" s="1">
        <v>1</v>
      </c>
      <c r="Q307" t="str">
        <f>IF(ISBLANK(Data[[#This Row],[Customer Rating]]),"No Rating",IF(Data[[#This Row],[Customer Rating]]&gt;=9,"Promoter",IF(Data[[#This Row],[Customer Rating]]&gt;=7,"Passive","Detractor")))</f>
        <v>Detractor</v>
      </c>
    </row>
    <row r="308" spans="1:17" ht="14.25" customHeight="1" x14ac:dyDescent="0.3">
      <c r="A308" s="1" t="s">
        <v>334</v>
      </c>
      <c r="B308" s="1" t="s">
        <v>32</v>
      </c>
      <c r="C308" s="1" t="s">
        <v>16</v>
      </c>
      <c r="D308" s="1" t="str">
        <f>IF(Data[[#This Row],[Cancellation Status]]="No", "High Potential", "Normal")</f>
        <v>High Potential</v>
      </c>
      <c r="E308" s="2">
        <v>45950</v>
      </c>
      <c r="F308" s="2">
        <v>45955</v>
      </c>
      <c r="G308" s="2">
        <v>45960</v>
      </c>
      <c r="H308" s="2">
        <v>45965</v>
      </c>
      <c r="I308" s="1" t="s">
        <v>17</v>
      </c>
      <c r="K308" s="2">
        <v>45991</v>
      </c>
      <c r="L308" s="88">
        <f>IF(OR(Data[[#This Row],[Service Follow-up Date]]="",Data[[#This Row],[Delivery Date]]=""),"",INT(Data[[#This Row],[Service Follow-up Date]]-Data[[#This Row],[Delivery Date]]))</f>
        <v>26</v>
      </c>
      <c r="M308" s="1">
        <v>5</v>
      </c>
      <c r="N308" s="1">
        <v>5</v>
      </c>
      <c r="O308" s="1">
        <v>5</v>
      </c>
      <c r="P308" s="1">
        <v>8</v>
      </c>
      <c r="Q308" t="str">
        <f>IF(ISBLANK(Data[[#This Row],[Customer Rating]]),"No Rating",IF(Data[[#This Row],[Customer Rating]]&gt;=9,"Promoter",IF(Data[[#This Row],[Customer Rating]]&gt;=7,"Passive","Detractor")))</f>
        <v>Passive</v>
      </c>
    </row>
    <row r="309" spans="1:17" ht="14.25" customHeight="1" x14ac:dyDescent="0.3">
      <c r="A309" s="1" t="s">
        <v>335</v>
      </c>
      <c r="B309" s="1" t="s">
        <v>19</v>
      </c>
      <c r="C309" s="1" t="s">
        <v>16</v>
      </c>
      <c r="D309" s="1" t="str">
        <f>IF(Data[[#This Row],[Cancellation Status]]="No", "High Potential", "Normal")</f>
        <v>High Potential</v>
      </c>
      <c r="E309" s="2">
        <v>45939</v>
      </c>
      <c r="F309" s="2">
        <v>45943</v>
      </c>
      <c r="G309" s="2">
        <v>45945</v>
      </c>
      <c r="H309" s="2">
        <v>45949</v>
      </c>
      <c r="I309" s="1" t="s">
        <v>17</v>
      </c>
      <c r="K309" s="2">
        <v>45972</v>
      </c>
      <c r="L309" s="88">
        <f>IF(OR(Data[[#This Row],[Service Follow-up Date]]="",Data[[#This Row],[Delivery Date]]=""),"",INT(Data[[#This Row],[Service Follow-up Date]]-Data[[#This Row],[Delivery Date]]))</f>
        <v>23</v>
      </c>
      <c r="M309" s="1">
        <v>4</v>
      </c>
      <c r="N309" s="1">
        <v>2</v>
      </c>
      <c r="O309" s="1">
        <v>4</v>
      </c>
      <c r="P309" s="1">
        <v>9</v>
      </c>
      <c r="Q309" t="str">
        <f>IF(ISBLANK(Data[[#This Row],[Customer Rating]]),"No Rating",IF(Data[[#This Row],[Customer Rating]]&gt;=9,"Promoter",IF(Data[[#This Row],[Customer Rating]]&gt;=7,"Passive","Detractor")))</f>
        <v>Promoter</v>
      </c>
    </row>
    <row r="310" spans="1:17" ht="14.25" customHeight="1" x14ac:dyDescent="0.3">
      <c r="A310" s="1" t="s">
        <v>336</v>
      </c>
      <c r="B310" s="1" t="s">
        <v>21</v>
      </c>
      <c r="C310" s="1" t="s">
        <v>16</v>
      </c>
      <c r="D310" s="1" t="str">
        <f>IF(Data[[#This Row],[Cancellation Status]]="No", "High Potential", "Normal")</f>
        <v>High Potential</v>
      </c>
      <c r="E310" s="2">
        <v>45931</v>
      </c>
      <c r="F310" s="2">
        <v>45936</v>
      </c>
      <c r="G310" s="2">
        <v>45938</v>
      </c>
      <c r="H310" s="2">
        <v>45942</v>
      </c>
      <c r="I310" s="1" t="s">
        <v>17</v>
      </c>
      <c r="K310" s="2">
        <v>45969</v>
      </c>
      <c r="L310" s="88">
        <f>IF(OR(Data[[#This Row],[Service Follow-up Date]]="",Data[[#This Row],[Delivery Date]]=""),"",INT(Data[[#This Row],[Service Follow-up Date]]-Data[[#This Row],[Delivery Date]]))</f>
        <v>27</v>
      </c>
      <c r="M310" s="1">
        <v>5</v>
      </c>
      <c r="N310" s="1">
        <v>2</v>
      </c>
      <c r="O310" s="1">
        <v>4</v>
      </c>
      <c r="P310" s="1">
        <v>6</v>
      </c>
      <c r="Q310" t="str">
        <f>IF(ISBLANK(Data[[#This Row],[Customer Rating]]),"No Rating",IF(Data[[#This Row],[Customer Rating]]&gt;=9,"Promoter",IF(Data[[#This Row],[Customer Rating]]&gt;=7,"Passive","Detractor")))</f>
        <v>Detractor</v>
      </c>
    </row>
    <row r="311" spans="1:17" ht="14.25" customHeight="1" x14ac:dyDescent="0.3">
      <c r="A311" s="1" t="s">
        <v>337</v>
      </c>
      <c r="B311" s="1" t="s">
        <v>32</v>
      </c>
      <c r="C311" s="1" t="s">
        <v>16</v>
      </c>
      <c r="D311" s="1" t="str">
        <f>IF(Data[[#This Row],[Cancellation Status]]="No", "High Potential", "Normal")</f>
        <v>High Potential</v>
      </c>
      <c r="E311" s="2">
        <v>45933</v>
      </c>
      <c r="F311" s="2">
        <v>45935</v>
      </c>
      <c r="G311" s="2">
        <v>45938</v>
      </c>
      <c r="H311" s="2">
        <v>45942</v>
      </c>
      <c r="I311" s="1" t="s">
        <v>17</v>
      </c>
      <c r="K311" s="2">
        <v>45967</v>
      </c>
      <c r="L311" s="88">
        <f>IF(OR(Data[[#This Row],[Service Follow-up Date]]="",Data[[#This Row],[Delivery Date]]=""),"",INT(Data[[#This Row],[Service Follow-up Date]]-Data[[#This Row],[Delivery Date]]))</f>
        <v>25</v>
      </c>
      <c r="M311" s="1">
        <v>2</v>
      </c>
      <c r="N311" s="1">
        <v>3</v>
      </c>
      <c r="O311" s="1">
        <v>4</v>
      </c>
      <c r="P311" s="1">
        <v>5</v>
      </c>
      <c r="Q311" t="str">
        <f>IF(ISBLANK(Data[[#This Row],[Customer Rating]]),"No Rating",IF(Data[[#This Row],[Customer Rating]]&gt;=9,"Promoter",IF(Data[[#This Row],[Customer Rating]]&gt;=7,"Passive","Detractor")))</f>
        <v>Detractor</v>
      </c>
    </row>
    <row r="312" spans="1:17" ht="14.25" customHeight="1" x14ac:dyDescent="0.3">
      <c r="A312" s="1" t="s">
        <v>338</v>
      </c>
      <c r="B312" s="1" t="s">
        <v>21</v>
      </c>
      <c r="C312" s="1" t="s">
        <v>30</v>
      </c>
      <c r="D312" s="1" t="str">
        <f>IF(Data[[#This Row],[Cancellation Status]]="No", "High Potential", "Normal")</f>
        <v>High Potential</v>
      </c>
      <c r="E312" s="2">
        <v>45938</v>
      </c>
      <c r="F312" s="2">
        <v>45939</v>
      </c>
      <c r="G312" s="2">
        <v>45944</v>
      </c>
      <c r="H312" s="2">
        <v>45948</v>
      </c>
      <c r="I312" s="1" t="s">
        <v>17</v>
      </c>
      <c r="K312" s="2">
        <v>45976</v>
      </c>
      <c r="L312" s="88">
        <f>IF(OR(Data[[#This Row],[Service Follow-up Date]]="",Data[[#This Row],[Delivery Date]]=""),"",INT(Data[[#This Row],[Service Follow-up Date]]-Data[[#This Row],[Delivery Date]]))</f>
        <v>28</v>
      </c>
      <c r="M312" s="1">
        <v>1</v>
      </c>
      <c r="N312" s="1">
        <v>5</v>
      </c>
      <c r="O312" s="1">
        <v>4</v>
      </c>
      <c r="P312" s="1">
        <v>3</v>
      </c>
      <c r="Q312" t="str">
        <f>IF(ISBLANK(Data[[#This Row],[Customer Rating]]),"No Rating",IF(Data[[#This Row],[Customer Rating]]&gt;=9,"Promoter",IF(Data[[#This Row],[Customer Rating]]&gt;=7,"Passive","Detractor")))</f>
        <v>Detractor</v>
      </c>
    </row>
    <row r="313" spans="1:17" ht="14.25" customHeight="1" x14ac:dyDescent="0.3">
      <c r="A313" s="1" t="s">
        <v>339</v>
      </c>
      <c r="B313" s="1" t="s">
        <v>15</v>
      </c>
      <c r="C313" s="1" t="s">
        <v>30</v>
      </c>
      <c r="D313" s="1" t="str">
        <f>IF(Data[[#This Row],[Cancellation Status]]="No", "High Potential", "Normal")</f>
        <v>High Potential</v>
      </c>
      <c r="E313" s="2">
        <v>45961</v>
      </c>
      <c r="F313" s="2">
        <v>45965</v>
      </c>
      <c r="G313" s="2">
        <v>45969</v>
      </c>
      <c r="H313" s="2">
        <v>45975</v>
      </c>
      <c r="I313" s="1" t="s">
        <v>17</v>
      </c>
      <c r="K313" s="2">
        <v>45992</v>
      </c>
      <c r="L313" s="88">
        <f>IF(OR(Data[[#This Row],[Service Follow-up Date]]="",Data[[#This Row],[Delivery Date]]=""),"",INT(Data[[#This Row],[Service Follow-up Date]]-Data[[#This Row],[Delivery Date]]))</f>
        <v>17</v>
      </c>
      <c r="M313" s="1">
        <v>4</v>
      </c>
      <c r="N313" s="1">
        <v>4</v>
      </c>
      <c r="O313" s="1">
        <v>6</v>
      </c>
      <c r="P313" s="1">
        <v>6</v>
      </c>
      <c r="Q313" t="str">
        <f>IF(ISBLANK(Data[[#This Row],[Customer Rating]]),"No Rating",IF(Data[[#This Row],[Customer Rating]]&gt;=9,"Promoter",IF(Data[[#This Row],[Customer Rating]]&gt;=7,"Passive","Detractor")))</f>
        <v>Detractor</v>
      </c>
    </row>
    <row r="314" spans="1:17" ht="14.25" customHeight="1" x14ac:dyDescent="0.3">
      <c r="A314" s="1" t="s">
        <v>340</v>
      </c>
      <c r="B314" s="1" t="s">
        <v>19</v>
      </c>
      <c r="C314" s="1" t="s">
        <v>16</v>
      </c>
      <c r="D314" s="1" t="str">
        <f>IF(Data[[#This Row],[Cancellation Status]]="No", "High Potential", "Normal")</f>
        <v>High Potential</v>
      </c>
      <c r="E314" s="2">
        <v>45952</v>
      </c>
      <c r="F314" s="2">
        <v>45953</v>
      </c>
      <c r="G314" s="2">
        <v>45954</v>
      </c>
      <c r="H314" s="2">
        <v>45960</v>
      </c>
      <c r="I314" s="1" t="s">
        <v>17</v>
      </c>
      <c r="K314" s="2">
        <v>45985</v>
      </c>
      <c r="L314" s="88">
        <f>IF(OR(Data[[#This Row],[Service Follow-up Date]]="",Data[[#This Row],[Delivery Date]]=""),"",INT(Data[[#This Row],[Service Follow-up Date]]-Data[[#This Row],[Delivery Date]]))</f>
        <v>25</v>
      </c>
      <c r="M314" s="1">
        <v>1</v>
      </c>
      <c r="N314" s="1">
        <v>1</v>
      </c>
      <c r="O314" s="1">
        <v>6</v>
      </c>
      <c r="P314" s="1">
        <v>6</v>
      </c>
      <c r="Q314" t="str">
        <f>IF(ISBLANK(Data[[#This Row],[Customer Rating]]),"No Rating",IF(Data[[#This Row],[Customer Rating]]&gt;=9,"Promoter",IF(Data[[#This Row],[Customer Rating]]&gt;=7,"Passive","Detractor")))</f>
        <v>Detractor</v>
      </c>
    </row>
    <row r="315" spans="1:17" ht="14.25" customHeight="1" x14ac:dyDescent="0.3">
      <c r="A315" s="1" t="s">
        <v>341</v>
      </c>
      <c r="B315" s="1" t="s">
        <v>15</v>
      </c>
      <c r="C315" s="1" t="s">
        <v>16</v>
      </c>
      <c r="D315" s="1" t="str">
        <f>IF(Data[[#This Row],[Cancellation Status]]="No", "High Potential", "Normal")</f>
        <v>High Potential</v>
      </c>
      <c r="E315" s="2">
        <v>45957</v>
      </c>
      <c r="F315" s="2">
        <v>45960</v>
      </c>
      <c r="G315" s="2">
        <v>45962</v>
      </c>
      <c r="H315" s="2">
        <v>45965</v>
      </c>
      <c r="I315" s="1" t="s">
        <v>17</v>
      </c>
      <c r="K315" s="2">
        <v>45984</v>
      </c>
      <c r="L315" s="88">
        <f>IF(OR(Data[[#This Row],[Service Follow-up Date]]="",Data[[#This Row],[Delivery Date]]=""),"",INT(Data[[#This Row],[Service Follow-up Date]]-Data[[#This Row],[Delivery Date]]))</f>
        <v>19</v>
      </c>
      <c r="M315" s="1">
        <v>3</v>
      </c>
      <c r="N315" s="1">
        <v>2</v>
      </c>
      <c r="O315" s="1">
        <v>3</v>
      </c>
      <c r="P315" s="1">
        <v>6</v>
      </c>
      <c r="Q315" t="str">
        <f>IF(ISBLANK(Data[[#This Row],[Customer Rating]]),"No Rating",IF(Data[[#This Row],[Customer Rating]]&gt;=9,"Promoter",IF(Data[[#This Row],[Customer Rating]]&gt;=7,"Passive","Detractor")))</f>
        <v>Detractor</v>
      </c>
    </row>
    <row r="316" spans="1:17" ht="14.25" customHeight="1" x14ac:dyDescent="0.3">
      <c r="A316" s="1" t="s">
        <v>342</v>
      </c>
      <c r="B316" s="1" t="s">
        <v>15</v>
      </c>
      <c r="C316" s="1" t="s">
        <v>16</v>
      </c>
      <c r="D316" s="1" t="str">
        <f>IF(Data[[#This Row],[Cancellation Status]]="No", "High Potential", "Normal")</f>
        <v>High Potential</v>
      </c>
      <c r="E316" s="2">
        <v>45958</v>
      </c>
      <c r="F316" s="2">
        <v>45959</v>
      </c>
      <c r="G316" s="2">
        <v>45964</v>
      </c>
      <c r="H316" s="2">
        <v>45970</v>
      </c>
      <c r="I316" s="1" t="s">
        <v>17</v>
      </c>
      <c r="K316" s="2">
        <v>45982</v>
      </c>
      <c r="L316" s="88">
        <f>IF(OR(Data[[#This Row],[Service Follow-up Date]]="",Data[[#This Row],[Delivery Date]]=""),"",INT(Data[[#This Row],[Service Follow-up Date]]-Data[[#This Row],[Delivery Date]]))</f>
        <v>12</v>
      </c>
      <c r="M316" s="1">
        <v>1</v>
      </c>
      <c r="N316" s="1">
        <v>5</v>
      </c>
      <c r="O316" s="1">
        <v>6</v>
      </c>
      <c r="P316" s="1">
        <v>4</v>
      </c>
      <c r="Q316" t="str">
        <f>IF(ISBLANK(Data[[#This Row],[Customer Rating]]),"No Rating",IF(Data[[#This Row],[Customer Rating]]&gt;=9,"Promoter",IF(Data[[#This Row],[Customer Rating]]&gt;=7,"Passive","Detractor")))</f>
        <v>Detractor</v>
      </c>
    </row>
    <row r="317" spans="1:17" ht="14.25" customHeight="1" x14ac:dyDescent="0.3">
      <c r="A317" s="1" t="s">
        <v>343</v>
      </c>
      <c r="B317" s="1" t="s">
        <v>15</v>
      </c>
      <c r="C317" s="1" t="s">
        <v>16</v>
      </c>
      <c r="D317" s="1" t="str">
        <f>IF(Data[[#This Row],[Cancellation Status]]="No", "High Potential", "Normal")</f>
        <v>High Potential</v>
      </c>
      <c r="E317" s="2">
        <v>45949</v>
      </c>
      <c r="F317" s="2">
        <v>45954</v>
      </c>
      <c r="G317" s="2">
        <v>45958</v>
      </c>
      <c r="H317" s="2">
        <v>45963</v>
      </c>
      <c r="I317" s="1" t="s">
        <v>17</v>
      </c>
      <c r="K317" s="2">
        <v>45985</v>
      </c>
      <c r="L317" s="88">
        <f>IF(OR(Data[[#This Row],[Service Follow-up Date]]="",Data[[#This Row],[Delivery Date]]=""),"",INT(Data[[#This Row],[Service Follow-up Date]]-Data[[#This Row],[Delivery Date]]))</f>
        <v>22</v>
      </c>
      <c r="M317" s="1">
        <v>5</v>
      </c>
      <c r="N317" s="1">
        <v>4</v>
      </c>
      <c r="O317" s="1">
        <v>5</v>
      </c>
      <c r="P317" s="1">
        <v>5</v>
      </c>
      <c r="Q317" t="str">
        <f>IF(ISBLANK(Data[[#This Row],[Customer Rating]]),"No Rating",IF(Data[[#This Row],[Customer Rating]]&gt;=9,"Promoter",IF(Data[[#This Row],[Customer Rating]]&gt;=7,"Passive","Detractor")))</f>
        <v>Detractor</v>
      </c>
    </row>
    <row r="318" spans="1:17" ht="14.25" customHeight="1" x14ac:dyDescent="0.3">
      <c r="A318" s="1" t="s">
        <v>344</v>
      </c>
      <c r="B318" s="1" t="s">
        <v>15</v>
      </c>
      <c r="C318" s="1" t="s">
        <v>16</v>
      </c>
      <c r="D318" s="1" t="str">
        <f>IF(Data[[#This Row],[Cancellation Status]]="No", "High Potential", "Normal")</f>
        <v>High Potential</v>
      </c>
      <c r="E318" s="2">
        <v>45949</v>
      </c>
      <c r="F318" s="2">
        <v>45951</v>
      </c>
      <c r="G318" s="2">
        <v>45952</v>
      </c>
      <c r="H318" s="2">
        <v>45956</v>
      </c>
      <c r="I318" s="1" t="s">
        <v>17</v>
      </c>
      <c r="K318" s="2">
        <v>45967</v>
      </c>
      <c r="L318" s="88">
        <f>IF(OR(Data[[#This Row],[Service Follow-up Date]]="",Data[[#This Row],[Delivery Date]]=""),"",INT(Data[[#This Row],[Service Follow-up Date]]-Data[[#This Row],[Delivery Date]]))</f>
        <v>11</v>
      </c>
      <c r="M318" s="1">
        <v>2</v>
      </c>
      <c r="N318" s="1">
        <v>1</v>
      </c>
      <c r="O318" s="1">
        <v>4</v>
      </c>
      <c r="P318" s="1">
        <v>9</v>
      </c>
      <c r="Q318" t="str">
        <f>IF(ISBLANK(Data[[#This Row],[Customer Rating]]),"No Rating",IF(Data[[#This Row],[Customer Rating]]&gt;=9,"Promoter",IF(Data[[#This Row],[Customer Rating]]&gt;=7,"Passive","Detractor")))</f>
        <v>Promoter</v>
      </c>
    </row>
    <row r="319" spans="1:17" ht="14.25" customHeight="1" x14ac:dyDescent="0.3">
      <c r="A319" s="1" t="s">
        <v>345</v>
      </c>
      <c r="B319" s="1" t="s">
        <v>19</v>
      </c>
      <c r="C319" s="1" t="s">
        <v>16</v>
      </c>
      <c r="D319" s="1" t="str">
        <f>IF(Data[[#This Row],[Cancellation Status]]="No", "High Potential", "Normal")</f>
        <v>Normal</v>
      </c>
      <c r="E319" s="2">
        <v>45961</v>
      </c>
      <c r="F319" s="2">
        <v>45962</v>
      </c>
      <c r="G319" s="2">
        <v>45967</v>
      </c>
      <c r="H319" s="2">
        <v>45974</v>
      </c>
      <c r="I319" s="1" t="s">
        <v>23</v>
      </c>
      <c r="J319" s="1" t="s">
        <v>63</v>
      </c>
      <c r="L319" s="88" t="str">
        <f>IF(OR(Data[[#This Row],[Service Follow-up Date]]="",Data[[#This Row],[Delivery Date]]=""),"",INT(Data[[#This Row],[Service Follow-up Date]]-Data[[#This Row],[Delivery Date]]))</f>
        <v/>
      </c>
      <c r="M319" s="1">
        <v>1</v>
      </c>
      <c r="N319" s="1">
        <v>5</v>
      </c>
      <c r="O319" s="1">
        <v>7</v>
      </c>
      <c r="Q319" t="str">
        <f>IF(ISBLANK(Data[[#This Row],[Customer Rating]]),"No Rating",IF(Data[[#This Row],[Customer Rating]]&gt;=9,"Promoter",IF(Data[[#This Row],[Customer Rating]]&gt;=7,"Passive","Detractor")))</f>
        <v>No Rating</v>
      </c>
    </row>
    <row r="320" spans="1:17" ht="14.25" customHeight="1" x14ac:dyDescent="0.3">
      <c r="A320" s="1" t="s">
        <v>346</v>
      </c>
      <c r="B320" s="1" t="s">
        <v>15</v>
      </c>
      <c r="C320" s="1" t="s">
        <v>16</v>
      </c>
      <c r="D320" s="1" t="str">
        <f>IF(Data[[#This Row],[Cancellation Status]]="No", "High Potential", "Normal")</f>
        <v>High Potential</v>
      </c>
      <c r="E320" s="2">
        <v>45931</v>
      </c>
      <c r="F320" s="2">
        <v>45933</v>
      </c>
      <c r="G320" s="2">
        <v>45937</v>
      </c>
      <c r="H320" s="2">
        <v>45939</v>
      </c>
      <c r="I320" s="1" t="s">
        <v>17</v>
      </c>
      <c r="K320" s="2">
        <v>45965</v>
      </c>
      <c r="L320" s="88">
        <f>IF(OR(Data[[#This Row],[Service Follow-up Date]]="",Data[[#This Row],[Delivery Date]]=""),"",INT(Data[[#This Row],[Service Follow-up Date]]-Data[[#This Row],[Delivery Date]]))</f>
        <v>26</v>
      </c>
      <c r="M320" s="1">
        <v>2</v>
      </c>
      <c r="N320" s="1">
        <v>4</v>
      </c>
      <c r="O320" s="1">
        <v>2</v>
      </c>
      <c r="P320" s="1">
        <v>6</v>
      </c>
      <c r="Q320" t="str">
        <f>IF(ISBLANK(Data[[#This Row],[Customer Rating]]),"No Rating",IF(Data[[#This Row],[Customer Rating]]&gt;=9,"Promoter",IF(Data[[#This Row],[Customer Rating]]&gt;=7,"Passive","Detractor")))</f>
        <v>Detractor</v>
      </c>
    </row>
    <row r="321" spans="1:17" ht="14.25" customHeight="1" x14ac:dyDescent="0.3">
      <c r="A321" s="1" t="s">
        <v>347</v>
      </c>
      <c r="B321" s="1" t="s">
        <v>19</v>
      </c>
      <c r="C321" s="1" t="s">
        <v>16</v>
      </c>
      <c r="D321" s="1" t="str">
        <f>IF(Data[[#This Row],[Cancellation Status]]="No", "High Potential", "Normal")</f>
        <v>Normal</v>
      </c>
      <c r="E321" s="2">
        <v>45955</v>
      </c>
      <c r="F321" s="2">
        <v>45959</v>
      </c>
      <c r="G321" s="2">
        <v>45960</v>
      </c>
      <c r="H321" s="2">
        <v>45962</v>
      </c>
      <c r="I321" s="1" t="s">
        <v>23</v>
      </c>
      <c r="J321" s="1" t="s">
        <v>33</v>
      </c>
      <c r="L321" s="88" t="str">
        <f>IF(OR(Data[[#This Row],[Service Follow-up Date]]="",Data[[#This Row],[Delivery Date]]=""),"",INT(Data[[#This Row],[Service Follow-up Date]]-Data[[#This Row],[Delivery Date]]))</f>
        <v/>
      </c>
      <c r="M321" s="1">
        <v>4</v>
      </c>
      <c r="N321" s="1">
        <v>1</v>
      </c>
      <c r="O321" s="1">
        <v>2</v>
      </c>
      <c r="Q321" t="str">
        <f>IF(ISBLANK(Data[[#This Row],[Customer Rating]]),"No Rating",IF(Data[[#This Row],[Customer Rating]]&gt;=9,"Promoter",IF(Data[[#This Row],[Customer Rating]]&gt;=7,"Passive","Detractor")))</f>
        <v>No Rating</v>
      </c>
    </row>
    <row r="322" spans="1:17" ht="14.25" customHeight="1" x14ac:dyDescent="0.3">
      <c r="A322" s="1" t="s">
        <v>348</v>
      </c>
      <c r="B322" s="1" t="s">
        <v>19</v>
      </c>
      <c r="C322" s="1" t="s">
        <v>16</v>
      </c>
      <c r="D322" s="1" t="str">
        <f>IF(Data[[#This Row],[Cancellation Status]]="No", "High Potential", "Normal")</f>
        <v>High Potential</v>
      </c>
      <c r="E322" s="2">
        <v>45952</v>
      </c>
      <c r="F322" s="2">
        <v>45956</v>
      </c>
      <c r="G322" s="2">
        <v>45960</v>
      </c>
      <c r="H322" s="2">
        <v>45962</v>
      </c>
      <c r="I322" s="1" t="s">
        <v>17</v>
      </c>
      <c r="K322" s="2">
        <v>45990</v>
      </c>
      <c r="L322" s="88">
        <f>IF(OR(Data[[#This Row],[Service Follow-up Date]]="",Data[[#This Row],[Delivery Date]]=""),"",INT(Data[[#This Row],[Service Follow-up Date]]-Data[[#This Row],[Delivery Date]]))</f>
        <v>28</v>
      </c>
      <c r="M322" s="1">
        <v>4</v>
      </c>
      <c r="N322" s="1">
        <v>4</v>
      </c>
      <c r="O322" s="1">
        <v>2</v>
      </c>
      <c r="P322" s="1">
        <v>4</v>
      </c>
      <c r="Q322" t="str">
        <f>IF(ISBLANK(Data[[#This Row],[Customer Rating]]),"No Rating",IF(Data[[#This Row],[Customer Rating]]&gt;=9,"Promoter",IF(Data[[#This Row],[Customer Rating]]&gt;=7,"Passive","Detractor")))</f>
        <v>Detractor</v>
      </c>
    </row>
    <row r="323" spans="1:17" ht="14.25" customHeight="1" x14ac:dyDescent="0.3">
      <c r="A323" s="1" t="s">
        <v>349</v>
      </c>
      <c r="B323" s="1" t="s">
        <v>21</v>
      </c>
      <c r="C323" s="1" t="s">
        <v>22</v>
      </c>
      <c r="D323" s="1" t="str">
        <f>IF(Data[[#This Row],[Cancellation Status]]="No", "High Potential", "Normal")</f>
        <v>Normal</v>
      </c>
      <c r="E323" s="2">
        <v>45957</v>
      </c>
      <c r="I323" s="1" t="s">
        <v>23</v>
      </c>
      <c r="J323" s="1" t="s">
        <v>26</v>
      </c>
      <c r="L323" s="88" t="str">
        <f>IF(OR(Data[[#This Row],[Service Follow-up Date]]="",Data[[#This Row],[Delivery Date]]=""),"",INT(Data[[#This Row],[Service Follow-up Date]]-Data[[#This Row],[Delivery Date]]))</f>
        <v/>
      </c>
      <c r="Q323" t="str">
        <f>IF(ISBLANK(Data[[#This Row],[Customer Rating]]),"No Rating",IF(Data[[#This Row],[Customer Rating]]&gt;=9,"Promoter",IF(Data[[#This Row],[Customer Rating]]&gt;=7,"Passive","Detractor")))</f>
        <v>No Rating</v>
      </c>
    </row>
    <row r="324" spans="1:17" ht="14.25" customHeight="1" x14ac:dyDescent="0.3">
      <c r="A324" s="1" t="s">
        <v>350</v>
      </c>
      <c r="B324" s="1" t="s">
        <v>32</v>
      </c>
      <c r="C324" s="1" t="s">
        <v>16</v>
      </c>
      <c r="D324" s="1" t="str">
        <f>IF(Data[[#This Row],[Cancellation Status]]="No", "High Potential", "Normal")</f>
        <v>Normal</v>
      </c>
      <c r="E324" s="2">
        <v>45939</v>
      </c>
      <c r="F324" s="2">
        <v>45944</v>
      </c>
      <c r="G324" s="2">
        <v>45946</v>
      </c>
      <c r="H324" s="2">
        <v>45953</v>
      </c>
      <c r="I324" s="1" t="s">
        <v>23</v>
      </c>
      <c r="J324" s="1" t="s">
        <v>63</v>
      </c>
      <c r="L324" s="88" t="str">
        <f>IF(OR(Data[[#This Row],[Service Follow-up Date]]="",Data[[#This Row],[Delivery Date]]=""),"",INT(Data[[#This Row],[Service Follow-up Date]]-Data[[#This Row],[Delivery Date]]))</f>
        <v/>
      </c>
      <c r="M324" s="1">
        <v>5</v>
      </c>
      <c r="N324" s="1">
        <v>2</v>
      </c>
      <c r="O324" s="1">
        <v>7</v>
      </c>
      <c r="Q324" t="str">
        <f>IF(ISBLANK(Data[[#This Row],[Customer Rating]]),"No Rating",IF(Data[[#This Row],[Customer Rating]]&gt;=9,"Promoter",IF(Data[[#This Row],[Customer Rating]]&gt;=7,"Passive","Detractor")))</f>
        <v>No Rating</v>
      </c>
    </row>
    <row r="325" spans="1:17" ht="14.25" customHeight="1" x14ac:dyDescent="0.3">
      <c r="A325" s="1" t="s">
        <v>351</v>
      </c>
      <c r="B325" s="1" t="s">
        <v>32</v>
      </c>
      <c r="C325" s="1" t="s">
        <v>30</v>
      </c>
      <c r="D325" s="1" t="str">
        <f>IF(Data[[#This Row],[Cancellation Status]]="No", "High Potential", "Normal")</f>
        <v>High Potential</v>
      </c>
      <c r="E325" s="2">
        <v>45949</v>
      </c>
      <c r="F325" s="2">
        <v>45954</v>
      </c>
      <c r="G325" s="2">
        <v>45959</v>
      </c>
      <c r="H325" s="2">
        <v>45964</v>
      </c>
      <c r="I325" s="1" t="s">
        <v>17</v>
      </c>
      <c r="K325" s="2">
        <v>45990</v>
      </c>
      <c r="L325" s="88">
        <f>IF(OR(Data[[#This Row],[Service Follow-up Date]]="",Data[[#This Row],[Delivery Date]]=""),"",INT(Data[[#This Row],[Service Follow-up Date]]-Data[[#This Row],[Delivery Date]]))</f>
        <v>26</v>
      </c>
      <c r="M325" s="1">
        <v>5</v>
      </c>
      <c r="N325" s="1">
        <v>5</v>
      </c>
      <c r="O325" s="1">
        <v>5</v>
      </c>
      <c r="P325" s="1">
        <v>2</v>
      </c>
      <c r="Q325" t="str">
        <f>IF(ISBLANK(Data[[#This Row],[Customer Rating]]),"No Rating",IF(Data[[#This Row],[Customer Rating]]&gt;=9,"Promoter",IF(Data[[#This Row],[Customer Rating]]&gt;=7,"Passive","Detractor")))</f>
        <v>Detractor</v>
      </c>
    </row>
    <row r="326" spans="1:17" ht="14.25" customHeight="1" x14ac:dyDescent="0.3">
      <c r="A326" s="1" t="s">
        <v>352</v>
      </c>
      <c r="B326" s="1" t="s">
        <v>19</v>
      </c>
      <c r="C326" s="1" t="s">
        <v>30</v>
      </c>
      <c r="D326" s="1" t="str">
        <f>IF(Data[[#This Row],[Cancellation Status]]="No", "High Potential", "Normal")</f>
        <v>Normal</v>
      </c>
      <c r="E326" s="2">
        <v>45932</v>
      </c>
      <c r="F326" s="2">
        <v>45937</v>
      </c>
      <c r="G326" s="2">
        <v>45941</v>
      </c>
      <c r="H326" s="2">
        <v>45943</v>
      </c>
      <c r="I326" s="1" t="s">
        <v>23</v>
      </c>
      <c r="J326" s="1" t="s">
        <v>24</v>
      </c>
      <c r="L326" s="88" t="str">
        <f>IF(OR(Data[[#This Row],[Service Follow-up Date]]="",Data[[#This Row],[Delivery Date]]=""),"",INT(Data[[#This Row],[Service Follow-up Date]]-Data[[#This Row],[Delivery Date]]))</f>
        <v/>
      </c>
      <c r="M326" s="1">
        <v>5</v>
      </c>
      <c r="N326" s="1">
        <v>4</v>
      </c>
      <c r="O326" s="1">
        <v>2</v>
      </c>
      <c r="Q326" t="str">
        <f>IF(ISBLANK(Data[[#This Row],[Customer Rating]]),"No Rating",IF(Data[[#This Row],[Customer Rating]]&gt;=9,"Promoter",IF(Data[[#This Row],[Customer Rating]]&gt;=7,"Passive","Detractor")))</f>
        <v>No Rating</v>
      </c>
    </row>
    <row r="327" spans="1:17" ht="14.25" customHeight="1" x14ac:dyDescent="0.3">
      <c r="A327" s="1" t="s">
        <v>353</v>
      </c>
      <c r="B327" s="1" t="s">
        <v>21</v>
      </c>
      <c r="C327" s="1" t="s">
        <v>30</v>
      </c>
      <c r="D327" s="1" t="str">
        <f>IF(Data[[#This Row],[Cancellation Status]]="No", "High Potential", "Normal")</f>
        <v>High Potential</v>
      </c>
      <c r="E327" s="2">
        <v>45955</v>
      </c>
      <c r="F327" s="2">
        <v>45957</v>
      </c>
      <c r="G327" s="2">
        <v>45961</v>
      </c>
      <c r="H327" s="2">
        <v>45963</v>
      </c>
      <c r="I327" s="1" t="s">
        <v>17</v>
      </c>
      <c r="K327" s="2">
        <v>45991</v>
      </c>
      <c r="L327" s="88">
        <f>IF(OR(Data[[#This Row],[Service Follow-up Date]]="",Data[[#This Row],[Delivery Date]]=""),"",INT(Data[[#This Row],[Service Follow-up Date]]-Data[[#This Row],[Delivery Date]]))</f>
        <v>28</v>
      </c>
      <c r="M327" s="1">
        <v>2</v>
      </c>
      <c r="N327" s="1">
        <v>4</v>
      </c>
      <c r="O327" s="1">
        <v>2</v>
      </c>
      <c r="P327" s="1">
        <v>10</v>
      </c>
      <c r="Q327" t="str">
        <f>IF(ISBLANK(Data[[#This Row],[Customer Rating]]),"No Rating",IF(Data[[#This Row],[Customer Rating]]&gt;=9,"Promoter",IF(Data[[#This Row],[Customer Rating]]&gt;=7,"Passive","Detractor")))</f>
        <v>Promoter</v>
      </c>
    </row>
    <row r="328" spans="1:17" ht="14.25" customHeight="1" x14ac:dyDescent="0.3">
      <c r="A328" s="1" t="s">
        <v>354</v>
      </c>
      <c r="B328" s="1" t="s">
        <v>19</v>
      </c>
      <c r="C328" s="1" t="s">
        <v>16</v>
      </c>
      <c r="D328" s="1" t="str">
        <f>IF(Data[[#This Row],[Cancellation Status]]="No", "High Potential", "Normal")</f>
        <v>High Potential</v>
      </c>
      <c r="E328" s="2">
        <v>45955</v>
      </c>
      <c r="F328" s="2">
        <v>45958</v>
      </c>
      <c r="G328" s="2">
        <v>45963</v>
      </c>
      <c r="H328" s="2">
        <v>45966</v>
      </c>
      <c r="I328" s="1" t="s">
        <v>17</v>
      </c>
      <c r="K328" s="2">
        <v>45995</v>
      </c>
      <c r="L328" s="88">
        <f>IF(OR(Data[[#This Row],[Service Follow-up Date]]="",Data[[#This Row],[Delivery Date]]=""),"",INT(Data[[#This Row],[Service Follow-up Date]]-Data[[#This Row],[Delivery Date]]))</f>
        <v>29</v>
      </c>
      <c r="M328" s="1">
        <v>3</v>
      </c>
      <c r="N328" s="1">
        <v>5</v>
      </c>
      <c r="O328" s="1">
        <v>3</v>
      </c>
      <c r="P328" s="1">
        <v>6</v>
      </c>
      <c r="Q328" t="str">
        <f>IF(ISBLANK(Data[[#This Row],[Customer Rating]]),"No Rating",IF(Data[[#This Row],[Customer Rating]]&gt;=9,"Promoter",IF(Data[[#This Row],[Customer Rating]]&gt;=7,"Passive","Detractor")))</f>
        <v>Detractor</v>
      </c>
    </row>
    <row r="329" spans="1:17" ht="14.25" customHeight="1" x14ac:dyDescent="0.3">
      <c r="A329" s="1" t="s">
        <v>355</v>
      </c>
      <c r="B329" s="1" t="s">
        <v>19</v>
      </c>
      <c r="C329" s="1" t="s">
        <v>16</v>
      </c>
      <c r="D329" s="1" t="str">
        <f>IF(Data[[#This Row],[Cancellation Status]]="No", "High Potential", "Normal")</f>
        <v>High Potential</v>
      </c>
      <c r="E329" s="2">
        <v>45936</v>
      </c>
      <c r="F329" s="2">
        <v>45939</v>
      </c>
      <c r="G329" s="2">
        <v>45940</v>
      </c>
      <c r="H329" s="2">
        <v>45945</v>
      </c>
      <c r="I329" s="1" t="s">
        <v>17</v>
      </c>
      <c r="K329" s="2">
        <v>45959</v>
      </c>
      <c r="L329" s="88">
        <f>IF(OR(Data[[#This Row],[Service Follow-up Date]]="",Data[[#This Row],[Delivery Date]]=""),"",INT(Data[[#This Row],[Service Follow-up Date]]-Data[[#This Row],[Delivery Date]]))</f>
        <v>14</v>
      </c>
      <c r="M329" s="1">
        <v>3</v>
      </c>
      <c r="N329" s="1">
        <v>1</v>
      </c>
      <c r="O329" s="1">
        <v>5</v>
      </c>
      <c r="P329" s="1">
        <v>7</v>
      </c>
      <c r="Q329" t="str">
        <f>IF(ISBLANK(Data[[#This Row],[Customer Rating]]),"No Rating",IF(Data[[#This Row],[Customer Rating]]&gt;=9,"Promoter",IF(Data[[#This Row],[Customer Rating]]&gt;=7,"Passive","Detractor")))</f>
        <v>Passive</v>
      </c>
    </row>
    <row r="330" spans="1:17" ht="14.25" customHeight="1" x14ac:dyDescent="0.3">
      <c r="A330" s="1" t="s">
        <v>356</v>
      </c>
      <c r="B330" s="1" t="s">
        <v>19</v>
      </c>
      <c r="C330" s="1" t="s">
        <v>16</v>
      </c>
      <c r="D330" s="1" t="str">
        <f>IF(Data[[#This Row],[Cancellation Status]]="No", "High Potential", "Normal")</f>
        <v>High Potential</v>
      </c>
      <c r="E330" s="2">
        <v>45946</v>
      </c>
      <c r="F330" s="2">
        <v>45949</v>
      </c>
      <c r="G330" s="2">
        <v>45954</v>
      </c>
      <c r="H330" s="2">
        <v>45959</v>
      </c>
      <c r="I330" s="1" t="s">
        <v>17</v>
      </c>
      <c r="K330" s="2">
        <v>45972</v>
      </c>
      <c r="L330" s="88">
        <f>IF(OR(Data[[#This Row],[Service Follow-up Date]]="",Data[[#This Row],[Delivery Date]]=""),"",INT(Data[[#This Row],[Service Follow-up Date]]-Data[[#This Row],[Delivery Date]]))</f>
        <v>13</v>
      </c>
      <c r="M330" s="1">
        <v>3</v>
      </c>
      <c r="N330" s="1">
        <v>5</v>
      </c>
      <c r="O330" s="1">
        <v>5</v>
      </c>
      <c r="P330" s="1">
        <v>3</v>
      </c>
      <c r="Q330" t="str">
        <f>IF(ISBLANK(Data[[#This Row],[Customer Rating]]),"No Rating",IF(Data[[#This Row],[Customer Rating]]&gt;=9,"Promoter",IF(Data[[#This Row],[Customer Rating]]&gt;=7,"Passive","Detractor")))</f>
        <v>Detractor</v>
      </c>
    </row>
    <row r="331" spans="1:17" ht="14.25" customHeight="1" x14ac:dyDescent="0.3">
      <c r="A331" s="1" t="s">
        <v>357</v>
      </c>
      <c r="B331" s="1" t="s">
        <v>21</v>
      </c>
      <c r="C331" s="1" t="s">
        <v>16</v>
      </c>
      <c r="D331" s="1" t="str">
        <f>IF(Data[[#This Row],[Cancellation Status]]="No", "High Potential", "Normal")</f>
        <v>High Potential</v>
      </c>
      <c r="E331" s="2">
        <v>45947</v>
      </c>
      <c r="F331" s="2">
        <v>45951</v>
      </c>
      <c r="G331" s="2">
        <v>45955</v>
      </c>
      <c r="H331" s="2">
        <v>45957</v>
      </c>
      <c r="I331" s="1" t="s">
        <v>17</v>
      </c>
      <c r="K331" s="2">
        <v>45981</v>
      </c>
      <c r="L331" s="88">
        <f>IF(OR(Data[[#This Row],[Service Follow-up Date]]="",Data[[#This Row],[Delivery Date]]=""),"",INT(Data[[#This Row],[Service Follow-up Date]]-Data[[#This Row],[Delivery Date]]))</f>
        <v>24</v>
      </c>
      <c r="M331" s="1">
        <v>4</v>
      </c>
      <c r="N331" s="1">
        <v>4</v>
      </c>
      <c r="O331" s="1">
        <v>2</v>
      </c>
      <c r="P331" s="1">
        <v>2</v>
      </c>
      <c r="Q331" t="str">
        <f>IF(ISBLANK(Data[[#This Row],[Customer Rating]]),"No Rating",IF(Data[[#This Row],[Customer Rating]]&gt;=9,"Promoter",IF(Data[[#This Row],[Customer Rating]]&gt;=7,"Passive","Detractor")))</f>
        <v>Detractor</v>
      </c>
    </row>
    <row r="332" spans="1:17" ht="14.25" customHeight="1" x14ac:dyDescent="0.3">
      <c r="A332" s="1" t="s">
        <v>358</v>
      </c>
      <c r="B332" s="1" t="s">
        <v>32</v>
      </c>
      <c r="C332" s="1" t="s">
        <v>30</v>
      </c>
      <c r="D332" s="1" t="str">
        <f>IF(Data[[#This Row],[Cancellation Status]]="No", "High Potential", "Normal")</f>
        <v>High Potential</v>
      </c>
      <c r="E332" s="2">
        <v>45951</v>
      </c>
      <c r="F332" s="2">
        <v>45955</v>
      </c>
      <c r="G332" s="2">
        <v>45958</v>
      </c>
      <c r="H332" s="2">
        <v>45963</v>
      </c>
      <c r="I332" s="1" t="s">
        <v>17</v>
      </c>
      <c r="K332" s="2">
        <v>45978</v>
      </c>
      <c r="L332" s="88">
        <f>IF(OR(Data[[#This Row],[Service Follow-up Date]]="",Data[[#This Row],[Delivery Date]]=""),"",INT(Data[[#This Row],[Service Follow-up Date]]-Data[[#This Row],[Delivery Date]]))</f>
        <v>15</v>
      </c>
      <c r="M332" s="1">
        <v>4</v>
      </c>
      <c r="N332" s="1">
        <v>3</v>
      </c>
      <c r="O332" s="1">
        <v>5</v>
      </c>
      <c r="P332" s="1">
        <v>1</v>
      </c>
      <c r="Q332" t="str">
        <f>IF(ISBLANK(Data[[#This Row],[Customer Rating]]),"No Rating",IF(Data[[#This Row],[Customer Rating]]&gt;=9,"Promoter",IF(Data[[#This Row],[Customer Rating]]&gt;=7,"Passive","Detractor")))</f>
        <v>Detractor</v>
      </c>
    </row>
    <row r="333" spans="1:17" ht="14.25" customHeight="1" x14ac:dyDescent="0.3">
      <c r="A333" s="1" t="s">
        <v>359</v>
      </c>
      <c r="B333" s="1" t="s">
        <v>21</v>
      </c>
      <c r="C333" s="1" t="s">
        <v>16</v>
      </c>
      <c r="D333" s="1" t="str">
        <f>IF(Data[[#This Row],[Cancellation Status]]="No", "High Potential", "Normal")</f>
        <v>High Potential</v>
      </c>
      <c r="E333" s="2">
        <v>45945</v>
      </c>
      <c r="F333" s="2">
        <v>45948</v>
      </c>
      <c r="G333" s="2">
        <v>45949</v>
      </c>
      <c r="H333" s="2">
        <v>45952</v>
      </c>
      <c r="I333" s="1" t="s">
        <v>17</v>
      </c>
      <c r="K333" s="2">
        <v>45967</v>
      </c>
      <c r="L333" s="88">
        <f>IF(OR(Data[[#This Row],[Service Follow-up Date]]="",Data[[#This Row],[Delivery Date]]=""),"",INT(Data[[#This Row],[Service Follow-up Date]]-Data[[#This Row],[Delivery Date]]))</f>
        <v>15</v>
      </c>
      <c r="M333" s="1">
        <v>3</v>
      </c>
      <c r="N333" s="1">
        <v>1</v>
      </c>
      <c r="O333" s="1">
        <v>3</v>
      </c>
      <c r="P333" s="1">
        <v>0</v>
      </c>
      <c r="Q333" t="str">
        <f>IF(ISBLANK(Data[[#This Row],[Customer Rating]]),"No Rating",IF(Data[[#This Row],[Customer Rating]]&gt;=9,"Promoter",IF(Data[[#This Row],[Customer Rating]]&gt;=7,"Passive","Detractor")))</f>
        <v>Detractor</v>
      </c>
    </row>
    <row r="334" spans="1:17" ht="14.25" customHeight="1" x14ac:dyDescent="0.3">
      <c r="A334" s="1" t="s">
        <v>360</v>
      </c>
      <c r="B334" s="1" t="s">
        <v>15</v>
      </c>
      <c r="C334" s="1" t="s">
        <v>30</v>
      </c>
      <c r="D334" s="1" t="str">
        <f>IF(Data[[#This Row],[Cancellation Status]]="No", "High Potential", "Normal")</f>
        <v>High Potential</v>
      </c>
      <c r="E334" s="2">
        <v>45960</v>
      </c>
      <c r="F334" s="2">
        <v>45965</v>
      </c>
      <c r="G334" s="2">
        <v>45969</v>
      </c>
      <c r="H334" s="2">
        <v>45976</v>
      </c>
      <c r="I334" s="1" t="s">
        <v>17</v>
      </c>
      <c r="K334" s="2">
        <v>45992</v>
      </c>
      <c r="L334" s="88">
        <f>IF(OR(Data[[#This Row],[Service Follow-up Date]]="",Data[[#This Row],[Delivery Date]]=""),"",INT(Data[[#This Row],[Service Follow-up Date]]-Data[[#This Row],[Delivery Date]]))</f>
        <v>16</v>
      </c>
      <c r="M334" s="1">
        <v>5</v>
      </c>
      <c r="N334" s="1">
        <v>4</v>
      </c>
      <c r="O334" s="1">
        <v>7</v>
      </c>
      <c r="P334" s="1">
        <v>2</v>
      </c>
      <c r="Q334" t="str">
        <f>IF(ISBLANK(Data[[#This Row],[Customer Rating]]),"No Rating",IF(Data[[#This Row],[Customer Rating]]&gt;=9,"Promoter",IF(Data[[#This Row],[Customer Rating]]&gt;=7,"Passive","Detractor")))</f>
        <v>Detractor</v>
      </c>
    </row>
    <row r="335" spans="1:17" ht="14.25" customHeight="1" x14ac:dyDescent="0.3">
      <c r="A335" s="1" t="s">
        <v>361</v>
      </c>
      <c r="B335" s="1" t="s">
        <v>21</v>
      </c>
      <c r="C335" s="1" t="s">
        <v>16</v>
      </c>
      <c r="D335" s="1" t="str">
        <f>IF(Data[[#This Row],[Cancellation Status]]="No", "High Potential", "Normal")</f>
        <v>High Potential</v>
      </c>
      <c r="E335" s="2">
        <v>45939</v>
      </c>
      <c r="F335" s="2">
        <v>45940</v>
      </c>
      <c r="G335" s="2">
        <v>45943</v>
      </c>
      <c r="H335" s="2">
        <v>45946</v>
      </c>
      <c r="I335" s="1" t="s">
        <v>17</v>
      </c>
      <c r="K335" s="2">
        <v>45962</v>
      </c>
      <c r="L335" s="88">
        <f>IF(OR(Data[[#This Row],[Service Follow-up Date]]="",Data[[#This Row],[Delivery Date]]=""),"",INT(Data[[#This Row],[Service Follow-up Date]]-Data[[#This Row],[Delivery Date]]))</f>
        <v>16</v>
      </c>
      <c r="M335" s="1">
        <v>1</v>
      </c>
      <c r="N335" s="1">
        <v>3</v>
      </c>
      <c r="O335" s="1">
        <v>3</v>
      </c>
      <c r="P335" s="1">
        <v>2</v>
      </c>
      <c r="Q335" t="str">
        <f>IF(ISBLANK(Data[[#This Row],[Customer Rating]]),"No Rating",IF(Data[[#This Row],[Customer Rating]]&gt;=9,"Promoter",IF(Data[[#This Row],[Customer Rating]]&gt;=7,"Passive","Detractor")))</f>
        <v>Detractor</v>
      </c>
    </row>
    <row r="336" spans="1:17" ht="14.25" customHeight="1" x14ac:dyDescent="0.3">
      <c r="A336" s="1" t="s">
        <v>362</v>
      </c>
      <c r="B336" s="1" t="s">
        <v>21</v>
      </c>
      <c r="C336" s="1" t="s">
        <v>30</v>
      </c>
      <c r="D336" s="1" t="str">
        <f>IF(Data[[#This Row],[Cancellation Status]]="No", "High Potential", "Normal")</f>
        <v>High Potential</v>
      </c>
      <c r="E336" s="2">
        <v>45936</v>
      </c>
      <c r="F336" s="2">
        <v>45939</v>
      </c>
      <c r="G336" s="2">
        <v>45940</v>
      </c>
      <c r="H336" s="2">
        <v>45947</v>
      </c>
      <c r="I336" s="1" t="s">
        <v>17</v>
      </c>
      <c r="K336" s="2">
        <v>45961</v>
      </c>
      <c r="L336" s="88">
        <f>IF(OR(Data[[#This Row],[Service Follow-up Date]]="",Data[[#This Row],[Delivery Date]]=""),"",INT(Data[[#This Row],[Service Follow-up Date]]-Data[[#This Row],[Delivery Date]]))</f>
        <v>14</v>
      </c>
      <c r="M336" s="1">
        <v>3</v>
      </c>
      <c r="N336" s="1">
        <v>1</v>
      </c>
      <c r="O336" s="1">
        <v>7</v>
      </c>
      <c r="P336" s="1">
        <v>1</v>
      </c>
      <c r="Q336" t="str">
        <f>IF(ISBLANK(Data[[#This Row],[Customer Rating]]),"No Rating",IF(Data[[#This Row],[Customer Rating]]&gt;=9,"Promoter",IF(Data[[#This Row],[Customer Rating]]&gt;=7,"Passive","Detractor")))</f>
        <v>Detractor</v>
      </c>
    </row>
    <row r="337" spans="1:17" ht="14.25" customHeight="1" x14ac:dyDescent="0.3">
      <c r="A337" s="1" t="s">
        <v>363</v>
      </c>
      <c r="B337" s="1" t="s">
        <v>21</v>
      </c>
      <c r="C337" s="1" t="s">
        <v>22</v>
      </c>
      <c r="D337" s="1" t="str">
        <f>IF(Data[[#This Row],[Cancellation Status]]="No", "High Potential", "Normal")</f>
        <v>Normal</v>
      </c>
      <c r="E337" s="2">
        <v>45949</v>
      </c>
      <c r="I337" s="1" t="s">
        <v>23</v>
      </c>
      <c r="J337" s="1" t="s">
        <v>101</v>
      </c>
      <c r="L337" s="88" t="str">
        <f>IF(OR(Data[[#This Row],[Service Follow-up Date]]="",Data[[#This Row],[Delivery Date]]=""),"",INT(Data[[#This Row],[Service Follow-up Date]]-Data[[#This Row],[Delivery Date]]))</f>
        <v/>
      </c>
      <c r="Q337" t="str">
        <f>IF(ISBLANK(Data[[#This Row],[Customer Rating]]),"No Rating",IF(Data[[#This Row],[Customer Rating]]&gt;=9,"Promoter",IF(Data[[#This Row],[Customer Rating]]&gt;=7,"Passive","Detractor")))</f>
        <v>No Rating</v>
      </c>
    </row>
    <row r="338" spans="1:17" ht="14.25" customHeight="1" x14ac:dyDescent="0.3">
      <c r="A338" s="1" t="s">
        <v>364</v>
      </c>
      <c r="B338" s="1" t="s">
        <v>21</v>
      </c>
      <c r="C338" s="1" t="s">
        <v>30</v>
      </c>
      <c r="D338" s="1" t="str">
        <f>IF(Data[[#This Row],[Cancellation Status]]="No", "High Potential", "Normal")</f>
        <v>High Potential</v>
      </c>
      <c r="E338" s="2">
        <v>45944</v>
      </c>
      <c r="F338" s="2">
        <v>45945</v>
      </c>
      <c r="G338" s="2">
        <v>45947</v>
      </c>
      <c r="H338" s="2">
        <v>45951</v>
      </c>
      <c r="I338" s="1" t="s">
        <v>17</v>
      </c>
      <c r="K338" s="2">
        <v>45962</v>
      </c>
      <c r="L338" s="88">
        <f>IF(OR(Data[[#This Row],[Service Follow-up Date]]="",Data[[#This Row],[Delivery Date]]=""),"",INT(Data[[#This Row],[Service Follow-up Date]]-Data[[#This Row],[Delivery Date]]))</f>
        <v>11</v>
      </c>
      <c r="M338" s="1">
        <v>1</v>
      </c>
      <c r="N338" s="1">
        <v>2</v>
      </c>
      <c r="O338" s="1">
        <v>4</v>
      </c>
      <c r="P338" s="1">
        <v>7</v>
      </c>
      <c r="Q338" t="str">
        <f>IF(ISBLANK(Data[[#This Row],[Customer Rating]]),"No Rating",IF(Data[[#This Row],[Customer Rating]]&gt;=9,"Promoter",IF(Data[[#This Row],[Customer Rating]]&gt;=7,"Passive","Detractor")))</f>
        <v>Passive</v>
      </c>
    </row>
    <row r="339" spans="1:17" ht="14.25" customHeight="1" x14ac:dyDescent="0.3">
      <c r="A339" s="1" t="s">
        <v>365</v>
      </c>
      <c r="B339" s="1" t="s">
        <v>32</v>
      </c>
      <c r="C339" s="1" t="s">
        <v>22</v>
      </c>
      <c r="D339" s="1" t="str">
        <f>IF(Data[[#This Row],[Cancellation Status]]="No", "High Potential", "Normal")</f>
        <v>Normal</v>
      </c>
      <c r="E339" s="2">
        <v>45951</v>
      </c>
      <c r="I339" s="1" t="s">
        <v>23</v>
      </c>
      <c r="J339" s="1" t="s">
        <v>63</v>
      </c>
      <c r="L339" s="88" t="str">
        <f>IF(OR(Data[[#This Row],[Service Follow-up Date]]="",Data[[#This Row],[Delivery Date]]=""),"",INT(Data[[#This Row],[Service Follow-up Date]]-Data[[#This Row],[Delivery Date]]))</f>
        <v/>
      </c>
      <c r="Q339" t="str">
        <f>IF(ISBLANK(Data[[#This Row],[Customer Rating]]),"No Rating",IF(Data[[#This Row],[Customer Rating]]&gt;=9,"Promoter",IF(Data[[#This Row],[Customer Rating]]&gt;=7,"Passive","Detractor")))</f>
        <v>No Rating</v>
      </c>
    </row>
    <row r="340" spans="1:17" ht="14.25" customHeight="1" x14ac:dyDescent="0.3">
      <c r="A340" s="1" t="s">
        <v>366</v>
      </c>
      <c r="B340" s="1" t="s">
        <v>15</v>
      </c>
      <c r="C340" s="1" t="s">
        <v>16</v>
      </c>
      <c r="D340" s="1" t="str">
        <f>IF(Data[[#This Row],[Cancellation Status]]="No", "High Potential", "Normal")</f>
        <v>High Potential</v>
      </c>
      <c r="E340" s="2">
        <v>45957</v>
      </c>
      <c r="F340" s="2">
        <v>45960</v>
      </c>
      <c r="G340" s="2">
        <v>45965</v>
      </c>
      <c r="H340" s="2">
        <v>45968</v>
      </c>
      <c r="I340" s="1" t="s">
        <v>17</v>
      </c>
      <c r="K340" s="2">
        <v>45991</v>
      </c>
      <c r="L340" s="88">
        <f>IF(OR(Data[[#This Row],[Service Follow-up Date]]="",Data[[#This Row],[Delivery Date]]=""),"",INT(Data[[#This Row],[Service Follow-up Date]]-Data[[#This Row],[Delivery Date]]))</f>
        <v>23</v>
      </c>
      <c r="M340" s="1">
        <v>3</v>
      </c>
      <c r="N340" s="1">
        <v>5</v>
      </c>
      <c r="O340" s="1">
        <v>3</v>
      </c>
      <c r="P340" s="1">
        <v>3</v>
      </c>
      <c r="Q340" t="str">
        <f>IF(ISBLANK(Data[[#This Row],[Customer Rating]]),"No Rating",IF(Data[[#This Row],[Customer Rating]]&gt;=9,"Promoter",IF(Data[[#This Row],[Customer Rating]]&gt;=7,"Passive","Detractor")))</f>
        <v>Detractor</v>
      </c>
    </row>
    <row r="341" spans="1:17" ht="14.25" customHeight="1" x14ac:dyDescent="0.3">
      <c r="A341" s="1" t="s">
        <v>367</v>
      </c>
      <c r="B341" s="1" t="s">
        <v>32</v>
      </c>
      <c r="C341" s="1" t="s">
        <v>22</v>
      </c>
      <c r="D341" s="1" t="str">
        <f>IF(Data[[#This Row],[Cancellation Status]]="No", "High Potential", "Normal")</f>
        <v>Normal</v>
      </c>
      <c r="E341" s="2">
        <v>45946</v>
      </c>
      <c r="I341" s="1" t="s">
        <v>23</v>
      </c>
      <c r="J341" s="1" t="s">
        <v>63</v>
      </c>
      <c r="L341" s="88" t="str">
        <f>IF(OR(Data[[#This Row],[Service Follow-up Date]]="",Data[[#This Row],[Delivery Date]]=""),"",INT(Data[[#This Row],[Service Follow-up Date]]-Data[[#This Row],[Delivery Date]]))</f>
        <v/>
      </c>
      <c r="Q341" t="str">
        <f>IF(ISBLANK(Data[[#This Row],[Customer Rating]]),"No Rating",IF(Data[[#This Row],[Customer Rating]]&gt;=9,"Promoter",IF(Data[[#This Row],[Customer Rating]]&gt;=7,"Passive","Detractor")))</f>
        <v>No Rating</v>
      </c>
    </row>
    <row r="342" spans="1:17" ht="14.25" customHeight="1" x14ac:dyDescent="0.3">
      <c r="A342" s="1" t="s">
        <v>368</v>
      </c>
      <c r="B342" s="1" t="s">
        <v>32</v>
      </c>
      <c r="C342" s="1" t="s">
        <v>16</v>
      </c>
      <c r="D342" s="1" t="str">
        <f>IF(Data[[#This Row],[Cancellation Status]]="No", "High Potential", "Normal")</f>
        <v>High Potential</v>
      </c>
      <c r="E342" s="2">
        <v>45933</v>
      </c>
      <c r="F342" s="2">
        <v>45934</v>
      </c>
      <c r="G342" s="2">
        <v>45935</v>
      </c>
      <c r="H342" s="2">
        <v>45939</v>
      </c>
      <c r="I342" s="1" t="s">
        <v>17</v>
      </c>
      <c r="K342" s="2">
        <v>45951</v>
      </c>
      <c r="L342" s="88">
        <f>IF(OR(Data[[#This Row],[Service Follow-up Date]]="",Data[[#This Row],[Delivery Date]]=""),"",INT(Data[[#This Row],[Service Follow-up Date]]-Data[[#This Row],[Delivery Date]]))</f>
        <v>12</v>
      </c>
      <c r="M342" s="1">
        <v>1</v>
      </c>
      <c r="N342" s="1">
        <v>1</v>
      </c>
      <c r="O342" s="1">
        <v>4</v>
      </c>
      <c r="P342" s="1">
        <v>10</v>
      </c>
      <c r="Q342" t="str">
        <f>IF(ISBLANK(Data[[#This Row],[Customer Rating]]),"No Rating",IF(Data[[#This Row],[Customer Rating]]&gt;=9,"Promoter",IF(Data[[#This Row],[Customer Rating]]&gt;=7,"Passive","Detractor")))</f>
        <v>Promoter</v>
      </c>
    </row>
    <row r="343" spans="1:17" ht="14.25" customHeight="1" x14ac:dyDescent="0.3">
      <c r="A343" s="1" t="s">
        <v>369</v>
      </c>
      <c r="B343" s="1" t="s">
        <v>21</v>
      </c>
      <c r="C343" s="1" t="s">
        <v>16</v>
      </c>
      <c r="D343" s="1" t="str">
        <f>IF(Data[[#This Row],[Cancellation Status]]="No", "High Potential", "Normal")</f>
        <v>High Potential</v>
      </c>
      <c r="E343" s="2">
        <v>45946</v>
      </c>
      <c r="F343" s="2">
        <v>45951</v>
      </c>
      <c r="G343" s="2">
        <v>45952</v>
      </c>
      <c r="H343" s="2">
        <v>45954</v>
      </c>
      <c r="I343" s="1" t="s">
        <v>17</v>
      </c>
      <c r="K343" s="2">
        <v>45977</v>
      </c>
      <c r="L343" s="88">
        <f>IF(OR(Data[[#This Row],[Service Follow-up Date]]="",Data[[#This Row],[Delivery Date]]=""),"",INT(Data[[#This Row],[Service Follow-up Date]]-Data[[#This Row],[Delivery Date]]))</f>
        <v>23</v>
      </c>
      <c r="M343" s="1">
        <v>5</v>
      </c>
      <c r="N343" s="1">
        <v>1</v>
      </c>
      <c r="O343" s="1">
        <v>2</v>
      </c>
      <c r="P343" s="1">
        <v>1</v>
      </c>
      <c r="Q343" t="str">
        <f>IF(ISBLANK(Data[[#This Row],[Customer Rating]]),"No Rating",IF(Data[[#This Row],[Customer Rating]]&gt;=9,"Promoter",IF(Data[[#This Row],[Customer Rating]]&gt;=7,"Passive","Detractor")))</f>
        <v>Detractor</v>
      </c>
    </row>
    <row r="344" spans="1:17" ht="14.25" customHeight="1" x14ac:dyDescent="0.3">
      <c r="A344" s="1" t="s">
        <v>370</v>
      </c>
      <c r="B344" s="1" t="s">
        <v>19</v>
      </c>
      <c r="C344" s="1" t="s">
        <v>16</v>
      </c>
      <c r="D344" s="1" t="str">
        <f>IF(Data[[#This Row],[Cancellation Status]]="No", "High Potential", "Normal")</f>
        <v>High Potential</v>
      </c>
      <c r="E344" s="2">
        <v>45942</v>
      </c>
      <c r="F344" s="2">
        <v>45946</v>
      </c>
      <c r="G344" s="2">
        <v>45950</v>
      </c>
      <c r="H344" s="2">
        <v>45957</v>
      </c>
      <c r="I344" s="1" t="s">
        <v>17</v>
      </c>
      <c r="K344" s="2">
        <v>45973</v>
      </c>
      <c r="L344" s="88">
        <f>IF(OR(Data[[#This Row],[Service Follow-up Date]]="",Data[[#This Row],[Delivery Date]]=""),"",INT(Data[[#This Row],[Service Follow-up Date]]-Data[[#This Row],[Delivery Date]]))</f>
        <v>16</v>
      </c>
      <c r="M344" s="1">
        <v>4</v>
      </c>
      <c r="N344" s="1">
        <v>4</v>
      </c>
      <c r="O344" s="1">
        <v>7</v>
      </c>
      <c r="P344" s="1">
        <v>4</v>
      </c>
      <c r="Q344" t="str">
        <f>IF(ISBLANK(Data[[#This Row],[Customer Rating]]),"No Rating",IF(Data[[#This Row],[Customer Rating]]&gt;=9,"Promoter",IF(Data[[#This Row],[Customer Rating]]&gt;=7,"Passive","Detractor")))</f>
        <v>Detractor</v>
      </c>
    </row>
    <row r="345" spans="1:17" ht="14.25" customHeight="1" x14ac:dyDescent="0.3">
      <c r="A345" s="1" t="s">
        <v>371</v>
      </c>
      <c r="B345" s="1" t="s">
        <v>19</v>
      </c>
      <c r="C345" s="1" t="s">
        <v>16</v>
      </c>
      <c r="D345" s="1" t="str">
        <f>IF(Data[[#This Row],[Cancellation Status]]="No", "High Potential", "Normal")</f>
        <v>High Potential</v>
      </c>
      <c r="E345" s="2">
        <v>45944</v>
      </c>
      <c r="F345" s="2">
        <v>45947</v>
      </c>
      <c r="G345" s="2">
        <v>45950</v>
      </c>
      <c r="H345" s="2">
        <v>45954</v>
      </c>
      <c r="I345" s="1" t="s">
        <v>17</v>
      </c>
      <c r="K345" s="2">
        <v>45984</v>
      </c>
      <c r="L345" s="88">
        <f>IF(OR(Data[[#This Row],[Service Follow-up Date]]="",Data[[#This Row],[Delivery Date]]=""),"",INT(Data[[#This Row],[Service Follow-up Date]]-Data[[#This Row],[Delivery Date]]))</f>
        <v>30</v>
      </c>
      <c r="M345" s="1">
        <v>3</v>
      </c>
      <c r="N345" s="1">
        <v>3</v>
      </c>
      <c r="O345" s="1">
        <v>4</v>
      </c>
      <c r="P345" s="1">
        <v>8</v>
      </c>
      <c r="Q345" t="str">
        <f>IF(ISBLANK(Data[[#This Row],[Customer Rating]]),"No Rating",IF(Data[[#This Row],[Customer Rating]]&gt;=9,"Promoter",IF(Data[[#This Row],[Customer Rating]]&gt;=7,"Passive","Detractor")))</f>
        <v>Passive</v>
      </c>
    </row>
    <row r="346" spans="1:17" ht="14.25" customHeight="1" x14ac:dyDescent="0.3">
      <c r="A346" s="1" t="s">
        <v>372</v>
      </c>
      <c r="B346" s="1" t="s">
        <v>32</v>
      </c>
      <c r="C346" s="1" t="s">
        <v>16</v>
      </c>
      <c r="D346" s="1" t="str">
        <f>IF(Data[[#This Row],[Cancellation Status]]="No", "High Potential", "Normal")</f>
        <v>High Potential</v>
      </c>
      <c r="E346" s="2">
        <v>45941</v>
      </c>
      <c r="F346" s="2">
        <v>45944</v>
      </c>
      <c r="G346" s="2">
        <v>45945</v>
      </c>
      <c r="H346" s="2">
        <v>45949</v>
      </c>
      <c r="I346" s="1" t="s">
        <v>17</v>
      </c>
      <c r="K346" s="2">
        <v>45963</v>
      </c>
      <c r="L346" s="88">
        <f>IF(OR(Data[[#This Row],[Service Follow-up Date]]="",Data[[#This Row],[Delivery Date]]=""),"",INT(Data[[#This Row],[Service Follow-up Date]]-Data[[#This Row],[Delivery Date]]))</f>
        <v>14</v>
      </c>
      <c r="M346" s="1">
        <v>3</v>
      </c>
      <c r="N346" s="1">
        <v>1</v>
      </c>
      <c r="O346" s="1">
        <v>4</v>
      </c>
      <c r="P346" s="1">
        <v>3</v>
      </c>
      <c r="Q346" t="str">
        <f>IF(ISBLANK(Data[[#This Row],[Customer Rating]]),"No Rating",IF(Data[[#This Row],[Customer Rating]]&gt;=9,"Promoter",IF(Data[[#This Row],[Customer Rating]]&gt;=7,"Passive","Detractor")))</f>
        <v>Detractor</v>
      </c>
    </row>
    <row r="347" spans="1:17" ht="14.25" customHeight="1" x14ac:dyDescent="0.3">
      <c r="A347" s="1" t="s">
        <v>373</v>
      </c>
      <c r="B347" s="1" t="s">
        <v>32</v>
      </c>
      <c r="C347" s="1" t="s">
        <v>16</v>
      </c>
      <c r="D347" s="1" t="str">
        <f>IF(Data[[#This Row],[Cancellation Status]]="No", "High Potential", "Normal")</f>
        <v>High Potential</v>
      </c>
      <c r="E347" s="2">
        <v>45941</v>
      </c>
      <c r="F347" s="2">
        <v>45946</v>
      </c>
      <c r="G347" s="2">
        <v>45951</v>
      </c>
      <c r="H347" s="2">
        <v>45953</v>
      </c>
      <c r="I347" s="1" t="s">
        <v>17</v>
      </c>
      <c r="K347" s="2">
        <v>45982</v>
      </c>
      <c r="L347" s="88">
        <f>IF(OR(Data[[#This Row],[Service Follow-up Date]]="",Data[[#This Row],[Delivery Date]]=""),"",INT(Data[[#This Row],[Service Follow-up Date]]-Data[[#This Row],[Delivery Date]]))</f>
        <v>29</v>
      </c>
      <c r="M347" s="1">
        <v>5</v>
      </c>
      <c r="N347" s="1">
        <v>5</v>
      </c>
      <c r="O347" s="1">
        <v>2</v>
      </c>
      <c r="P347" s="1">
        <v>6</v>
      </c>
      <c r="Q347" t="str">
        <f>IF(ISBLANK(Data[[#This Row],[Customer Rating]]),"No Rating",IF(Data[[#This Row],[Customer Rating]]&gt;=9,"Promoter",IF(Data[[#This Row],[Customer Rating]]&gt;=7,"Passive","Detractor")))</f>
        <v>Detractor</v>
      </c>
    </row>
    <row r="348" spans="1:17" ht="14.25" customHeight="1" x14ac:dyDescent="0.3">
      <c r="A348" s="1" t="s">
        <v>374</v>
      </c>
      <c r="B348" s="1" t="s">
        <v>21</v>
      </c>
      <c r="C348" s="1" t="s">
        <v>16</v>
      </c>
      <c r="D348" s="1" t="str">
        <f>IF(Data[[#This Row],[Cancellation Status]]="No", "High Potential", "Normal")</f>
        <v>High Potential</v>
      </c>
      <c r="E348" s="2">
        <v>45952</v>
      </c>
      <c r="F348" s="2">
        <v>45954</v>
      </c>
      <c r="G348" s="2">
        <v>45955</v>
      </c>
      <c r="H348" s="2">
        <v>45959</v>
      </c>
      <c r="I348" s="1" t="s">
        <v>17</v>
      </c>
      <c r="K348" s="2">
        <v>45977</v>
      </c>
      <c r="L348" s="88">
        <f>IF(OR(Data[[#This Row],[Service Follow-up Date]]="",Data[[#This Row],[Delivery Date]]=""),"",INT(Data[[#This Row],[Service Follow-up Date]]-Data[[#This Row],[Delivery Date]]))</f>
        <v>18</v>
      </c>
      <c r="M348" s="1">
        <v>2</v>
      </c>
      <c r="N348" s="1">
        <v>1</v>
      </c>
      <c r="O348" s="1">
        <v>4</v>
      </c>
      <c r="P348" s="1">
        <v>4</v>
      </c>
      <c r="Q348" t="str">
        <f>IF(ISBLANK(Data[[#This Row],[Customer Rating]]),"No Rating",IF(Data[[#This Row],[Customer Rating]]&gt;=9,"Promoter",IF(Data[[#This Row],[Customer Rating]]&gt;=7,"Passive","Detractor")))</f>
        <v>Detractor</v>
      </c>
    </row>
    <row r="349" spans="1:17" ht="14.25" customHeight="1" x14ac:dyDescent="0.3">
      <c r="A349" s="1" t="s">
        <v>375</v>
      </c>
      <c r="B349" s="1" t="s">
        <v>32</v>
      </c>
      <c r="C349" s="1" t="s">
        <v>30</v>
      </c>
      <c r="D349" s="1" t="str">
        <f>IF(Data[[#This Row],[Cancellation Status]]="No", "High Potential", "Normal")</f>
        <v>High Potential</v>
      </c>
      <c r="E349" s="2">
        <v>45934</v>
      </c>
      <c r="F349" s="2">
        <v>45937</v>
      </c>
      <c r="G349" s="2">
        <v>45938</v>
      </c>
      <c r="H349" s="2">
        <v>45945</v>
      </c>
      <c r="I349" s="1" t="s">
        <v>17</v>
      </c>
      <c r="K349" s="2">
        <v>45965</v>
      </c>
      <c r="L349" s="88">
        <f>IF(OR(Data[[#This Row],[Service Follow-up Date]]="",Data[[#This Row],[Delivery Date]]=""),"",INT(Data[[#This Row],[Service Follow-up Date]]-Data[[#This Row],[Delivery Date]]))</f>
        <v>20</v>
      </c>
      <c r="M349" s="1">
        <v>3</v>
      </c>
      <c r="N349" s="1">
        <v>1</v>
      </c>
      <c r="O349" s="1">
        <v>7</v>
      </c>
      <c r="P349" s="1">
        <v>8</v>
      </c>
      <c r="Q349" t="str">
        <f>IF(ISBLANK(Data[[#This Row],[Customer Rating]]),"No Rating",IF(Data[[#This Row],[Customer Rating]]&gt;=9,"Promoter",IF(Data[[#This Row],[Customer Rating]]&gt;=7,"Passive","Detractor")))</f>
        <v>Passive</v>
      </c>
    </row>
    <row r="350" spans="1:17" ht="14.25" customHeight="1" x14ac:dyDescent="0.3">
      <c r="A350" s="1" t="s">
        <v>376</v>
      </c>
      <c r="B350" s="1" t="s">
        <v>21</v>
      </c>
      <c r="C350" s="1" t="s">
        <v>16</v>
      </c>
      <c r="D350" s="1" t="str">
        <f>IF(Data[[#This Row],[Cancellation Status]]="No", "High Potential", "Normal")</f>
        <v>High Potential</v>
      </c>
      <c r="E350" s="2">
        <v>45958</v>
      </c>
      <c r="F350" s="2">
        <v>45959</v>
      </c>
      <c r="G350" s="2">
        <v>45963</v>
      </c>
      <c r="H350" s="2">
        <v>45970</v>
      </c>
      <c r="I350" s="1" t="s">
        <v>17</v>
      </c>
      <c r="K350" s="2">
        <v>45982</v>
      </c>
      <c r="L350" s="88">
        <f>IF(OR(Data[[#This Row],[Service Follow-up Date]]="",Data[[#This Row],[Delivery Date]]=""),"",INT(Data[[#This Row],[Service Follow-up Date]]-Data[[#This Row],[Delivery Date]]))</f>
        <v>12</v>
      </c>
      <c r="M350" s="1">
        <v>1</v>
      </c>
      <c r="N350" s="1">
        <v>4</v>
      </c>
      <c r="O350" s="1">
        <v>7</v>
      </c>
      <c r="P350" s="1">
        <v>4</v>
      </c>
      <c r="Q350" t="str">
        <f>IF(ISBLANK(Data[[#This Row],[Customer Rating]]),"No Rating",IF(Data[[#This Row],[Customer Rating]]&gt;=9,"Promoter",IF(Data[[#This Row],[Customer Rating]]&gt;=7,"Passive","Detractor")))</f>
        <v>Detractor</v>
      </c>
    </row>
    <row r="351" spans="1:17" ht="14.25" customHeight="1" x14ac:dyDescent="0.3">
      <c r="A351" s="1" t="s">
        <v>377</v>
      </c>
      <c r="B351" s="1" t="s">
        <v>19</v>
      </c>
      <c r="C351" s="1" t="s">
        <v>16</v>
      </c>
      <c r="D351" s="1" t="str">
        <f>IF(Data[[#This Row],[Cancellation Status]]="No", "High Potential", "Normal")</f>
        <v>High Potential</v>
      </c>
      <c r="E351" s="2">
        <v>45936</v>
      </c>
      <c r="F351" s="2">
        <v>45941</v>
      </c>
      <c r="G351" s="2">
        <v>45942</v>
      </c>
      <c r="H351" s="2">
        <v>45945</v>
      </c>
      <c r="I351" s="1" t="s">
        <v>17</v>
      </c>
      <c r="K351" s="2">
        <v>45957</v>
      </c>
      <c r="L351" s="88">
        <f>IF(OR(Data[[#This Row],[Service Follow-up Date]]="",Data[[#This Row],[Delivery Date]]=""),"",INT(Data[[#This Row],[Service Follow-up Date]]-Data[[#This Row],[Delivery Date]]))</f>
        <v>12</v>
      </c>
      <c r="M351" s="1">
        <v>5</v>
      </c>
      <c r="N351" s="1">
        <v>1</v>
      </c>
      <c r="O351" s="1">
        <v>3</v>
      </c>
      <c r="P351" s="1">
        <v>6</v>
      </c>
      <c r="Q351" t="str">
        <f>IF(ISBLANK(Data[[#This Row],[Customer Rating]]),"No Rating",IF(Data[[#This Row],[Customer Rating]]&gt;=9,"Promoter",IF(Data[[#This Row],[Customer Rating]]&gt;=7,"Passive","Detractor")))</f>
        <v>Detractor</v>
      </c>
    </row>
    <row r="352" spans="1:17" ht="14.25" customHeight="1" x14ac:dyDescent="0.3">
      <c r="A352" s="1" t="s">
        <v>378</v>
      </c>
      <c r="B352" s="1" t="s">
        <v>19</v>
      </c>
      <c r="C352" s="1" t="s">
        <v>16</v>
      </c>
      <c r="D352" s="1" t="str">
        <f>IF(Data[[#This Row],[Cancellation Status]]="No", "High Potential", "Normal")</f>
        <v>Normal</v>
      </c>
      <c r="E352" s="2">
        <v>45941</v>
      </c>
      <c r="F352" s="2">
        <v>45943</v>
      </c>
      <c r="G352" s="2">
        <v>45946</v>
      </c>
      <c r="H352" s="2">
        <v>45948</v>
      </c>
      <c r="I352" s="1" t="s">
        <v>23</v>
      </c>
      <c r="J352" s="1" t="s">
        <v>24</v>
      </c>
      <c r="L352" s="88" t="str">
        <f>IF(OR(Data[[#This Row],[Service Follow-up Date]]="",Data[[#This Row],[Delivery Date]]=""),"",INT(Data[[#This Row],[Service Follow-up Date]]-Data[[#This Row],[Delivery Date]]))</f>
        <v/>
      </c>
      <c r="M352" s="1">
        <v>2</v>
      </c>
      <c r="N352" s="1">
        <v>3</v>
      </c>
      <c r="O352" s="1">
        <v>2</v>
      </c>
      <c r="Q352" t="str">
        <f>IF(ISBLANK(Data[[#This Row],[Customer Rating]]),"No Rating",IF(Data[[#This Row],[Customer Rating]]&gt;=9,"Promoter",IF(Data[[#This Row],[Customer Rating]]&gt;=7,"Passive","Detractor")))</f>
        <v>No Rating</v>
      </c>
    </row>
    <row r="353" spans="1:17" ht="14.25" customHeight="1" x14ac:dyDescent="0.3">
      <c r="A353" s="1" t="s">
        <v>379</v>
      </c>
      <c r="B353" s="1" t="s">
        <v>15</v>
      </c>
      <c r="C353" s="1" t="s">
        <v>16</v>
      </c>
      <c r="D353" s="1" t="str">
        <f>IF(Data[[#This Row],[Cancellation Status]]="No", "High Potential", "Normal")</f>
        <v>Normal</v>
      </c>
      <c r="E353" s="2">
        <v>45944</v>
      </c>
      <c r="F353" s="2">
        <v>45947</v>
      </c>
      <c r="G353" s="2">
        <v>45951</v>
      </c>
      <c r="H353" s="2">
        <v>45956</v>
      </c>
      <c r="I353" s="1" t="s">
        <v>23</v>
      </c>
      <c r="J353" s="1" t="s">
        <v>33</v>
      </c>
      <c r="L353" s="88" t="str">
        <f>IF(OR(Data[[#This Row],[Service Follow-up Date]]="",Data[[#This Row],[Delivery Date]]=""),"",INT(Data[[#This Row],[Service Follow-up Date]]-Data[[#This Row],[Delivery Date]]))</f>
        <v/>
      </c>
      <c r="M353" s="1">
        <v>3</v>
      </c>
      <c r="N353" s="1">
        <v>4</v>
      </c>
      <c r="O353" s="1">
        <v>5</v>
      </c>
      <c r="Q353" t="str">
        <f>IF(ISBLANK(Data[[#This Row],[Customer Rating]]),"No Rating",IF(Data[[#This Row],[Customer Rating]]&gt;=9,"Promoter",IF(Data[[#This Row],[Customer Rating]]&gt;=7,"Passive","Detractor")))</f>
        <v>No Rating</v>
      </c>
    </row>
    <row r="354" spans="1:17" ht="14.25" customHeight="1" x14ac:dyDescent="0.3">
      <c r="A354" s="1" t="s">
        <v>380</v>
      </c>
      <c r="B354" s="1" t="s">
        <v>19</v>
      </c>
      <c r="C354" s="1" t="s">
        <v>16</v>
      </c>
      <c r="D354" s="1" t="str">
        <f>IF(Data[[#This Row],[Cancellation Status]]="No", "High Potential", "Normal")</f>
        <v>High Potential</v>
      </c>
      <c r="E354" s="2">
        <v>45953</v>
      </c>
      <c r="F354" s="2">
        <v>45956</v>
      </c>
      <c r="G354" s="2">
        <v>45958</v>
      </c>
      <c r="H354" s="2">
        <v>45965</v>
      </c>
      <c r="I354" s="1" t="s">
        <v>17</v>
      </c>
      <c r="K354" s="2">
        <v>45987</v>
      </c>
      <c r="L354" s="88">
        <f>IF(OR(Data[[#This Row],[Service Follow-up Date]]="",Data[[#This Row],[Delivery Date]]=""),"",INT(Data[[#This Row],[Service Follow-up Date]]-Data[[#This Row],[Delivery Date]]))</f>
        <v>22</v>
      </c>
      <c r="M354" s="1">
        <v>3</v>
      </c>
      <c r="N354" s="1">
        <v>2</v>
      </c>
      <c r="O354" s="1">
        <v>7</v>
      </c>
      <c r="P354" s="1">
        <v>5</v>
      </c>
      <c r="Q354" t="str">
        <f>IF(ISBLANK(Data[[#This Row],[Customer Rating]]),"No Rating",IF(Data[[#This Row],[Customer Rating]]&gt;=9,"Promoter",IF(Data[[#This Row],[Customer Rating]]&gt;=7,"Passive","Detractor")))</f>
        <v>Detractor</v>
      </c>
    </row>
    <row r="355" spans="1:17" ht="14.25" customHeight="1" x14ac:dyDescent="0.3">
      <c r="A355" s="1" t="s">
        <v>381</v>
      </c>
      <c r="B355" s="1" t="s">
        <v>32</v>
      </c>
      <c r="C355" s="1" t="s">
        <v>22</v>
      </c>
      <c r="D355" s="1" t="str">
        <f>IF(Data[[#This Row],[Cancellation Status]]="No", "High Potential", "Normal")</f>
        <v>Normal</v>
      </c>
      <c r="E355" s="2">
        <v>45946</v>
      </c>
      <c r="I355" s="1" t="s">
        <v>23</v>
      </c>
      <c r="J355" s="1" t="s">
        <v>26</v>
      </c>
      <c r="L355" s="88" t="str">
        <f>IF(OR(Data[[#This Row],[Service Follow-up Date]]="",Data[[#This Row],[Delivery Date]]=""),"",INT(Data[[#This Row],[Service Follow-up Date]]-Data[[#This Row],[Delivery Date]]))</f>
        <v/>
      </c>
      <c r="Q355" t="str">
        <f>IF(ISBLANK(Data[[#This Row],[Customer Rating]]),"No Rating",IF(Data[[#This Row],[Customer Rating]]&gt;=9,"Promoter",IF(Data[[#This Row],[Customer Rating]]&gt;=7,"Passive","Detractor")))</f>
        <v>No Rating</v>
      </c>
    </row>
    <row r="356" spans="1:17" ht="14.25" customHeight="1" x14ac:dyDescent="0.3">
      <c r="A356" s="1" t="s">
        <v>382</v>
      </c>
      <c r="B356" s="1" t="s">
        <v>19</v>
      </c>
      <c r="C356" s="1" t="s">
        <v>30</v>
      </c>
      <c r="D356" s="1" t="str">
        <f>IF(Data[[#This Row],[Cancellation Status]]="No", "High Potential", "Normal")</f>
        <v>High Potential</v>
      </c>
      <c r="E356" s="2">
        <v>45940</v>
      </c>
      <c r="F356" s="2">
        <v>45944</v>
      </c>
      <c r="G356" s="2">
        <v>45946</v>
      </c>
      <c r="H356" s="2">
        <v>45950</v>
      </c>
      <c r="I356" s="1" t="s">
        <v>17</v>
      </c>
      <c r="K356" s="2">
        <v>45977</v>
      </c>
      <c r="L356" s="88">
        <f>IF(OR(Data[[#This Row],[Service Follow-up Date]]="",Data[[#This Row],[Delivery Date]]=""),"",INT(Data[[#This Row],[Service Follow-up Date]]-Data[[#This Row],[Delivery Date]]))</f>
        <v>27</v>
      </c>
      <c r="M356" s="1">
        <v>4</v>
      </c>
      <c r="N356" s="1">
        <v>2</v>
      </c>
      <c r="O356" s="1">
        <v>4</v>
      </c>
      <c r="P356" s="1">
        <v>2</v>
      </c>
      <c r="Q356" t="str">
        <f>IF(ISBLANK(Data[[#This Row],[Customer Rating]]),"No Rating",IF(Data[[#This Row],[Customer Rating]]&gt;=9,"Promoter",IF(Data[[#This Row],[Customer Rating]]&gt;=7,"Passive","Detractor")))</f>
        <v>Detractor</v>
      </c>
    </row>
    <row r="357" spans="1:17" ht="14.25" customHeight="1" x14ac:dyDescent="0.3">
      <c r="A357" s="1" t="s">
        <v>383</v>
      </c>
      <c r="B357" s="1" t="s">
        <v>21</v>
      </c>
      <c r="C357" s="1" t="s">
        <v>16</v>
      </c>
      <c r="D357" s="1" t="str">
        <f>IF(Data[[#This Row],[Cancellation Status]]="No", "High Potential", "Normal")</f>
        <v>High Potential</v>
      </c>
      <c r="E357" s="2">
        <v>45952</v>
      </c>
      <c r="F357" s="2">
        <v>45954</v>
      </c>
      <c r="G357" s="2">
        <v>45958</v>
      </c>
      <c r="H357" s="2">
        <v>45965</v>
      </c>
      <c r="I357" s="1" t="s">
        <v>17</v>
      </c>
      <c r="K357" s="2">
        <v>45987</v>
      </c>
      <c r="L357" s="88">
        <f>IF(OR(Data[[#This Row],[Service Follow-up Date]]="",Data[[#This Row],[Delivery Date]]=""),"",INT(Data[[#This Row],[Service Follow-up Date]]-Data[[#This Row],[Delivery Date]]))</f>
        <v>22</v>
      </c>
      <c r="M357" s="1">
        <v>2</v>
      </c>
      <c r="N357" s="1">
        <v>4</v>
      </c>
      <c r="O357" s="1">
        <v>7</v>
      </c>
      <c r="P357" s="1">
        <v>3</v>
      </c>
      <c r="Q357" t="str">
        <f>IF(ISBLANK(Data[[#This Row],[Customer Rating]]),"No Rating",IF(Data[[#This Row],[Customer Rating]]&gt;=9,"Promoter",IF(Data[[#This Row],[Customer Rating]]&gt;=7,"Passive","Detractor")))</f>
        <v>Detractor</v>
      </c>
    </row>
    <row r="358" spans="1:17" ht="14.25" customHeight="1" x14ac:dyDescent="0.3">
      <c r="A358" s="1" t="s">
        <v>384</v>
      </c>
      <c r="B358" s="1" t="s">
        <v>19</v>
      </c>
      <c r="C358" s="1" t="s">
        <v>16</v>
      </c>
      <c r="D358" s="1" t="str">
        <f>IF(Data[[#This Row],[Cancellation Status]]="No", "High Potential", "Normal")</f>
        <v>High Potential</v>
      </c>
      <c r="E358" s="2">
        <v>45961</v>
      </c>
      <c r="F358" s="2">
        <v>45966</v>
      </c>
      <c r="G358" s="2">
        <v>45969</v>
      </c>
      <c r="H358" s="2">
        <v>45976</v>
      </c>
      <c r="I358" s="1" t="s">
        <v>17</v>
      </c>
      <c r="K358" s="2">
        <v>46003</v>
      </c>
      <c r="L358" s="88">
        <f>IF(OR(Data[[#This Row],[Service Follow-up Date]]="",Data[[#This Row],[Delivery Date]]=""),"",INT(Data[[#This Row],[Service Follow-up Date]]-Data[[#This Row],[Delivery Date]]))</f>
        <v>27</v>
      </c>
      <c r="M358" s="1">
        <v>5</v>
      </c>
      <c r="N358" s="1">
        <v>3</v>
      </c>
      <c r="O358" s="1">
        <v>7</v>
      </c>
      <c r="P358" s="1">
        <v>10</v>
      </c>
      <c r="Q358" t="str">
        <f>IF(ISBLANK(Data[[#This Row],[Customer Rating]]),"No Rating",IF(Data[[#This Row],[Customer Rating]]&gt;=9,"Promoter",IF(Data[[#This Row],[Customer Rating]]&gt;=7,"Passive","Detractor")))</f>
        <v>Promoter</v>
      </c>
    </row>
    <row r="359" spans="1:17" ht="14.25" customHeight="1" x14ac:dyDescent="0.3">
      <c r="A359" s="1" t="s">
        <v>385</v>
      </c>
      <c r="B359" s="1" t="s">
        <v>15</v>
      </c>
      <c r="C359" s="1" t="s">
        <v>16</v>
      </c>
      <c r="D359" s="1" t="str">
        <f>IF(Data[[#This Row],[Cancellation Status]]="No", "High Potential", "Normal")</f>
        <v>High Potential</v>
      </c>
      <c r="E359" s="2">
        <v>45943</v>
      </c>
      <c r="F359" s="2">
        <v>45944</v>
      </c>
      <c r="G359" s="2">
        <v>45948</v>
      </c>
      <c r="H359" s="2">
        <v>45951</v>
      </c>
      <c r="I359" s="1" t="s">
        <v>17</v>
      </c>
      <c r="K359" s="2">
        <v>45971</v>
      </c>
      <c r="L359" s="88">
        <f>IF(OR(Data[[#This Row],[Service Follow-up Date]]="",Data[[#This Row],[Delivery Date]]=""),"",INT(Data[[#This Row],[Service Follow-up Date]]-Data[[#This Row],[Delivery Date]]))</f>
        <v>20</v>
      </c>
      <c r="M359" s="1">
        <v>1</v>
      </c>
      <c r="N359" s="1">
        <v>4</v>
      </c>
      <c r="O359" s="1">
        <v>3</v>
      </c>
      <c r="P359" s="1">
        <v>3</v>
      </c>
      <c r="Q359" t="str">
        <f>IF(ISBLANK(Data[[#This Row],[Customer Rating]]),"No Rating",IF(Data[[#This Row],[Customer Rating]]&gt;=9,"Promoter",IF(Data[[#This Row],[Customer Rating]]&gt;=7,"Passive","Detractor")))</f>
        <v>Detractor</v>
      </c>
    </row>
    <row r="360" spans="1:17" ht="14.25" customHeight="1" x14ac:dyDescent="0.3">
      <c r="A360" s="1" t="s">
        <v>386</v>
      </c>
      <c r="B360" s="1" t="s">
        <v>19</v>
      </c>
      <c r="C360" s="1" t="s">
        <v>22</v>
      </c>
      <c r="D360" s="1" t="str">
        <f>IF(Data[[#This Row],[Cancellation Status]]="No", "High Potential", "Normal")</f>
        <v>Normal</v>
      </c>
      <c r="E360" s="2">
        <v>45957</v>
      </c>
      <c r="I360" s="1" t="s">
        <v>23</v>
      </c>
      <c r="J360" s="1" t="s">
        <v>24</v>
      </c>
      <c r="L360" s="88" t="str">
        <f>IF(OR(Data[[#This Row],[Service Follow-up Date]]="",Data[[#This Row],[Delivery Date]]=""),"",INT(Data[[#This Row],[Service Follow-up Date]]-Data[[#This Row],[Delivery Date]]))</f>
        <v/>
      </c>
      <c r="Q360" t="str">
        <f>IF(ISBLANK(Data[[#This Row],[Customer Rating]]),"No Rating",IF(Data[[#This Row],[Customer Rating]]&gt;=9,"Promoter",IF(Data[[#This Row],[Customer Rating]]&gt;=7,"Passive","Detractor")))</f>
        <v>No Rating</v>
      </c>
    </row>
    <row r="361" spans="1:17" ht="14.25" customHeight="1" x14ac:dyDescent="0.3">
      <c r="A361" s="1" t="s">
        <v>387</v>
      </c>
      <c r="B361" s="1" t="s">
        <v>21</v>
      </c>
      <c r="C361" s="1" t="s">
        <v>30</v>
      </c>
      <c r="D361" s="1" t="str">
        <f>IF(Data[[#This Row],[Cancellation Status]]="No", "High Potential", "Normal")</f>
        <v>High Potential</v>
      </c>
      <c r="E361" s="2">
        <v>45955</v>
      </c>
      <c r="F361" s="2">
        <v>45958</v>
      </c>
      <c r="G361" s="2">
        <v>45962</v>
      </c>
      <c r="H361" s="2">
        <v>45967</v>
      </c>
      <c r="I361" s="1" t="s">
        <v>17</v>
      </c>
      <c r="K361" s="2">
        <v>45985</v>
      </c>
      <c r="L361" s="88">
        <f>IF(OR(Data[[#This Row],[Service Follow-up Date]]="",Data[[#This Row],[Delivery Date]]=""),"",INT(Data[[#This Row],[Service Follow-up Date]]-Data[[#This Row],[Delivery Date]]))</f>
        <v>18</v>
      </c>
      <c r="M361" s="1">
        <v>3</v>
      </c>
      <c r="N361" s="1">
        <v>4</v>
      </c>
      <c r="O361" s="1">
        <v>5</v>
      </c>
      <c r="P361" s="1">
        <v>5</v>
      </c>
      <c r="Q361" t="str">
        <f>IF(ISBLANK(Data[[#This Row],[Customer Rating]]),"No Rating",IF(Data[[#This Row],[Customer Rating]]&gt;=9,"Promoter",IF(Data[[#This Row],[Customer Rating]]&gt;=7,"Passive","Detractor")))</f>
        <v>Detractor</v>
      </c>
    </row>
    <row r="362" spans="1:17" ht="14.25" customHeight="1" x14ac:dyDescent="0.3">
      <c r="A362" s="1" t="s">
        <v>388</v>
      </c>
      <c r="B362" s="1" t="s">
        <v>21</v>
      </c>
      <c r="C362" s="1" t="s">
        <v>16</v>
      </c>
      <c r="D362" s="1" t="str">
        <f>IF(Data[[#This Row],[Cancellation Status]]="No", "High Potential", "Normal")</f>
        <v>High Potential</v>
      </c>
      <c r="E362" s="2">
        <v>45948</v>
      </c>
      <c r="F362" s="2">
        <v>45953</v>
      </c>
      <c r="G362" s="2">
        <v>45957</v>
      </c>
      <c r="H362" s="2">
        <v>45964</v>
      </c>
      <c r="I362" s="1" t="s">
        <v>17</v>
      </c>
      <c r="K362" s="2">
        <v>45990</v>
      </c>
      <c r="L362" s="88">
        <f>IF(OR(Data[[#This Row],[Service Follow-up Date]]="",Data[[#This Row],[Delivery Date]]=""),"",INT(Data[[#This Row],[Service Follow-up Date]]-Data[[#This Row],[Delivery Date]]))</f>
        <v>26</v>
      </c>
      <c r="M362" s="1">
        <v>5</v>
      </c>
      <c r="N362" s="1">
        <v>4</v>
      </c>
      <c r="O362" s="1">
        <v>7</v>
      </c>
      <c r="P362" s="1">
        <v>8</v>
      </c>
      <c r="Q362" t="str">
        <f>IF(ISBLANK(Data[[#This Row],[Customer Rating]]),"No Rating",IF(Data[[#This Row],[Customer Rating]]&gt;=9,"Promoter",IF(Data[[#This Row],[Customer Rating]]&gt;=7,"Passive","Detractor")))</f>
        <v>Passive</v>
      </c>
    </row>
    <row r="363" spans="1:17" ht="14.25" customHeight="1" x14ac:dyDescent="0.3">
      <c r="A363" s="1" t="s">
        <v>389</v>
      </c>
      <c r="B363" s="1" t="s">
        <v>32</v>
      </c>
      <c r="C363" s="1" t="s">
        <v>16</v>
      </c>
      <c r="D363" s="1" t="str">
        <f>IF(Data[[#This Row],[Cancellation Status]]="No", "High Potential", "Normal")</f>
        <v>High Potential</v>
      </c>
      <c r="E363" s="2">
        <v>45932</v>
      </c>
      <c r="F363" s="2">
        <v>45936</v>
      </c>
      <c r="G363" s="2">
        <v>45940</v>
      </c>
      <c r="H363" s="2">
        <v>45942</v>
      </c>
      <c r="I363" s="1" t="s">
        <v>17</v>
      </c>
      <c r="K363" s="2">
        <v>45966</v>
      </c>
      <c r="L363" s="88">
        <f>IF(OR(Data[[#This Row],[Service Follow-up Date]]="",Data[[#This Row],[Delivery Date]]=""),"",INT(Data[[#This Row],[Service Follow-up Date]]-Data[[#This Row],[Delivery Date]]))</f>
        <v>24</v>
      </c>
      <c r="M363" s="1">
        <v>4</v>
      </c>
      <c r="N363" s="1">
        <v>4</v>
      </c>
      <c r="O363" s="1">
        <v>2</v>
      </c>
      <c r="P363" s="1">
        <v>0</v>
      </c>
      <c r="Q363" t="str">
        <f>IF(ISBLANK(Data[[#This Row],[Customer Rating]]),"No Rating",IF(Data[[#This Row],[Customer Rating]]&gt;=9,"Promoter",IF(Data[[#This Row],[Customer Rating]]&gt;=7,"Passive","Detractor")))</f>
        <v>Detractor</v>
      </c>
    </row>
    <row r="364" spans="1:17" ht="14.25" customHeight="1" x14ac:dyDescent="0.3">
      <c r="A364" s="1" t="s">
        <v>390</v>
      </c>
      <c r="B364" s="1" t="s">
        <v>19</v>
      </c>
      <c r="C364" s="1" t="s">
        <v>16</v>
      </c>
      <c r="D364" s="1" t="str">
        <f>IF(Data[[#This Row],[Cancellation Status]]="No", "High Potential", "Normal")</f>
        <v>High Potential</v>
      </c>
      <c r="E364" s="2">
        <v>45945</v>
      </c>
      <c r="F364" s="2">
        <v>45948</v>
      </c>
      <c r="G364" s="2">
        <v>45949</v>
      </c>
      <c r="H364" s="2">
        <v>45956</v>
      </c>
      <c r="I364" s="1" t="s">
        <v>17</v>
      </c>
      <c r="K364" s="2">
        <v>45966</v>
      </c>
      <c r="L364" s="88">
        <f>IF(OR(Data[[#This Row],[Service Follow-up Date]]="",Data[[#This Row],[Delivery Date]]=""),"",INT(Data[[#This Row],[Service Follow-up Date]]-Data[[#This Row],[Delivery Date]]))</f>
        <v>10</v>
      </c>
      <c r="M364" s="1">
        <v>3</v>
      </c>
      <c r="N364" s="1">
        <v>1</v>
      </c>
      <c r="O364" s="1">
        <v>7</v>
      </c>
      <c r="P364" s="1">
        <v>1</v>
      </c>
      <c r="Q364" t="str">
        <f>IF(ISBLANK(Data[[#This Row],[Customer Rating]]),"No Rating",IF(Data[[#This Row],[Customer Rating]]&gt;=9,"Promoter",IF(Data[[#This Row],[Customer Rating]]&gt;=7,"Passive","Detractor")))</f>
        <v>Detractor</v>
      </c>
    </row>
    <row r="365" spans="1:17" ht="14.25" customHeight="1" x14ac:dyDescent="0.3">
      <c r="A365" s="1" t="s">
        <v>391</v>
      </c>
      <c r="B365" s="1" t="s">
        <v>21</v>
      </c>
      <c r="C365" s="1" t="s">
        <v>16</v>
      </c>
      <c r="D365" s="1" t="str">
        <f>IF(Data[[#This Row],[Cancellation Status]]="No", "High Potential", "Normal")</f>
        <v>High Potential</v>
      </c>
      <c r="E365" s="2">
        <v>45933</v>
      </c>
      <c r="F365" s="2">
        <v>45935</v>
      </c>
      <c r="G365" s="2">
        <v>45940</v>
      </c>
      <c r="H365" s="2">
        <v>45942</v>
      </c>
      <c r="I365" s="1" t="s">
        <v>17</v>
      </c>
      <c r="K365" s="2">
        <v>45971</v>
      </c>
      <c r="L365" s="88">
        <f>IF(OR(Data[[#This Row],[Service Follow-up Date]]="",Data[[#This Row],[Delivery Date]]=""),"",INT(Data[[#This Row],[Service Follow-up Date]]-Data[[#This Row],[Delivery Date]]))</f>
        <v>29</v>
      </c>
      <c r="M365" s="1">
        <v>2</v>
      </c>
      <c r="N365" s="1">
        <v>5</v>
      </c>
      <c r="O365" s="1">
        <v>2</v>
      </c>
      <c r="P365" s="1">
        <v>4</v>
      </c>
      <c r="Q365" t="str">
        <f>IF(ISBLANK(Data[[#This Row],[Customer Rating]]),"No Rating",IF(Data[[#This Row],[Customer Rating]]&gt;=9,"Promoter",IF(Data[[#This Row],[Customer Rating]]&gt;=7,"Passive","Detractor")))</f>
        <v>Detractor</v>
      </c>
    </row>
    <row r="366" spans="1:17" ht="14.25" customHeight="1" x14ac:dyDescent="0.3">
      <c r="A366" s="1" t="s">
        <v>392</v>
      </c>
      <c r="B366" s="1" t="s">
        <v>15</v>
      </c>
      <c r="C366" s="1" t="s">
        <v>16</v>
      </c>
      <c r="D366" s="1" t="str">
        <f>IF(Data[[#This Row],[Cancellation Status]]="No", "High Potential", "Normal")</f>
        <v>High Potential</v>
      </c>
      <c r="E366" s="2">
        <v>45941</v>
      </c>
      <c r="F366" s="2">
        <v>45946</v>
      </c>
      <c r="G366" s="2">
        <v>45948</v>
      </c>
      <c r="H366" s="2">
        <v>45950</v>
      </c>
      <c r="I366" s="1" t="s">
        <v>17</v>
      </c>
      <c r="K366" s="2">
        <v>45978</v>
      </c>
      <c r="L366" s="88">
        <f>IF(OR(Data[[#This Row],[Service Follow-up Date]]="",Data[[#This Row],[Delivery Date]]=""),"",INT(Data[[#This Row],[Service Follow-up Date]]-Data[[#This Row],[Delivery Date]]))</f>
        <v>28</v>
      </c>
      <c r="M366" s="1">
        <v>5</v>
      </c>
      <c r="N366" s="1">
        <v>2</v>
      </c>
      <c r="O366" s="1">
        <v>2</v>
      </c>
      <c r="P366" s="1">
        <v>5</v>
      </c>
      <c r="Q366" t="str">
        <f>IF(ISBLANK(Data[[#This Row],[Customer Rating]]),"No Rating",IF(Data[[#This Row],[Customer Rating]]&gt;=9,"Promoter",IF(Data[[#This Row],[Customer Rating]]&gt;=7,"Passive","Detractor")))</f>
        <v>Detractor</v>
      </c>
    </row>
    <row r="367" spans="1:17" ht="14.25" customHeight="1" x14ac:dyDescent="0.3">
      <c r="A367" s="1" t="s">
        <v>393</v>
      </c>
      <c r="B367" s="1" t="s">
        <v>32</v>
      </c>
      <c r="C367" s="1" t="s">
        <v>16</v>
      </c>
      <c r="D367" s="1" t="str">
        <f>IF(Data[[#This Row],[Cancellation Status]]="No", "High Potential", "Normal")</f>
        <v>High Potential</v>
      </c>
      <c r="E367" s="2">
        <v>45939</v>
      </c>
      <c r="F367" s="2">
        <v>45940</v>
      </c>
      <c r="G367" s="2">
        <v>45943</v>
      </c>
      <c r="H367" s="2">
        <v>45946</v>
      </c>
      <c r="I367" s="1" t="s">
        <v>17</v>
      </c>
      <c r="K367" s="2">
        <v>45972</v>
      </c>
      <c r="L367" s="88">
        <f>IF(OR(Data[[#This Row],[Service Follow-up Date]]="",Data[[#This Row],[Delivery Date]]=""),"",INT(Data[[#This Row],[Service Follow-up Date]]-Data[[#This Row],[Delivery Date]]))</f>
        <v>26</v>
      </c>
      <c r="M367" s="1">
        <v>1</v>
      </c>
      <c r="N367" s="1">
        <v>3</v>
      </c>
      <c r="O367" s="1">
        <v>3</v>
      </c>
      <c r="P367" s="1">
        <v>10</v>
      </c>
      <c r="Q367" t="str">
        <f>IF(ISBLANK(Data[[#This Row],[Customer Rating]]),"No Rating",IF(Data[[#This Row],[Customer Rating]]&gt;=9,"Promoter",IF(Data[[#This Row],[Customer Rating]]&gt;=7,"Passive","Detractor")))</f>
        <v>Promoter</v>
      </c>
    </row>
    <row r="368" spans="1:17" ht="14.25" customHeight="1" x14ac:dyDescent="0.3">
      <c r="A368" s="1" t="s">
        <v>394</v>
      </c>
      <c r="B368" s="1" t="s">
        <v>15</v>
      </c>
      <c r="C368" s="1" t="s">
        <v>16</v>
      </c>
      <c r="D368" s="1" t="str">
        <f>IF(Data[[#This Row],[Cancellation Status]]="No", "High Potential", "Normal")</f>
        <v>High Potential</v>
      </c>
      <c r="E368" s="2">
        <v>45941</v>
      </c>
      <c r="F368" s="2">
        <v>45945</v>
      </c>
      <c r="G368" s="2">
        <v>45946</v>
      </c>
      <c r="H368" s="2">
        <v>45951</v>
      </c>
      <c r="I368" s="1" t="s">
        <v>17</v>
      </c>
      <c r="K368" s="2">
        <v>45974</v>
      </c>
      <c r="L368" s="88">
        <f>IF(OR(Data[[#This Row],[Service Follow-up Date]]="",Data[[#This Row],[Delivery Date]]=""),"",INT(Data[[#This Row],[Service Follow-up Date]]-Data[[#This Row],[Delivery Date]]))</f>
        <v>23</v>
      </c>
      <c r="M368" s="1">
        <v>4</v>
      </c>
      <c r="N368" s="1">
        <v>1</v>
      </c>
      <c r="O368" s="1">
        <v>5</v>
      </c>
      <c r="P368" s="1">
        <v>3</v>
      </c>
      <c r="Q368" t="str">
        <f>IF(ISBLANK(Data[[#This Row],[Customer Rating]]),"No Rating",IF(Data[[#This Row],[Customer Rating]]&gt;=9,"Promoter",IF(Data[[#This Row],[Customer Rating]]&gt;=7,"Passive","Detractor")))</f>
        <v>Detractor</v>
      </c>
    </row>
    <row r="369" spans="1:17" ht="14.25" customHeight="1" x14ac:dyDescent="0.3">
      <c r="A369" s="1" t="s">
        <v>395</v>
      </c>
      <c r="B369" s="1" t="s">
        <v>19</v>
      </c>
      <c r="C369" s="1" t="s">
        <v>30</v>
      </c>
      <c r="D369" s="1" t="str">
        <f>IF(Data[[#This Row],[Cancellation Status]]="No", "High Potential", "Normal")</f>
        <v>Normal</v>
      </c>
      <c r="E369" s="2">
        <v>45934</v>
      </c>
      <c r="F369" s="2">
        <v>45939</v>
      </c>
      <c r="G369" s="2">
        <v>45941</v>
      </c>
      <c r="H369" s="2">
        <v>45943</v>
      </c>
      <c r="I369" s="1" t="s">
        <v>23</v>
      </c>
      <c r="J369" s="1" t="s">
        <v>26</v>
      </c>
      <c r="L369" s="88" t="str">
        <f>IF(OR(Data[[#This Row],[Service Follow-up Date]]="",Data[[#This Row],[Delivery Date]]=""),"",INT(Data[[#This Row],[Service Follow-up Date]]-Data[[#This Row],[Delivery Date]]))</f>
        <v/>
      </c>
      <c r="M369" s="1">
        <v>5</v>
      </c>
      <c r="N369" s="1">
        <v>2</v>
      </c>
      <c r="O369" s="1">
        <v>2</v>
      </c>
      <c r="Q369" t="str">
        <f>IF(ISBLANK(Data[[#This Row],[Customer Rating]]),"No Rating",IF(Data[[#This Row],[Customer Rating]]&gt;=9,"Promoter",IF(Data[[#This Row],[Customer Rating]]&gt;=7,"Passive","Detractor")))</f>
        <v>No Rating</v>
      </c>
    </row>
    <row r="370" spans="1:17" ht="14.25" customHeight="1" x14ac:dyDescent="0.3">
      <c r="A370" s="1" t="s">
        <v>396</v>
      </c>
      <c r="B370" s="1" t="s">
        <v>19</v>
      </c>
      <c r="C370" s="1" t="s">
        <v>16</v>
      </c>
      <c r="D370" s="1" t="str">
        <f>IF(Data[[#This Row],[Cancellation Status]]="No", "High Potential", "Normal")</f>
        <v>High Potential</v>
      </c>
      <c r="E370" s="2">
        <v>45955</v>
      </c>
      <c r="F370" s="2">
        <v>45958</v>
      </c>
      <c r="G370" s="2">
        <v>45963</v>
      </c>
      <c r="H370" s="2">
        <v>45966</v>
      </c>
      <c r="I370" s="1" t="s">
        <v>17</v>
      </c>
      <c r="K370" s="2">
        <v>45979</v>
      </c>
      <c r="L370" s="88">
        <f>IF(OR(Data[[#This Row],[Service Follow-up Date]]="",Data[[#This Row],[Delivery Date]]=""),"",INT(Data[[#This Row],[Service Follow-up Date]]-Data[[#This Row],[Delivery Date]]))</f>
        <v>13</v>
      </c>
      <c r="M370" s="1">
        <v>3</v>
      </c>
      <c r="N370" s="1">
        <v>5</v>
      </c>
      <c r="O370" s="1">
        <v>3</v>
      </c>
      <c r="P370" s="1">
        <v>10</v>
      </c>
      <c r="Q370" t="str">
        <f>IF(ISBLANK(Data[[#This Row],[Customer Rating]]),"No Rating",IF(Data[[#This Row],[Customer Rating]]&gt;=9,"Promoter",IF(Data[[#This Row],[Customer Rating]]&gt;=7,"Passive","Detractor")))</f>
        <v>Promoter</v>
      </c>
    </row>
    <row r="371" spans="1:17" ht="14.25" customHeight="1" x14ac:dyDescent="0.3">
      <c r="A371" s="1" t="s">
        <v>397</v>
      </c>
      <c r="B371" s="1" t="s">
        <v>19</v>
      </c>
      <c r="C371" s="1" t="s">
        <v>30</v>
      </c>
      <c r="D371" s="1" t="str">
        <f>IF(Data[[#This Row],[Cancellation Status]]="No", "High Potential", "Normal")</f>
        <v>High Potential</v>
      </c>
      <c r="E371" s="2">
        <v>45943</v>
      </c>
      <c r="F371" s="2">
        <v>45944</v>
      </c>
      <c r="G371" s="2">
        <v>45948</v>
      </c>
      <c r="H371" s="2">
        <v>45954</v>
      </c>
      <c r="I371" s="1" t="s">
        <v>17</v>
      </c>
      <c r="K371" s="2">
        <v>45977</v>
      </c>
      <c r="L371" s="88">
        <f>IF(OR(Data[[#This Row],[Service Follow-up Date]]="",Data[[#This Row],[Delivery Date]]=""),"",INT(Data[[#This Row],[Service Follow-up Date]]-Data[[#This Row],[Delivery Date]]))</f>
        <v>23</v>
      </c>
      <c r="M371" s="1">
        <v>1</v>
      </c>
      <c r="N371" s="1">
        <v>4</v>
      </c>
      <c r="O371" s="1">
        <v>6</v>
      </c>
      <c r="P371" s="1">
        <v>4</v>
      </c>
      <c r="Q371" t="str">
        <f>IF(ISBLANK(Data[[#This Row],[Customer Rating]]),"No Rating",IF(Data[[#This Row],[Customer Rating]]&gt;=9,"Promoter",IF(Data[[#This Row],[Customer Rating]]&gt;=7,"Passive","Detractor")))</f>
        <v>Detractor</v>
      </c>
    </row>
    <row r="372" spans="1:17" ht="14.25" customHeight="1" x14ac:dyDescent="0.3">
      <c r="A372" s="1" t="s">
        <v>398</v>
      </c>
      <c r="B372" s="1" t="s">
        <v>32</v>
      </c>
      <c r="C372" s="1" t="s">
        <v>16</v>
      </c>
      <c r="D372" s="1" t="str">
        <f>IF(Data[[#This Row],[Cancellation Status]]="No", "High Potential", "Normal")</f>
        <v>High Potential</v>
      </c>
      <c r="E372" s="2">
        <v>45958</v>
      </c>
      <c r="F372" s="2">
        <v>45961</v>
      </c>
      <c r="G372" s="2">
        <v>45966</v>
      </c>
      <c r="H372" s="2">
        <v>45969</v>
      </c>
      <c r="I372" s="1" t="s">
        <v>17</v>
      </c>
      <c r="K372" s="2">
        <v>45983</v>
      </c>
      <c r="L372" s="88">
        <f>IF(OR(Data[[#This Row],[Service Follow-up Date]]="",Data[[#This Row],[Delivery Date]]=""),"",INT(Data[[#This Row],[Service Follow-up Date]]-Data[[#This Row],[Delivery Date]]))</f>
        <v>14</v>
      </c>
      <c r="M372" s="1">
        <v>3</v>
      </c>
      <c r="N372" s="1">
        <v>5</v>
      </c>
      <c r="O372" s="1">
        <v>3</v>
      </c>
      <c r="P372" s="1">
        <v>7</v>
      </c>
      <c r="Q372" t="str">
        <f>IF(ISBLANK(Data[[#This Row],[Customer Rating]]),"No Rating",IF(Data[[#This Row],[Customer Rating]]&gt;=9,"Promoter",IF(Data[[#This Row],[Customer Rating]]&gt;=7,"Passive","Detractor")))</f>
        <v>Passive</v>
      </c>
    </row>
    <row r="373" spans="1:17" ht="14.25" customHeight="1" x14ac:dyDescent="0.3">
      <c r="A373" s="1" t="s">
        <v>399</v>
      </c>
      <c r="B373" s="1" t="s">
        <v>21</v>
      </c>
      <c r="C373" s="1" t="s">
        <v>16</v>
      </c>
      <c r="D373" s="1" t="str">
        <f>IF(Data[[#This Row],[Cancellation Status]]="No", "High Potential", "Normal")</f>
        <v>High Potential</v>
      </c>
      <c r="E373" s="2">
        <v>45947</v>
      </c>
      <c r="F373" s="2">
        <v>45950</v>
      </c>
      <c r="G373" s="2">
        <v>45952</v>
      </c>
      <c r="H373" s="2">
        <v>45958</v>
      </c>
      <c r="I373" s="1" t="s">
        <v>17</v>
      </c>
      <c r="K373" s="2">
        <v>45972</v>
      </c>
      <c r="L373" s="88">
        <f>IF(OR(Data[[#This Row],[Service Follow-up Date]]="",Data[[#This Row],[Delivery Date]]=""),"",INT(Data[[#This Row],[Service Follow-up Date]]-Data[[#This Row],[Delivery Date]]))</f>
        <v>14</v>
      </c>
      <c r="M373" s="1">
        <v>3</v>
      </c>
      <c r="N373" s="1">
        <v>2</v>
      </c>
      <c r="O373" s="1">
        <v>6</v>
      </c>
      <c r="P373" s="1">
        <v>1</v>
      </c>
      <c r="Q373" t="str">
        <f>IF(ISBLANK(Data[[#This Row],[Customer Rating]]),"No Rating",IF(Data[[#This Row],[Customer Rating]]&gt;=9,"Promoter",IF(Data[[#This Row],[Customer Rating]]&gt;=7,"Passive","Detractor")))</f>
        <v>Detractor</v>
      </c>
    </row>
    <row r="374" spans="1:17" ht="14.25" customHeight="1" x14ac:dyDescent="0.3">
      <c r="A374" s="1" t="s">
        <v>400</v>
      </c>
      <c r="B374" s="1" t="s">
        <v>32</v>
      </c>
      <c r="C374" s="1" t="s">
        <v>16</v>
      </c>
      <c r="D374" s="1" t="str">
        <f>IF(Data[[#This Row],[Cancellation Status]]="No", "High Potential", "Normal")</f>
        <v>High Potential</v>
      </c>
      <c r="E374" s="2">
        <v>45957</v>
      </c>
      <c r="F374" s="2">
        <v>45959</v>
      </c>
      <c r="G374" s="2">
        <v>45961</v>
      </c>
      <c r="H374" s="2">
        <v>45968</v>
      </c>
      <c r="I374" s="1" t="s">
        <v>17</v>
      </c>
      <c r="K374" s="2">
        <v>45996</v>
      </c>
      <c r="L374" s="88">
        <f>IF(OR(Data[[#This Row],[Service Follow-up Date]]="",Data[[#This Row],[Delivery Date]]=""),"",INT(Data[[#This Row],[Service Follow-up Date]]-Data[[#This Row],[Delivery Date]]))</f>
        <v>28</v>
      </c>
      <c r="M374" s="1">
        <v>2</v>
      </c>
      <c r="N374" s="1">
        <v>2</v>
      </c>
      <c r="O374" s="1">
        <v>7</v>
      </c>
      <c r="P374" s="1">
        <v>5</v>
      </c>
      <c r="Q374" t="str">
        <f>IF(ISBLANK(Data[[#This Row],[Customer Rating]]),"No Rating",IF(Data[[#This Row],[Customer Rating]]&gt;=9,"Promoter",IF(Data[[#This Row],[Customer Rating]]&gt;=7,"Passive","Detractor")))</f>
        <v>Detractor</v>
      </c>
    </row>
    <row r="375" spans="1:17" ht="14.25" customHeight="1" x14ac:dyDescent="0.3">
      <c r="A375" s="1" t="s">
        <v>401</v>
      </c>
      <c r="B375" s="1" t="s">
        <v>15</v>
      </c>
      <c r="C375" s="1" t="s">
        <v>16</v>
      </c>
      <c r="D375" s="1" t="str">
        <f>IF(Data[[#This Row],[Cancellation Status]]="No", "High Potential", "Normal")</f>
        <v>High Potential</v>
      </c>
      <c r="E375" s="2">
        <v>45931</v>
      </c>
      <c r="F375" s="2">
        <v>45933</v>
      </c>
      <c r="G375" s="2">
        <v>45934</v>
      </c>
      <c r="H375" s="2">
        <v>45939</v>
      </c>
      <c r="I375" s="1" t="s">
        <v>17</v>
      </c>
      <c r="K375" s="2">
        <v>45967</v>
      </c>
      <c r="L375" s="88">
        <f>IF(OR(Data[[#This Row],[Service Follow-up Date]]="",Data[[#This Row],[Delivery Date]]=""),"",INT(Data[[#This Row],[Service Follow-up Date]]-Data[[#This Row],[Delivery Date]]))</f>
        <v>28</v>
      </c>
      <c r="M375" s="1">
        <v>2</v>
      </c>
      <c r="N375" s="1">
        <v>1</v>
      </c>
      <c r="O375" s="1">
        <v>5</v>
      </c>
      <c r="P375" s="1">
        <v>2</v>
      </c>
      <c r="Q375" t="str">
        <f>IF(ISBLANK(Data[[#This Row],[Customer Rating]]),"No Rating",IF(Data[[#This Row],[Customer Rating]]&gt;=9,"Promoter",IF(Data[[#This Row],[Customer Rating]]&gt;=7,"Passive","Detractor")))</f>
        <v>Detractor</v>
      </c>
    </row>
    <row r="376" spans="1:17" ht="14.25" customHeight="1" x14ac:dyDescent="0.3">
      <c r="A376" s="1" t="s">
        <v>402</v>
      </c>
      <c r="B376" s="1" t="s">
        <v>32</v>
      </c>
      <c r="C376" s="1" t="s">
        <v>30</v>
      </c>
      <c r="D376" s="1" t="str">
        <f>IF(Data[[#This Row],[Cancellation Status]]="No", "High Potential", "Normal")</f>
        <v>High Potential</v>
      </c>
      <c r="E376" s="2">
        <v>45952</v>
      </c>
      <c r="F376" s="2">
        <v>45955</v>
      </c>
      <c r="G376" s="2">
        <v>45956</v>
      </c>
      <c r="H376" s="2">
        <v>45958</v>
      </c>
      <c r="I376" s="1" t="s">
        <v>17</v>
      </c>
      <c r="K376" s="2">
        <v>45986</v>
      </c>
      <c r="L376" s="88">
        <f>IF(OR(Data[[#This Row],[Service Follow-up Date]]="",Data[[#This Row],[Delivery Date]]=""),"",INT(Data[[#This Row],[Service Follow-up Date]]-Data[[#This Row],[Delivery Date]]))</f>
        <v>28</v>
      </c>
      <c r="M376" s="1">
        <v>3</v>
      </c>
      <c r="N376" s="1">
        <v>1</v>
      </c>
      <c r="O376" s="1">
        <v>2</v>
      </c>
      <c r="P376" s="1">
        <v>9</v>
      </c>
      <c r="Q376" t="str">
        <f>IF(ISBLANK(Data[[#This Row],[Customer Rating]]),"No Rating",IF(Data[[#This Row],[Customer Rating]]&gt;=9,"Promoter",IF(Data[[#This Row],[Customer Rating]]&gt;=7,"Passive","Detractor")))</f>
        <v>Promoter</v>
      </c>
    </row>
    <row r="377" spans="1:17" ht="14.25" customHeight="1" x14ac:dyDescent="0.3">
      <c r="A377" s="1" t="s">
        <v>403</v>
      </c>
      <c r="B377" s="1" t="s">
        <v>15</v>
      </c>
      <c r="C377" s="1" t="s">
        <v>16</v>
      </c>
      <c r="D377" s="1" t="str">
        <f>IF(Data[[#This Row],[Cancellation Status]]="No", "High Potential", "Normal")</f>
        <v>Normal</v>
      </c>
      <c r="E377" s="2">
        <v>45958</v>
      </c>
      <c r="F377" s="2">
        <v>45962</v>
      </c>
      <c r="G377" s="2">
        <v>45965</v>
      </c>
      <c r="H377" s="2">
        <v>45967</v>
      </c>
      <c r="I377" s="1" t="s">
        <v>23</v>
      </c>
      <c r="J377" s="1" t="s">
        <v>33</v>
      </c>
      <c r="L377" s="88" t="str">
        <f>IF(OR(Data[[#This Row],[Service Follow-up Date]]="",Data[[#This Row],[Delivery Date]]=""),"",INT(Data[[#This Row],[Service Follow-up Date]]-Data[[#This Row],[Delivery Date]]))</f>
        <v/>
      </c>
      <c r="M377" s="1">
        <v>4</v>
      </c>
      <c r="N377" s="1">
        <v>3</v>
      </c>
      <c r="O377" s="1">
        <v>2</v>
      </c>
      <c r="Q377" t="str">
        <f>IF(ISBLANK(Data[[#This Row],[Customer Rating]]),"No Rating",IF(Data[[#This Row],[Customer Rating]]&gt;=9,"Promoter",IF(Data[[#This Row],[Customer Rating]]&gt;=7,"Passive","Detractor")))</f>
        <v>No Rating</v>
      </c>
    </row>
    <row r="378" spans="1:17" ht="14.25" customHeight="1" x14ac:dyDescent="0.3">
      <c r="A378" s="1" t="s">
        <v>404</v>
      </c>
      <c r="B378" s="1" t="s">
        <v>32</v>
      </c>
      <c r="C378" s="1" t="s">
        <v>16</v>
      </c>
      <c r="D378" s="1" t="str">
        <f>IF(Data[[#This Row],[Cancellation Status]]="No", "High Potential", "Normal")</f>
        <v>High Potential</v>
      </c>
      <c r="E378" s="2">
        <v>45948</v>
      </c>
      <c r="F378" s="2">
        <v>45950</v>
      </c>
      <c r="G378" s="2">
        <v>45954</v>
      </c>
      <c r="H378" s="2">
        <v>45961</v>
      </c>
      <c r="I378" s="1" t="s">
        <v>17</v>
      </c>
      <c r="K378" s="2">
        <v>45974</v>
      </c>
      <c r="L378" s="88">
        <f>IF(OR(Data[[#This Row],[Service Follow-up Date]]="",Data[[#This Row],[Delivery Date]]=""),"",INT(Data[[#This Row],[Service Follow-up Date]]-Data[[#This Row],[Delivery Date]]))</f>
        <v>13</v>
      </c>
      <c r="M378" s="1">
        <v>2</v>
      </c>
      <c r="N378" s="1">
        <v>4</v>
      </c>
      <c r="O378" s="1">
        <v>7</v>
      </c>
      <c r="P378" s="1">
        <v>3</v>
      </c>
      <c r="Q378" t="str">
        <f>IF(ISBLANK(Data[[#This Row],[Customer Rating]]),"No Rating",IF(Data[[#This Row],[Customer Rating]]&gt;=9,"Promoter",IF(Data[[#This Row],[Customer Rating]]&gt;=7,"Passive","Detractor")))</f>
        <v>Detractor</v>
      </c>
    </row>
    <row r="379" spans="1:17" ht="14.25" customHeight="1" x14ac:dyDescent="0.3">
      <c r="A379" s="1" t="s">
        <v>405</v>
      </c>
      <c r="B379" s="1" t="s">
        <v>21</v>
      </c>
      <c r="C379" s="1" t="s">
        <v>16</v>
      </c>
      <c r="D379" s="1" t="str">
        <f>IF(Data[[#This Row],[Cancellation Status]]="No", "High Potential", "Normal")</f>
        <v>High Potential</v>
      </c>
      <c r="E379" s="2">
        <v>45945</v>
      </c>
      <c r="F379" s="2">
        <v>45947</v>
      </c>
      <c r="G379" s="2">
        <v>45952</v>
      </c>
      <c r="H379" s="2">
        <v>45956</v>
      </c>
      <c r="I379" s="1" t="s">
        <v>17</v>
      </c>
      <c r="K379" s="2">
        <v>45969</v>
      </c>
      <c r="L379" s="88">
        <f>IF(OR(Data[[#This Row],[Service Follow-up Date]]="",Data[[#This Row],[Delivery Date]]=""),"",INT(Data[[#This Row],[Service Follow-up Date]]-Data[[#This Row],[Delivery Date]]))</f>
        <v>13</v>
      </c>
      <c r="M379" s="1">
        <v>2</v>
      </c>
      <c r="N379" s="1">
        <v>5</v>
      </c>
      <c r="O379" s="1">
        <v>4</v>
      </c>
      <c r="P379" s="1">
        <v>9</v>
      </c>
      <c r="Q379" t="str">
        <f>IF(ISBLANK(Data[[#This Row],[Customer Rating]]),"No Rating",IF(Data[[#This Row],[Customer Rating]]&gt;=9,"Promoter",IF(Data[[#This Row],[Customer Rating]]&gt;=7,"Passive","Detractor")))</f>
        <v>Promoter</v>
      </c>
    </row>
    <row r="380" spans="1:17" ht="14.25" customHeight="1" x14ac:dyDescent="0.3">
      <c r="A380" s="1" t="s">
        <v>406</v>
      </c>
      <c r="B380" s="1" t="s">
        <v>15</v>
      </c>
      <c r="C380" s="1" t="s">
        <v>22</v>
      </c>
      <c r="D380" s="1" t="str">
        <f>IF(Data[[#This Row],[Cancellation Status]]="No", "High Potential", "Normal")</f>
        <v>Normal</v>
      </c>
      <c r="E380" s="2">
        <v>45944</v>
      </c>
      <c r="I380" s="1" t="s">
        <v>23</v>
      </c>
      <c r="J380" s="1" t="s">
        <v>63</v>
      </c>
      <c r="L380" s="88" t="str">
        <f>IF(OR(Data[[#This Row],[Service Follow-up Date]]="",Data[[#This Row],[Delivery Date]]=""),"",INT(Data[[#This Row],[Service Follow-up Date]]-Data[[#This Row],[Delivery Date]]))</f>
        <v/>
      </c>
      <c r="Q380" t="str">
        <f>IF(ISBLANK(Data[[#This Row],[Customer Rating]]),"No Rating",IF(Data[[#This Row],[Customer Rating]]&gt;=9,"Promoter",IF(Data[[#This Row],[Customer Rating]]&gt;=7,"Passive","Detractor")))</f>
        <v>No Rating</v>
      </c>
    </row>
    <row r="381" spans="1:17" ht="14.25" customHeight="1" x14ac:dyDescent="0.3">
      <c r="A381" s="1" t="s">
        <v>407</v>
      </c>
      <c r="B381" s="1" t="s">
        <v>19</v>
      </c>
      <c r="C381" s="1" t="s">
        <v>30</v>
      </c>
      <c r="D381" s="1" t="str">
        <f>IF(Data[[#This Row],[Cancellation Status]]="No", "High Potential", "Normal")</f>
        <v>High Potential</v>
      </c>
      <c r="E381" s="2">
        <v>45932</v>
      </c>
      <c r="F381" s="2">
        <v>45934</v>
      </c>
      <c r="G381" s="2">
        <v>45938</v>
      </c>
      <c r="H381" s="2">
        <v>45940</v>
      </c>
      <c r="I381" s="1" t="s">
        <v>17</v>
      </c>
      <c r="K381" s="2">
        <v>45968</v>
      </c>
      <c r="L381" s="88">
        <f>IF(OR(Data[[#This Row],[Service Follow-up Date]]="",Data[[#This Row],[Delivery Date]]=""),"",INT(Data[[#This Row],[Service Follow-up Date]]-Data[[#This Row],[Delivery Date]]))</f>
        <v>28</v>
      </c>
      <c r="M381" s="1">
        <v>2</v>
      </c>
      <c r="N381" s="1">
        <v>4</v>
      </c>
      <c r="O381" s="1">
        <v>2</v>
      </c>
      <c r="P381" s="1">
        <v>10</v>
      </c>
      <c r="Q381" t="str">
        <f>IF(ISBLANK(Data[[#This Row],[Customer Rating]]),"No Rating",IF(Data[[#This Row],[Customer Rating]]&gt;=9,"Promoter",IF(Data[[#This Row],[Customer Rating]]&gt;=7,"Passive","Detractor")))</f>
        <v>Promoter</v>
      </c>
    </row>
    <row r="382" spans="1:17" ht="14.25" customHeight="1" x14ac:dyDescent="0.3">
      <c r="A382" s="1" t="s">
        <v>408</v>
      </c>
      <c r="B382" s="1" t="s">
        <v>19</v>
      </c>
      <c r="C382" s="1" t="s">
        <v>16</v>
      </c>
      <c r="D382" s="1" t="str">
        <f>IF(Data[[#This Row],[Cancellation Status]]="No", "High Potential", "Normal")</f>
        <v>High Potential</v>
      </c>
      <c r="E382" s="2">
        <v>45937</v>
      </c>
      <c r="F382" s="2">
        <v>45939</v>
      </c>
      <c r="G382" s="2">
        <v>45944</v>
      </c>
      <c r="H382" s="2">
        <v>45949</v>
      </c>
      <c r="I382" s="1" t="s">
        <v>17</v>
      </c>
      <c r="K382" s="2">
        <v>45962</v>
      </c>
      <c r="L382" s="88">
        <f>IF(OR(Data[[#This Row],[Service Follow-up Date]]="",Data[[#This Row],[Delivery Date]]=""),"",INT(Data[[#This Row],[Service Follow-up Date]]-Data[[#This Row],[Delivery Date]]))</f>
        <v>13</v>
      </c>
      <c r="M382" s="1">
        <v>2</v>
      </c>
      <c r="N382" s="1">
        <v>5</v>
      </c>
      <c r="O382" s="1">
        <v>5</v>
      </c>
      <c r="P382" s="1">
        <v>1</v>
      </c>
      <c r="Q382" t="str">
        <f>IF(ISBLANK(Data[[#This Row],[Customer Rating]]),"No Rating",IF(Data[[#This Row],[Customer Rating]]&gt;=9,"Promoter",IF(Data[[#This Row],[Customer Rating]]&gt;=7,"Passive","Detractor")))</f>
        <v>Detractor</v>
      </c>
    </row>
    <row r="383" spans="1:17" ht="14.25" customHeight="1" x14ac:dyDescent="0.3">
      <c r="A383" s="1" t="s">
        <v>409</v>
      </c>
      <c r="B383" s="1" t="s">
        <v>32</v>
      </c>
      <c r="C383" s="1" t="s">
        <v>16</v>
      </c>
      <c r="D383" s="1" t="str">
        <f>IF(Data[[#This Row],[Cancellation Status]]="No", "High Potential", "Normal")</f>
        <v>High Potential</v>
      </c>
      <c r="E383" s="2">
        <v>45947</v>
      </c>
      <c r="F383" s="2">
        <v>45948</v>
      </c>
      <c r="G383" s="2">
        <v>45952</v>
      </c>
      <c r="H383" s="2">
        <v>45959</v>
      </c>
      <c r="I383" s="1" t="s">
        <v>17</v>
      </c>
      <c r="K383" s="2">
        <v>45978</v>
      </c>
      <c r="L383" s="88">
        <f>IF(OR(Data[[#This Row],[Service Follow-up Date]]="",Data[[#This Row],[Delivery Date]]=""),"",INT(Data[[#This Row],[Service Follow-up Date]]-Data[[#This Row],[Delivery Date]]))</f>
        <v>19</v>
      </c>
      <c r="M383" s="1">
        <v>1</v>
      </c>
      <c r="N383" s="1">
        <v>4</v>
      </c>
      <c r="O383" s="1">
        <v>7</v>
      </c>
      <c r="P383" s="1">
        <v>8</v>
      </c>
      <c r="Q383" t="str">
        <f>IF(ISBLANK(Data[[#This Row],[Customer Rating]]),"No Rating",IF(Data[[#This Row],[Customer Rating]]&gt;=9,"Promoter",IF(Data[[#This Row],[Customer Rating]]&gt;=7,"Passive","Detractor")))</f>
        <v>Passive</v>
      </c>
    </row>
    <row r="384" spans="1:17" ht="14.25" customHeight="1" x14ac:dyDescent="0.3">
      <c r="A384" s="1" t="s">
        <v>410</v>
      </c>
      <c r="B384" s="1" t="s">
        <v>19</v>
      </c>
      <c r="C384" s="1" t="s">
        <v>16</v>
      </c>
      <c r="D384" s="1" t="str">
        <f>IF(Data[[#This Row],[Cancellation Status]]="No", "High Potential", "Normal")</f>
        <v>High Potential</v>
      </c>
      <c r="E384" s="2">
        <v>45942</v>
      </c>
      <c r="F384" s="2">
        <v>45945</v>
      </c>
      <c r="G384" s="2">
        <v>45947</v>
      </c>
      <c r="H384" s="2">
        <v>45950</v>
      </c>
      <c r="I384" s="1" t="s">
        <v>17</v>
      </c>
      <c r="K384" s="2">
        <v>45977</v>
      </c>
      <c r="L384" s="88">
        <f>IF(OR(Data[[#This Row],[Service Follow-up Date]]="",Data[[#This Row],[Delivery Date]]=""),"",INT(Data[[#This Row],[Service Follow-up Date]]-Data[[#This Row],[Delivery Date]]))</f>
        <v>27</v>
      </c>
      <c r="M384" s="1">
        <v>3</v>
      </c>
      <c r="N384" s="1">
        <v>2</v>
      </c>
      <c r="O384" s="1">
        <v>3</v>
      </c>
      <c r="P384" s="1">
        <v>4</v>
      </c>
      <c r="Q384" t="str">
        <f>IF(ISBLANK(Data[[#This Row],[Customer Rating]]),"No Rating",IF(Data[[#This Row],[Customer Rating]]&gt;=9,"Promoter",IF(Data[[#This Row],[Customer Rating]]&gt;=7,"Passive","Detractor")))</f>
        <v>Detractor</v>
      </c>
    </row>
    <row r="385" spans="1:17" ht="14.25" customHeight="1" x14ac:dyDescent="0.3">
      <c r="A385" s="1" t="s">
        <v>411</v>
      </c>
      <c r="B385" s="1" t="s">
        <v>15</v>
      </c>
      <c r="C385" s="1" t="s">
        <v>30</v>
      </c>
      <c r="D385" s="1" t="str">
        <f>IF(Data[[#This Row],[Cancellation Status]]="No", "High Potential", "Normal")</f>
        <v>High Potential</v>
      </c>
      <c r="E385" s="2">
        <v>45950</v>
      </c>
      <c r="F385" s="2">
        <v>45951</v>
      </c>
      <c r="G385" s="2">
        <v>45953</v>
      </c>
      <c r="H385" s="2">
        <v>45958</v>
      </c>
      <c r="I385" s="1" t="s">
        <v>17</v>
      </c>
      <c r="K385" s="2">
        <v>45979</v>
      </c>
      <c r="L385" s="88">
        <f>IF(OR(Data[[#This Row],[Service Follow-up Date]]="",Data[[#This Row],[Delivery Date]]=""),"",INT(Data[[#This Row],[Service Follow-up Date]]-Data[[#This Row],[Delivery Date]]))</f>
        <v>21</v>
      </c>
      <c r="M385" s="1">
        <v>1</v>
      </c>
      <c r="N385" s="1">
        <v>2</v>
      </c>
      <c r="O385" s="1">
        <v>5</v>
      </c>
      <c r="P385" s="1">
        <v>9</v>
      </c>
      <c r="Q385" t="str">
        <f>IF(ISBLANK(Data[[#This Row],[Customer Rating]]),"No Rating",IF(Data[[#This Row],[Customer Rating]]&gt;=9,"Promoter",IF(Data[[#This Row],[Customer Rating]]&gt;=7,"Passive","Detractor")))</f>
        <v>Promoter</v>
      </c>
    </row>
    <row r="386" spans="1:17" ht="14.25" customHeight="1" x14ac:dyDescent="0.3">
      <c r="A386" s="1" t="s">
        <v>412</v>
      </c>
      <c r="B386" s="1" t="s">
        <v>19</v>
      </c>
      <c r="C386" s="1" t="s">
        <v>30</v>
      </c>
      <c r="D386" s="1" t="str">
        <f>IF(Data[[#This Row],[Cancellation Status]]="No", "High Potential", "Normal")</f>
        <v>Normal</v>
      </c>
      <c r="E386" s="2">
        <v>45955</v>
      </c>
      <c r="F386" s="2">
        <v>45960</v>
      </c>
      <c r="G386" s="2">
        <v>45964</v>
      </c>
      <c r="H386" s="2">
        <v>45966</v>
      </c>
      <c r="I386" s="1" t="s">
        <v>23</v>
      </c>
      <c r="J386" s="1" t="s">
        <v>26</v>
      </c>
      <c r="L386" s="88" t="str">
        <f>IF(OR(Data[[#This Row],[Service Follow-up Date]]="",Data[[#This Row],[Delivery Date]]=""),"",INT(Data[[#This Row],[Service Follow-up Date]]-Data[[#This Row],[Delivery Date]]))</f>
        <v/>
      </c>
      <c r="M386" s="1">
        <v>5</v>
      </c>
      <c r="N386" s="1">
        <v>4</v>
      </c>
      <c r="O386" s="1">
        <v>2</v>
      </c>
      <c r="Q386" t="str">
        <f>IF(ISBLANK(Data[[#This Row],[Customer Rating]]),"No Rating",IF(Data[[#This Row],[Customer Rating]]&gt;=9,"Promoter",IF(Data[[#This Row],[Customer Rating]]&gt;=7,"Passive","Detractor")))</f>
        <v>No Rating</v>
      </c>
    </row>
    <row r="387" spans="1:17" ht="14.25" customHeight="1" x14ac:dyDescent="0.3">
      <c r="A387" s="1" t="s">
        <v>413</v>
      </c>
      <c r="B387" s="1" t="s">
        <v>21</v>
      </c>
      <c r="C387" s="1" t="s">
        <v>22</v>
      </c>
      <c r="D387" s="1" t="str">
        <f>IF(Data[[#This Row],[Cancellation Status]]="No", "High Potential", "Normal")</f>
        <v>Normal</v>
      </c>
      <c r="E387" s="2">
        <v>45946</v>
      </c>
      <c r="I387" s="1" t="s">
        <v>23</v>
      </c>
      <c r="J387" s="1" t="s">
        <v>101</v>
      </c>
      <c r="L387" s="88" t="str">
        <f>IF(OR(Data[[#This Row],[Service Follow-up Date]]="",Data[[#This Row],[Delivery Date]]=""),"",INT(Data[[#This Row],[Service Follow-up Date]]-Data[[#This Row],[Delivery Date]]))</f>
        <v/>
      </c>
      <c r="Q387" t="str">
        <f>IF(ISBLANK(Data[[#This Row],[Customer Rating]]),"No Rating",IF(Data[[#This Row],[Customer Rating]]&gt;=9,"Promoter",IF(Data[[#This Row],[Customer Rating]]&gt;=7,"Passive","Detractor")))</f>
        <v>No Rating</v>
      </c>
    </row>
    <row r="388" spans="1:17" ht="14.25" customHeight="1" x14ac:dyDescent="0.3">
      <c r="A388" s="1" t="s">
        <v>414</v>
      </c>
      <c r="B388" s="1" t="s">
        <v>21</v>
      </c>
      <c r="C388" s="1" t="s">
        <v>16</v>
      </c>
      <c r="D388" s="1" t="str">
        <f>IF(Data[[#This Row],[Cancellation Status]]="No", "High Potential", "Normal")</f>
        <v>High Potential</v>
      </c>
      <c r="E388" s="2">
        <v>45951</v>
      </c>
      <c r="F388" s="2">
        <v>45956</v>
      </c>
      <c r="G388" s="2">
        <v>45959</v>
      </c>
      <c r="H388" s="2">
        <v>45962</v>
      </c>
      <c r="I388" s="1" t="s">
        <v>17</v>
      </c>
      <c r="K388" s="2">
        <v>45985</v>
      </c>
      <c r="L388" s="88">
        <f>IF(OR(Data[[#This Row],[Service Follow-up Date]]="",Data[[#This Row],[Delivery Date]]=""),"",INT(Data[[#This Row],[Service Follow-up Date]]-Data[[#This Row],[Delivery Date]]))</f>
        <v>23</v>
      </c>
      <c r="M388" s="1">
        <v>5</v>
      </c>
      <c r="N388" s="1">
        <v>3</v>
      </c>
      <c r="O388" s="1">
        <v>3</v>
      </c>
      <c r="P388" s="1">
        <v>5</v>
      </c>
      <c r="Q388" t="str">
        <f>IF(ISBLANK(Data[[#This Row],[Customer Rating]]),"No Rating",IF(Data[[#This Row],[Customer Rating]]&gt;=9,"Promoter",IF(Data[[#This Row],[Customer Rating]]&gt;=7,"Passive","Detractor")))</f>
        <v>Detractor</v>
      </c>
    </row>
    <row r="389" spans="1:17" ht="14.25" customHeight="1" x14ac:dyDescent="0.3">
      <c r="A389" s="1" t="s">
        <v>415</v>
      </c>
      <c r="B389" s="1" t="s">
        <v>32</v>
      </c>
      <c r="C389" s="1" t="s">
        <v>16</v>
      </c>
      <c r="D389" s="1" t="str">
        <f>IF(Data[[#This Row],[Cancellation Status]]="No", "High Potential", "Normal")</f>
        <v>Normal</v>
      </c>
      <c r="E389" s="2">
        <v>45945</v>
      </c>
      <c r="F389" s="2">
        <v>45950</v>
      </c>
      <c r="G389" s="2">
        <v>45952</v>
      </c>
      <c r="H389" s="2">
        <v>45957</v>
      </c>
      <c r="I389" s="1" t="s">
        <v>23</v>
      </c>
      <c r="J389" s="1" t="s">
        <v>101</v>
      </c>
      <c r="L389" s="88" t="str">
        <f>IF(OR(Data[[#This Row],[Service Follow-up Date]]="",Data[[#This Row],[Delivery Date]]=""),"",INT(Data[[#This Row],[Service Follow-up Date]]-Data[[#This Row],[Delivery Date]]))</f>
        <v/>
      </c>
      <c r="M389" s="1">
        <v>5</v>
      </c>
      <c r="N389" s="1">
        <v>2</v>
      </c>
      <c r="O389" s="1">
        <v>5</v>
      </c>
      <c r="Q389" t="str">
        <f>IF(ISBLANK(Data[[#This Row],[Customer Rating]]),"No Rating",IF(Data[[#This Row],[Customer Rating]]&gt;=9,"Promoter",IF(Data[[#This Row],[Customer Rating]]&gt;=7,"Passive","Detractor")))</f>
        <v>No Rating</v>
      </c>
    </row>
    <row r="390" spans="1:17" ht="14.25" customHeight="1" x14ac:dyDescent="0.3">
      <c r="A390" s="1" t="s">
        <v>416</v>
      </c>
      <c r="B390" s="1" t="s">
        <v>15</v>
      </c>
      <c r="C390" s="1" t="s">
        <v>16</v>
      </c>
      <c r="D390" s="1" t="str">
        <f>IF(Data[[#This Row],[Cancellation Status]]="No", "High Potential", "Normal")</f>
        <v>High Potential</v>
      </c>
      <c r="E390" s="2">
        <v>45955</v>
      </c>
      <c r="F390" s="2">
        <v>45956</v>
      </c>
      <c r="G390" s="2">
        <v>45959</v>
      </c>
      <c r="H390" s="2">
        <v>45961</v>
      </c>
      <c r="I390" s="1" t="s">
        <v>17</v>
      </c>
      <c r="K390" s="2">
        <v>45979</v>
      </c>
      <c r="L390" s="88">
        <f>IF(OR(Data[[#This Row],[Service Follow-up Date]]="",Data[[#This Row],[Delivery Date]]=""),"",INT(Data[[#This Row],[Service Follow-up Date]]-Data[[#This Row],[Delivery Date]]))</f>
        <v>18</v>
      </c>
      <c r="M390" s="1">
        <v>1</v>
      </c>
      <c r="N390" s="1">
        <v>3</v>
      </c>
      <c r="O390" s="1">
        <v>2</v>
      </c>
      <c r="P390" s="1">
        <v>3</v>
      </c>
      <c r="Q390" t="str">
        <f>IF(ISBLANK(Data[[#This Row],[Customer Rating]]),"No Rating",IF(Data[[#This Row],[Customer Rating]]&gt;=9,"Promoter",IF(Data[[#This Row],[Customer Rating]]&gt;=7,"Passive","Detractor")))</f>
        <v>Detractor</v>
      </c>
    </row>
    <row r="391" spans="1:17" ht="14.25" customHeight="1" x14ac:dyDescent="0.3">
      <c r="A391" s="1" t="s">
        <v>417</v>
      </c>
      <c r="B391" s="1" t="s">
        <v>21</v>
      </c>
      <c r="C391" s="1" t="s">
        <v>16</v>
      </c>
      <c r="D391" s="1" t="str">
        <f>IF(Data[[#This Row],[Cancellation Status]]="No", "High Potential", "Normal")</f>
        <v>High Potential</v>
      </c>
      <c r="E391" s="2">
        <v>45932</v>
      </c>
      <c r="F391" s="2">
        <v>45935</v>
      </c>
      <c r="G391" s="2">
        <v>45937</v>
      </c>
      <c r="H391" s="2">
        <v>45944</v>
      </c>
      <c r="I391" s="1" t="s">
        <v>17</v>
      </c>
      <c r="K391" s="2">
        <v>45966</v>
      </c>
      <c r="L391" s="88">
        <f>IF(OR(Data[[#This Row],[Service Follow-up Date]]="",Data[[#This Row],[Delivery Date]]=""),"",INT(Data[[#This Row],[Service Follow-up Date]]-Data[[#This Row],[Delivery Date]]))</f>
        <v>22</v>
      </c>
      <c r="M391" s="1">
        <v>3</v>
      </c>
      <c r="N391" s="1">
        <v>2</v>
      </c>
      <c r="O391" s="1">
        <v>7</v>
      </c>
      <c r="P391" s="1">
        <v>6</v>
      </c>
      <c r="Q391" t="str">
        <f>IF(ISBLANK(Data[[#This Row],[Customer Rating]]),"No Rating",IF(Data[[#This Row],[Customer Rating]]&gt;=9,"Promoter",IF(Data[[#This Row],[Customer Rating]]&gt;=7,"Passive","Detractor")))</f>
        <v>Detractor</v>
      </c>
    </row>
    <row r="392" spans="1:17" ht="14.25" customHeight="1" x14ac:dyDescent="0.3">
      <c r="A392" s="1" t="s">
        <v>418</v>
      </c>
      <c r="B392" s="1" t="s">
        <v>21</v>
      </c>
      <c r="C392" s="1" t="s">
        <v>30</v>
      </c>
      <c r="D392" s="1" t="str">
        <f>IF(Data[[#This Row],[Cancellation Status]]="No", "High Potential", "Normal")</f>
        <v>High Potential</v>
      </c>
      <c r="E392" s="2">
        <v>45937</v>
      </c>
      <c r="F392" s="2">
        <v>45942</v>
      </c>
      <c r="G392" s="2">
        <v>45943</v>
      </c>
      <c r="H392" s="2">
        <v>45945</v>
      </c>
      <c r="I392" s="1" t="s">
        <v>17</v>
      </c>
      <c r="K392" s="2">
        <v>45975</v>
      </c>
      <c r="L392" s="88">
        <f>IF(OR(Data[[#This Row],[Service Follow-up Date]]="",Data[[#This Row],[Delivery Date]]=""),"",INT(Data[[#This Row],[Service Follow-up Date]]-Data[[#This Row],[Delivery Date]]))</f>
        <v>30</v>
      </c>
      <c r="M392" s="1">
        <v>5</v>
      </c>
      <c r="N392" s="1">
        <v>1</v>
      </c>
      <c r="O392" s="1">
        <v>2</v>
      </c>
      <c r="P392" s="1">
        <v>1</v>
      </c>
      <c r="Q392" t="str">
        <f>IF(ISBLANK(Data[[#This Row],[Customer Rating]]),"No Rating",IF(Data[[#This Row],[Customer Rating]]&gt;=9,"Promoter",IF(Data[[#This Row],[Customer Rating]]&gt;=7,"Passive","Detractor")))</f>
        <v>Detractor</v>
      </c>
    </row>
    <row r="393" spans="1:17" ht="14.25" customHeight="1" x14ac:dyDescent="0.3">
      <c r="A393" s="1" t="s">
        <v>419</v>
      </c>
      <c r="B393" s="1" t="s">
        <v>15</v>
      </c>
      <c r="C393" s="1" t="s">
        <v>16</v>
      </c>
      <c r="D393" s="1" t="str">
        <f>IF(Data[[#This Row],[Cancellation Status]]="No", "High Potential", "Normal")</f>
        <v>High Potential</v>
      </c>
      <c r="E393" s="2">
        <v>45939</v>
      </c>
      <c r="F393" s="2">
        <v>45941</v>
      </c>
      <c r="G393" s="2">
        <v>45942</v>
      </c>
      <c r="H393" s="2">
        <v>45944</v>
      </c>
      <c r="I393" s="1" t="s">
        <v>17</v>
      </c>
      <c r="K393" s="2">
        <v>45969</v>
      </c>
      <c r="L393" s="88">
        <f>IF(OR(Data[[#This Row],[Service Follow-up Date]]="",Data[[#This Row],[Delivery Date]]=""),"",INT(Data[[#This Row],[Service Follow-up Date]]-Data[[#This Row],[Delivery Date]]))</f>
        <v>25</v>
      </c>
      <c r="M393" s="1">
        <v>2</v>
      </c>
      <c r="N393" s="1">
        <v>1</v>
      </c>
      <c r="O393" s="1">
        <v>2</v>
      </c>
      <c r="P393" s="1">
        <v>4</v>
      </c>
      <c r="Q393" t="str">
        <f>IF(ISBLANK(Data[[#This Row],[Customer Rating]]),"No Rating",IF(Data[[#This Row],[Customer Rating]]&gt;=9,"Promoter",IF(Data[[#This Row],[Customer Rating]]&gt;=7,"Passive","Detractor")))</f>
        <v>Detractor</v>
      </c>
    </row>
    <row r="394" spans="1:17" ht="14.25" customHeight="1" x14ac:dyDescent="0.3">
      <c r="A394" s="1" t="s">
        <v>420</v>
      </c>
      <c r="B394" s="1" t="s">
        <v>19</v>
      </c>
      <c r="C394" s="1" t="s">
        <v>16</v>
      </c>
      <c r="D394" s="1" t="str">
        <f>IF(Data[[#This Row],[Cancellation Status]]="No", "High Potential", "Normal")</f>
        <v>High Potential</v>
      </c>
      <c r="E394" s="2">
        <v>45948</v>
      </c>
      <c r="F394" s="2">
        <v>45953</v>
      </c>
      <c r="G394" s="2">
        <v>45957</v>
      </c>
      <c r="H394" s="2">
        <v>45961</v>
      </c>
      <c r="I394" s="1" t="s">
        <v>17</v>
      </c>
      <c r="K394" s="2">
        <v>45989</v>
      </c>
      <c r="L394" s="88">
        <f>IF(OR(Data[[#This Row],[Service Follow-up Date]]="",Data[[#This Row],[Delivery Date]]=""),"",INT(Data[[#This Row],[Service Follow-up Date]]-Data[[#This Row],[Delivery Date]]))</f>
        <v>28</v>
      </c>
      <c r="M394" s="1">
        <v>5</v>
      </c>
      <c r="N394" s="1">
        <v>4</v>
      </c>
      <c r="O394" s="1">
        <v>4</v>
      </c>
      <c r="P394" s="1">
        <v>6</v>
      </c>
      <c r="Q394" t="str">
        <f>IF(ISBLANK(Data[[#This Row],[Customer Rating]]),"No Rating",IF(Data[[#This Row],[Customer Rating]]&gt;=9,"Promoter",IF(Data[[#This Row],[Customer Rating]]&gt;=7,"Passive","Detractor")))</f>
        <v>Detractor</v>
      </c>
    </row>
    <row r="395" spans="1:17" ht="14.25" customHeight="1" x14ac:dyDescent="0.3">
      <c r="A395" s="1" t="s">
        <v>421</v>
      </c>
      <c r="B395" s="1" t="s">
        <v>19</v>
      </c>
      <c r="C395" s="1" t="s">
        <v>22</v>
      </c>
      <c r="D395" s="1" t="str">
        <f>IF(Data[[#This Row],[Cancellation Status]]="No", "High Potential", "Normal")</f>
        <v>Normal</v>
      </c>
      <c r="E395" s="2">
        <v>45935</v>
      </c>
      <c r="I395" s="1" t="s">
        <v>23</v>
      </c>
      <c r="J395" s="1" t="s">
        <v>24</v>
      </c>
      <c r="L395" s="88" t="str">
        <f>IF(OR(Data[[#This Row],[Service Follow-up Date]]="",Data[[#This Row],[Delivery Date]]=""),"",INT(Data[[#This Row],[Service Follow-up Date]]-Data[[#This Row],[Delivery Date]]))</f>
        <v/>
      </c>
      <c r="Q395" t="str">
        <f>IF(ISBLANK(Data[[#This Row],[Customer Rating]]),"No Rating",IF(Data[[#This Row],[Customer Rating]]&gt;=9,"Promoter",IF(Data[[#This Row],[Customer Rating]]&gt;=7,"Passive","Detractor")))</f>
        <v>No Rating</v>
      </c>
    </row>
    <row r="396" spans="1:17" ht="14.25" customHeight="1" x14ac:dyDescent="0.3">
      <c r="A396" s="1" t="s">
        <v>422</v>
      </c>
      <c r="B396" s="1" t="s">
        <v>32</v>
      </c>
      <c r="C396" s="1" t="s">
        <v>30</v>
      </c>
      <c r="D396" s="1" t="str">
        <f>IF(Data[[#This Row],[Cancellation Status]]="No", "High Potential", "Normal")</f>
        <v>High Potential</v>
      </c>
      <c r="E396" s="2">
        <v>45960</v>
      </c>
      <c r="F396" s="2">
        <v>45964</v>
      </c>
      <c r="G396" s="2">
        <v>45969</v>
      </c>
      <c r="H396" s="2">
        <v>45973</v>
      </c>
      <c r="I396" s="1" t="s">
        <v>17</v>
      </c>
      <c r="K396" s="2">
        <v>46002</v>
      </c>
      <c r="L396" s="88">
        <f>IF(OR(Data[[#This Row],[Service Follow-up Date]]="",Data[[#This Row],[Delivery Date]]=""),"",INT(Data[[#This Row],[Service Follow-up Date]]-Data[[#This Row],[Delivery Date]]))</f>
        <v>29</v>
      </c>
      <c r="M396" s="1">
        <v>4</v>
      </c>
      <c r="N396" s="1">
        <v>5</v>
      </c>
      <c r="O396" s="1">
        <v>4</v>
      </c>
      <c r="P396" s="1">
        <v>2</v>
      </c>
      <c r="Q396" t="str">
        <f>IF(ISBLANK(Data[[#This Row],[Customer Rating]]),"No Rating",IF(Data[[#This Row],[Customer Rating]]&gt;=9,"Promoter",IF(Data[[#This Row],[Customer Rating]]&gt;=7,"Passive","Detractor")))</f>
        <v>Detractor</v>
      </c>
    </row>
    <row r="397" spans="1:17" ht="14.25" customHeight="1" x14ac:dyDescent="0.3">
      <c r="A397" s="1" t="s">
        <v>423</v>
      </c>
      <c r="B397" s="1" t="s">
        <v>19</v>
      </c>
      <c r="C397" s="1" t="s">
        <v>16</v>
      </c>
      <c r="D397" s="1" t="str">
        <f>IF(Data[[#This Row],[Cancellation Status]]="No", "High Potential", "Normal")</f>
        <v>High Potential</v>
      </c>
      <c r="E397" s="2">
        <v>45940</v>
      </c>
      <c r="F397" s="2">
        <v>45942</v>
      </c>
      <c r="G397" s="2">
        <v>45943</v>
      </c>
      <c r="H397" s="2">
        <v>45947</v>
      </c>
      <c r="I397" s="1" t="s">
        <v>17</v>
      </c>
      <c r="K397" s="2">
        <v>45972</v>
      </c>
      <c r="L397" s="88">
        <f>IF(OR(Data[[#This Row],[Service Follow-up Date]]="",Data[[#This Row],[Delivery Date]]=""),"",INT(Data[[#This Row],[Service Follow-up Date]]-Data[[#This Row],[Delivery Date]]))</f>
        <v>25</v>
      </c>
      <c r="M397" s="1">
        <v>2</v>
      </c>
      <c r="N397" s="1">
        <v>1</v>
      </c>
      <c r="O397" s="1">
        <v>4</v>
      </c>
      <c r="P397" s="1">
        <v>8</v>
      </c>
      <c r="Q397" t="str">
        <f>IF(ISBLANK(Data[[#This Row],[Customer Rating]]),"No Rating",IF(Data[[#This Row],[Customer Rating]]&gt;=9,"Promoter",IF(Data[[#This Row],[Customer Rating]]&gt;=7,"Passive","Detractor")))</f>
        <v>Passive</v>
      </c>
    </row>
    <row r="398" spans="1:17" ht="14.25" customHeight="1" x14ac:dyDescent="0.3">
      <c r="A398" s="1" t="s">
        <v>424</v>
      </c>
      <c r="B398" s="1" t="s">
        <v>15</v>
      </c>
      <c r="C398" s="1" t="s">
        <v>16</v>
      </c>
      <c r="D398" s="1" t="str">
        <f>IF(Data[[#This Row],[Cancellation Status]]="No", "High Potential", "Normal")</f>
        <v>High Potential</v>
      </c>
      <c r="E398" s="2">
        <v>45945</v>
      </c>
      <c r="F398" s="2">
        <v>45947</v>
      </c>
      <c r="G398" s="2">
        <v>45949</v>
      </c>
      <c r="H398" s="2">
        <v>45952</v>
      </c>
      <c r="I398" s="1" t="s">
        <v>17</v>
      </c>
      <c r="K398" s="2">
        <v>45963</v>
      </c>
      <c r="L398" s="88">
        <f>IF(OR(Data[[#This Row],[Service Follow-up Date]]="",Data[[#This Row],[Delivery Date]]=""),"",INT(Data[[#This Row],[Service Follow-up Date]]-Data[[#This Row],[Delivery Date]]))</f>
        <v>11</v>
      </c>
      <c r="M398" s="1">
        <v>2</v>
      </c>
      <c r="N398" s="1">
        <v>2</v>
      </c>
      <c r="O398" s="1">
        <v>3</v>
      </c>
      <c r="P398" s="1">
        <v>6</v>
      </c>
      <c r="Q398" t="str">
        <f>IF(ISBLANK(Data[[#This Row],[Customer Rating]]),"No Rating",IF(Data[[#This Row],[Customer Rating]]&gt;=9,"Promoter",IF(Data[[#This Row],[Customer Rating]]&gt;=7,"Passive","Detractor")))</f>
        <v>Detractor</v>
      </c>
    </row>
    <row r="399" spans="1:17" ht="14.25" customHeight="1" x14ac:dyDescent="0.3">
      <c r="A399" s="1" t="s">
        <v>425</v>
      </c>
      <c r="B399" s="1" t="s">
        <v>21</v>
      </c>
      <c r="C399" s="1" t="s">
        <v>16</v>
      </c>
      <c r="D399" s="1" t="str">
        <f>IF(Data[[#This Row],[Cancellation Status]]="No", "High Potential", "Normal")</f>
        <v>High Potential</v>
      </c>
      <c r="E399" s="2">
        <v>45959</v>
      </c>
      <c r="F399" s="2">
        <v>45961</v>
      </c>
      <c r="G399" s="2">
        <v>45963</v>
      </c>
      <c r="H399" s="2">
        <v>45968</v>
      </c>
      <c r="I399" s="1" t="s">
        <v>17</v>
      </c>
      <c r="K399" s="2">
        <v>45983</v>
      </c>
      <c r="L399" s="88">
        <f>IF(OR(Data[[#This Row],[Service Follow-up Date]]="",Data[[#This Row],[Delivery Date]]=""),"",INT(Data[[#This Row],[Service Follow-up Date]]-Data[[#This Row],[Delivery Date]]))</f>
        <v>15</v>
      </c>
      <c r="M399" s="1">
        <v>2</v>
      </c>
      <c r="N399" s="1">
        <v>2</v>
      </c>
      <c r="O399" s="1">
        <v>5</v>
      </c>
      <c r="P399" s="1">
        <v>2</v>
      </c>
      <c r="Q399" t="str">
        <f>IF(ISBLANK(Data[[#This Row],[Customer Rating]]),"No Rating",IF(Data[[#This Row],[Customer Rating]]&gt;=9,"Promoter",IF(Data[[#This Row],[Customer Rating]]&gt;=7,"Passive","Detractor")))</f>
        <v>Detractor</v>
      </c>
    </row>
    <row r="400" spans="1:17" ht="14.25" customHeight="1" x14ac:dyDescent="0.3">
      <c r="A400" s="1" t="s">
        <v>426</v>
      </c>
      <c r="B400" s="1" t="s">
        <v>19</v>
      </c>
      <c r="C400" s="1" t="s">
        <v>16</v>
      </c>
      <c r="D400" s="1" t="str">
        <f>IF(Data[[#This Row],[Cancellation Status]]="No", "High Potential", "Normal")</f>
        <v>High Potential</v>
      </c>
      <c r="E400" s="2">
        <v>45953</v>
      </c>
      <c r="F400" s="2">
        <v>45958</v>
      </c>
      <c r="G400" s="2">
        <v>45959</v>
      </c>
      <c r="H400" s="2">
        <v>45962</v>
      </c>
      <c r="I400" s="1" t="s">
        <v>17</v>
      </c>
      <c r="K400" s="2">
        <v>45980</v>
      </c>
      <c r="L400" s="88">
        <f>IF(OR(Data[[#This Row],[Service Follow-up Date]]="",Data[[#This Row],[Delivery Date]]=""),"",INT(Data[[#This Row],[Service Follow-up Date]]-Data[[#This Row],[Delivery Date]]))</f>
        <v>18</v>
      </c>
      <c r="M400" s="1">
        <v>5</v>
      </c>
      <c r="N400" s="1">
        <v>1</v>
      </c>
      <c r="O400" s="1">
        <v>3</v>
      </c>
      <c r="P400" s="1">
        <v>6</v>
      </c>
      <c r="Q400" t="str">
        <f>IF(ISBLANK(Data[[#This Row],[Customer Rating]]),"No Rating",IF(Data[[#This Row],[Customer Rating]]&gt;=9,"Promoter",IF(Data[[#This Row],[Customer Rating]]&gt;=7,"Passive","Detractor")))</f>
        <v>Detractor</v>
      </c>
    </row>
    <row r="401" spans="1:17" ht="14.25" customHeight="1" x14ac:dyDescent="0.3">
      <c r="A401" s="1" t="s">
        <v>427</v>
      </c>
      <c r="B401" s="1" t="s">
        <v>32</v>
      </c>
      <c r="C401" s="1" t="s">
        <v>16</v>
      </c>
      <c r="D401" s="1" t="str">
        <f>IF(Data[[#This Row],[Cancellation Status]]="No", "High Potential", "Normal")</f>
        <v>High Potential</v>
      </c>
      <c r="E401" s="2">
        <v>45946</v>
      </c>
      <c r="F401" s="2">
        <v>45948</v>
      </c>
      <c r="G401" s="2">
        <v>45949</v>
      </c>
      <c r="H401" s="2">
        <v>45956</v>
      </c>
      <c r="I401" s="1" t="s">
        <v>17</v>
      </c>
      <c r="K401" s="2">
        <v>45978</v>
      </c>
      <c r="L401" s="88">
        <f>IF(OR(Data[[#This Row],[Service Follow-up Date]]="",Data[[#This Row],[Delivery Date]]=""),"",INT(Data[[#This Row],[Service Follow-up Date]]-Data[[#This Row],[Delivery Date]]))</f>
        <v>22</v>
      </c>
      <c r="M401" s="1">
        <v>2</v>
      </c>
      <c r="N401" s="1">
        <v>1</v>
      </c>
      <c r="O401" s="1">
        <v>7</v>
      </c>
      <c r="P401" s="1">
        <v>7</v>
      </c>
      <c r="Q401" t="str">
        <f>IF(ISBLANK(Data[[#This Row],[Customer Rating]]),"No Rating",IF(Data[[#This Row],[Customer Rating]]&gt;=9,"Promoter",IF(Data[[#This Row],[Customer Rating]]&gt;=7,"Passive","Detractor")))</f>
        <v>Passive</v>
      </c>
    </row>
    <row r="402" spans="1:17" ht="14.25" customHeight="1" x14ac:dyDescent="0.3">
      <c r="A402" s="1" t="s">
        <v>428</v>
      </c>
      <c r="B402" s="1" t="s">
        <v>19</v>
      </c>
      <c r="C402" s="1" t="s">
        <v>16</v>
      </c>
      <c r="D402" s="1" t="str">
        <f>IF(Data[[#This Row],[Cancellation Status]]="No", "High Potential", "Normal")</f>
        <v>High Potential</v>
      </c>
      <c r="E402" s="2">
        <v>45934</v>
      </c>
      <c r="F402" s="2">
        <v>45938</v>
      </c>
      <c r="G402" s="2">
        <v>45943</v>
      </c>
      <c r="H402" s="2">
        <v>45950</v>
      </c>
      <c r="I402" s="1" t="s">
        <v>17</v>
      </c>
      <c r="K402" s="2">
        <v>45964</v>
      </c>
      <c r="L402" s="88">
        <f>IF(OR(Data[[#This Row],[Service Follow-up Date]]="",Data[[#This Row],[Delivery Date]]=""),"",INT(Data[[#This Row],[Service Follow-up Date]]-Data[[#This Row],[Delivery Date]]))</f>
        <v>14</v>
      </c>
      <c r="M402" s="1">
        <v>4</v>
      </c>
      <c r="N402" s="1">
        <v>5</v>
      </c>
      <c r="O402" s="1">
        <v>7</v>
      </c>
      <c r="P402" s="1">
        <v>1</v>
      </c>
      <c r="Q402" t="str">
        <f>IF(ISBLANK(Data[[#This Row],[Customer Rating]]),"No Rating",IF(Data[[#This Row],[Customer Rating]]&gt;=9,"Promoter",IF(Data[[#This Row],[Customer Rating]]&gt;=7,"Passive","Detractor")))</f>
        <v>Detractor</v>
      </c>
    </row>
    <row r="403" spans="1:17" ht="14.25" customHeight="1" x14ac:dyDescent="0.3">
      <c r="A403" s="1" t="s">
        <v>429</v>
      </c>
      <c r="B403" s="1" t="s">
        <v>15</v>
      </c>
      <c r="C403" s="1" t="s">
        <v>16</v>
      </c>
      <c r="D403" s="1" t="str">
        <f>IF(Data[[#This Row],[Cancellation Status]]="No", "High Potential", "Normal")</f>
        <v>High Potential</v>
      </c>
      <c r="E403" s="2">
        <v>45931</v>
      </c>
      <c r="F403" s="2">
        <v>45932</v>
      </c>
      <c r="G403" s="2">
        <v>45933</v>
      </c>
      <c r="H403" s="2">
        <v>45936</v>
      </c>
      <c r="I403" s="1" t="s">
        <v>17</v>
      </c>
      <c r="K403" s="2">
        <v>45965</v>
      </c>
      <c r="L403" s="88">
        <f>IF(OR(Data[[#This Row],[Service Follow-up Date]]="",Data[[#This Row],[Delivery Date]]=""),"",INT(Data[[#This Row],[Service Follow-up Date]]-Data[[#This Row],[Delivery Date]]))</f>
        <v>29</v>
      </c>
      <c r="M403" s="1">
        <v>1</v>
      </c>
      <c r="N403" s="1">
        <v>1</v>
      </c>
      <c r="O403" s="1">
        <v>3</v>
      </c>
      <c r="P403" s="1">
        <v>8</v>
      </c>
      <c r="Q403" t="str">
        <f>IF(ISBLANK(Data[[#This Row],[Customer Rating]]),"No Rating",IF(Data[[#This Row],[Customer Rating]]&gt;=9,"Promoter",IF(Data[[#This Row],[Customer Rating]]&gt;=7,"Passive","Detractor")))</f>
        <v>Passive</v>
      </c>
    </row>
    <row r="404" spans="1:17" ht="14.25" customHeight="1" x14ac:dyDescent="0.3">
      <c r="A404" s="1" t="s">
        <v>430</v>
      </c>
      <c r="B404" s="1" t="s">
        <v>32</v>
      </c>
      <c r="C404" s="1" t="s">
        <v>16</v>
      </c>
      <c r="D404" s="1" t="str">
        <f>IF(Data[[#This Row],[Cancellation Status]]="No", "High Potential", "Normal")</f>
        <v>High Potential</v>
      </c>
      <c r="E404" s="2">
        <v>45951</v>
      </c>
      <c r="F404" s="2">
        <v>45955</v>
      </c>
      <c r="G404" s="2">
        <v>45959</v>
      </c>
      <c r="H404" s="2">
        <v>45961</v>
      </c>
      <c r="I404" s="1" t="s">
        <v>17</v>
      </c>
      <c r="K404" s="2">
        <v>45990</v>
      </c>
      <c r="L404" s="88">
        <f>IF(OR(Data[[#This Row],[Service Follow-up Date]]="",Data[[#This Row],[Delivery Date]]=""),"",INT(Data[[#This Row],[Service Follow-up Date]]-Data[[#This Row],[Delivery Date]]))</f>
        <v>29</v>
      </c>
      <c r="M404" s="1">
        <v>4</v>
      </c>
      <c r="N404" s="1">
        <v>4</v>
      </c>
      <c r="O404" s="1">
        <v>2</v>
      </c>
      <c r="P404" s="1">
        <v>7</v>
      </c>
      <c r="Q404" t="str">
        <f>IF(ISBLANK(Data[[#This Row],[Customer Rating]]),"No Rating",IF(Data[[#This Row],[Customer Rating]]&gt;=9,"Promoter",IF(Data[[#This Row],[Customer Rating]]&gt;=7,"Passive","Detractor")))</f>
        <v>Passive</v>
      </c>
    </row>
    <row r="405" spans="1:17" ht="14.25" customHeight="1" x14ac:dyDescent="0.3">
      <c r="A405" s="1" t="s">
        <v>431</v>
      </c>
      <c r="B405" s="1" t="s">
        <v>19</v>
      </c>
      <c r="C405" s="1" t="s">
        <v>22</v>
      </c>
      <c r="D405" s="1" t="str">
        <f>IF(Data[[#This Row],[Cancellation Status]]="No", "High Potential", "Normal")</f>
        <v>Normal</v>
      </c>
      <c r="E405" s="2">
        <v>45950</v>
      </c>
      <c r="I405" s="1" t="s">
        <v>23</v>
      </c>
      <c r="J405" s="1" t="s">
        <v>33</v>
      </c>
      <c r="L405" s="88" t="str">
        <f>IF(OR(Data[[#This Row],[Service Follow-up Date]]="",Data[[#This Row],[Delivery Date]]=""),"",INT(Data[[#This Row],[Service Follow-up Date]]-Data[[#This Row],[Delivery Date]]))</f>
        <v/>
      </c>
      <c r="Q405" t="str">
        <f>IF(ISBLANK(Data[[#This Row],[Customer Rating]]),"No Rating",IF(Data[[#This Row],[Customer Rating]]&gt;=9,"Promoter",IF(Data[[#This Row],[Customer Rating]]&gt;=7,"Passive","Detractor")))</f>
        <v>No Rating</v>
      </c>
    </row>
    <row r="406" spans="1:17" ht="14.25" customHeight="1" x14ac:dyDescent="0.3">
      <c r="A406" s="1" t="s">
        <v>432</v>
      </c>
      <c r="B406" s="1" t="s">
        <v>32</v>
      </c>
      <c r="C406" s="1" t="s">
        <v>16</v>
      </c>
      <c r="D406" s="1" t="str">
        <f>IF(Data[[#This Row],[Cancellation Status]]="No", "High Potential", "Normal")</f>
        <v>Normal</v>
      </c>
      <c r="E406" s="2">
        <v>45956</v>
      </c>
      <c r="F406" s="2">
        <v>45959</v>
      </c>
      <c r="G406" s="2">
        <v>45964</v>
      </c>
      <c r="H406" s="2">
        <v>45970</v>
      </c>
      <c r="I406" s="1" t="s">
        <v>23</v>
      </c>
      <c r="J406" s="1" t="s">
        <v>24</v>
      </c>
      <c r="L406" s="88" t="str">
        <f>IF(OR(Data[[#This Row],[Service Follow-up Date]]="",Data[[#This Row],[Delivery Date]]=""),"",INT(Data[[#This Row],[Service Follow-up Date]]-Data[[#This Row],[Delivery Date]]))</f>
        <v/>
      </c>
      <c r="M406" s="1">
        <v>3</v>
      </c>
      <c r="N406" s="1">
        <v>5</v>
      </c>
      <c r="O406" s="1">
        <v>6</v>
      </c>
      <c r="Q406" t="str">
        <f>IF(ISBLANK(Data[[#This Row],[Customer Rating]]),"No Rating",IF(Data[[#This Row],[Customer Rating]]&gt;=9,"Promoter",IF(Data[[#This Row],[Customer Rating]]&gt;=7,"Passive","Detractor")))</f>
        <v>No Rating</v>
      </c>
    </row>
    <row r="407" spans="1:17" ht="14.25" customHeight="1" x14ac:dyDescent="0.3">
      <c r="A407" s="1" t="s">
        <v>433</v>
      </c>
      <c r="B407" s="1" t="s">
        <v>15</v>
      </c>
      <c r="C407" s="1" t="s">
        <v>16</v>
      </c>
      <c r="D407" s="1" t="str">
        <f>IF(Data[[#This Row],[Cancellation Status]]="No", "High Potential", "Normal")</f>
        <v>High Potential</v>
      </c>
      <c r="E407" s="2">
        <v>45938</v>
      </c>
      <c r="F407" s="2">
        <v>45940</v>
      </c>
      <c r="G407" s="2">
        <v>45941</v>
      </c>
      <c r="H407" s="2">
        <v>45947</v>
      </c>
      <c r="I407" s="1" t="s">
        <v>17</v>
      </c>
      <c r="K407" s="2">
        <v>45969</v>
      </c>
      <c r="L407" s="88">
        <f>IF(OR(Data[[#This Row],[Service Follow-up Date]]="",Data[[#This Row],[Delivery Date]]=""),"",INT(Data[[#This Row],[Service Follow-up Date]]-Data[[#This Row],[Delivery Date]]))</f>
        <v>22</v>
      </c>
      <c r="M407" s="1">
        <v>2</v>
      </c>
      <c r="N407" s="1">
        <v>1</v>
      </c>
      <c r="O407" s="1">
        <v>6</v>
      </c>
      <c r="P407" s="1">
        <v>7</v>
      </c>
      <c r="Q407" t="str">
        <f>IF(ISBLANK(Data[[#This Row],[Customer Rating]]),"No Rating",IF(Data[[#This Row],[Customer Rating]]&gt;=9,"Promoter",IF(Data[[#This Row],[Customer Rating]]&gt;=7,"Passive","Detractor")))</f>
        <v>Passive</v>
      </c>
    </row>
    <row r="408" spans="1:17" ht="14.25" customHeight="1" x14ac:dyDescent="0.3">
      <c r="A408" s="1" t="s">
        <v>434</v>
      </c>
      <c r="B408" s="1" t="s">
        <v>21</v>
      </c>
      <c r="C408" s="1" t="s">
        <v>30</v>
      </c>
      <c r="D408" s="1" t="str">
        <f>IF(Data[[#This Row],[Cancellation Status]]="No", "High Potential", "Normal")</f>
        <v>High Potential</v>
      </c>
      <c r="E408" s="2">
        <v>45953</v>
      </c>
      <c r="F408" s="2">
        <v>45957</v>
      </c>
      <c r="G408" s="2">
        <v>45959</v>
      </c>
      <c r="H408" s="2">
        <v>45961</v>
      </c>
      <c r="I408" s="1" t="s">
        <v>17</v>
      </c>
      <c r="K408" s="2">
        <v>45972</v>
      </c>
      <c r="L408" s="88">
        <f>IF(OR(Data[[#This Row],[Service Follow-up Date]]="",Data[[#This Row],[Delivery Date]]=""),"",INT(Data[[#This Row],[Service Follow-up Date]]-Data[[#This Row],[Delivery Date]]))</f>
        <v>11</v>
      </c>
      <c r="M408" s="1">
        <v>4</v>
      </c>
      <c r="N408" s="1">
        <v>2</v>
      </c>
      <c r="O408" s="1">
        <v>2</v>
      </c>
      <c r="P408" s="1">
        <v>7</v>
      </c>
      <c r="Q408" t="str">
        <f>IF(ISBLANK(Data[[#This Row],[Customer Rating]]),"No Rating",IF(Data[[#This Row],[Customer Rating]]&gt;=9,"Promoter",IF(Data[[#This Row],[Customer Rating]]&gt;=7,"Passive","Detractor")))</f>
        <v>Passive</v>
      </c>
    </row>
    <row r="409" spans="1:17" ht="14.25" customHeight="1" x14ac:dyDescent="0.3">
      <c r="A409" s="1" t="s">
        <v>435</v>
      </c>
      <c r="B409" s="1" t="s">
        <v>15</v>
      </c>
      <c r="C409" s="1" t="s">
        <v>22</v>
      </c>
      <c r="D409" s="1" t="str">
        <f>IF(Data[[#This Row],[Cancellation Status]]="No", "High Potential", "Normal")</f>
        <v>Normal</v>
      </c>
      <c r="E409" s="2">
        <v>45936</v>
      </c>
      <c r="I409" s="1" t="s">
        <v>23</v>
      </c>
      <c r="J409" s="1" t="s">
        <v>24</v>
      </c>
      <c r="L409" s="88" t="str">
        <f>IF(OR(Data[[#This Row],[Service Follow-up Date]]="",Data[[#This Row],[Delivery Date]]=""),"",INT(Data[[#This Row],[Service Follow-up Date]]-Data[[#This Row],[Delivery Date]]))</f>
        <v/>
      </c>
      <c r="Q409" t="str">
        <f>IF(ISBLANK(Data[[#This Row],[Customer Rating]]),"No Rating",IF(Data[[#This Row],[Customer Rating]]&gt;=9,"Promoter",IF(Data[[#This Row],[Customer Rating]]&gt;=7,"Passive","Detractor")))</f>
        <v>No Rating</v>
      </c>
    </row>
    <row r="410" spans="1:17" ht="14.25" customHeight="1" x14ac:dyDescent="0.3">
      <c r="A410" s="1" t="s">
        <v>436</v>
      </c>
      <c r="B410" s="1" t="s">
        <v>15</v>
      </c>
      <c r="C410" s="1" t="s">
        <v>30</v>
      </c>
      <c r="D410" s="1" t="str">
        <f>IF(Data[[#This Row],[Cancellation Status]]="No", "High Potential", "Normal")</f>
        <v>Normal</v>
      </c>
      <c r="E410" s="2">
        <v>45940</v>
      </c>
      <c r="F410" s="2">
        <v>45945</v>
      </c>
      <c r="G410" s="2">
        <v>45946</v>
      </c>
      <c r="H410" s="2">
        <v>45952</v>
      </c>
      <c r="I410" s="1" t="s">
        <v>23</v>
      </c>
      <c r="J410" s="1" t="s">
        <v>24</v>
      </c>
      <c r="L410" s="88" t="str">
        <f>IF(OR(Data[[#This Row],[Service Follow-up Date]]="",Data[[#This Row],[Delivery Date]]=""),"",INT(Data[[#This Row],[Service Follow-up Date]]-Data[[#This Row],[Delivery Date]]))</f>
        <v/>
      </c>
      <c r="M410" s="1">
        <v>5</v>
      </c>
      <c r="N410" s="1">
        <v>1</v>
      </c>
      <c r="O410" s="1">
        <v>6</v>
      </c>
      <c r="Q410" t="str">
        <f>IF(ISBLANK(Data[[#This Row],[Customer Rating]]),"No Rating",IF(Data[[#This Row],[Customer Rating]]&gt;=9,"Promoter",IF(Data[[#This Row],[Customer Rating]]&gt;=7,"Passive","Detractor")))</f>
        <v>No Rating</v>
      </c>
    </row>
    <row r="411" spans="1:17" ht="14.25" customHeight="1" x14ac:dyDescent="0.3">
      <c r="A411" s="1" t="s">
        <v>437</v>
      </c>
      <c r="B411" s="1" t="s">
        <v>15</v>
      </c>
      <c r="C411" s="1" t="s">
        <v>30</v>
      </c>
      <c r="D411" s="1" t="str">
        <f>IF(Data[[#This Row],[Cancellation Status]]="No", "High Potential", "Normal")</f>
        <v>High Potential</v>
      </c>
      <c r="E411" s="2">
        <v>45948</v>
      </c>
      <c r="F411" s="2">
        <v>45951</v>
      </c>
      <c r="G411" s="2">
        <v>45955</v>
      </c>
      <c r="H411" s="2">
        <v>45962</v>
      </c>
      <c r="I411" s="1" t="s">
        <v>17</v>
      </c>
      <c r="K411" s="2">
        <v>45984</v>
      </c>
      <c r="L411" s="88">
        <f>IF(OR(Data[[#This Row],[Service Follow-up Date]]="",Data[[#This Row],[Delivery Date]]=""),"",INT(Data[[#This Row],[Service Follow-up Date]]-Data[[#This Row],[Delivery Date]]))</f>
        <v>22</v>
      </c>
      <c r="M411" s="1">
        <v>3</v>
      </c>
      <c r="N411" s="1">
        <v>4</v>
      </c>
      <c r="O411" s="1">
        <v>7</v>
      </c>
      <c r="P411" s="1">
        <v>1</v>
      </c>
      <c r="Q411" t="str">
        <f>IF(ISBLANK(Data[[#This Row],[Customer Rating]]),"No Rating",IF(Data[[#This Row],[Customer Rating]]&gt;=9,"Promoter",IF(Data[[#This Row],[Customer Rating]]&gt;=7,"Passive","Detractor")))</f>
        <v>Detractor</v>
      </c>
    </row>
    <row r="412" spans="1:17" ht="14.25" customHeight="1" x14ac:dyDescent="0.3">
      <c r="A412" s="1" t="s">
        <v>438</v>
      </c>
      <c r="B412" s="1" t="s">
        <v>15</v>
      </c>
      <c r="C412" s="1" t="s">
        <v>30</v>
      </c>
      <c r="D412" s="1" t="str">
        <f>IF(Data[[#This Row],[Cancellation Status]]="No", "High Potential", "Normal")</f>
        <v>High Potential</v>
      </c>
      <c r="E412" s="2">
        <v>45931</v>
      </c>
      <c r="F412" s="2">
        <v>45935</v>
      </c>
      <c r="G412" s="2">
        <v>45939</v>
      </c>
      <c r="H412" s="2">
        <v>45942</v>
      </c>
      <c r="I412" s="1" t="s">
        <v>17</v>
      </c>
      <c r="K412" s="2">
        <v>45962</v>
      </c>
      <c r="L412" s="88">
        <f>IF(OR(Data[[#This Row],[Service Follow-up Date]]="",Data[[#This Row],[Delivery Date]]=""),"",INT(Data[[#This Row],[Service Follow-up Date]]-Data[[#This Row],[Delivery Date]]))</f>
        <v>20</v>
      </c>
      <c r="M412" s="1">
        <v>4</v>
      </c>
      <c r="N412" s="1">
        <v>4</v>
      </c>
      <c r="O412" s="1">
        <v>3</v>
      </c>
      <c r="P412" s="1">
        <v>1</v>
      </c>
      <c r="Q412" t="str">
        <f>IF(ISBLANK(Data[[#This Row],[Customer Rating]]),"No Rating",IF(Data[[#This Row],[Customer Rating]]&gt;=9,"Promoter",IF(Data[[#This Row],[Customer Rating]]&gt;=7,"Passive","Detractor")))</f>
        <v>Detractor</v>
      </c>
    </row>
    <row r="413" spans="1:17" ht="14.25" customHeight="1" x14ac:dyDescent="0.3">
      <c r="A413" s="1" t="s">
        <v>439</v>
      </c>
      <c r="B413" s="1" t="s">
        <v>21</v>
      </c>
      <c r="C413" s="1" t="s">
        <v>16</v>
      </c>
      <c r="D413" s="1" t="str">
        <f>IF(Data[[#This Row],[Cancellation Status]]="No", "High Potential", "Normal")</f>
        <v>High Potential</v>
      </c>
      <c r="E413" s="2">
        <v>45948</v>
      </c>
      <c r="F413" s="2">
        <v>45950</v>
      </c>
      <c r="G413" s="2">
        <v>45952</v>
      </c>
      <c r="H413" s="2">
        <v>45957</v>
      </c>
      <c r="I413" s="1" t="s">
        <v>17</v>
      </c>
      <c r="K413" s="2">
        <v>45974</v>
      </c>
      <c r="L413" s="88">
        <f>IF(OR(Data[[#This Row],[Service Follow-up Date]]="",Data[[#This Row],[Delivery Date]]=""),"",INT(Data[[#This Row],[Service Follow-up Date]]-Data[[#This Row],[Delivery Date]]))</f>
        <v>17</v>
      </c>
      <c r="M413" s="1">
        <v>2</v>
      </c>
      <c r="N413" s="1">
        <v>2</v>
      </c>
      <c r="O413" s="1">
        <v>5</v>
      </c>
      <c r="P413" s="1">
        <v>10</v>
      </c>
      <c r="Q413" t="str">
        <f>IF(ISBLANK(Data[[#This Row],[Customer Rating]]),"No Rating",IF(Data[[#This Row],[Customer Rating]]&gt;=9,"Promoter",IF(Data[[#This Row],[Customer Rating]]&gt;=7,"Passive","Detractor")))</f>
        <v>Promoter</v>
      </c>
    </row>
    <row r="414" spans="1:17" ht="14.25" customHeight="1" x14ac:dyDescent="0.3">
      <c r="A414" s="1" t="s">
        <v>440</v>
      </c>
      <c r="B414" s="1" t="s">
        <v>21</v>
      </c>
      <c r="C414" s="1" t="s">
        <v>30</v>
      </c>
      <c r="D414" s="1" t="str">
        <f>IF(Data[[#This Row],[Cancellation Status]]="No", "High Potential", "Normal")</f>
        <v>High Potential</v>
      </c>
      <c r="E414" s="2">
        <v>45944</v>
      </c>
      <c r="F414" s="2">
        <v>45949</v>
      </c>
      <c r="G414" s="2">
        <v>45954</v>
      </c>
      <c r="H414" s="2">
        <v>45958</v>
      </c>
      <c r="I414" s="1" t="s">
        <v>17</v>
      </c>
      <c r="K414" s="2">
        <v>45969</v>
      </c>
      <c r="L414" s="88">
        <f>IF(OR(Data[[#This Row],[Service Follow-up Date]]="",Data[[#This Row],[Delivery Date]]=""),"",INT(Data[[#This Row],[Service Follow-up Date]]-Data[[#This Row],[Delivery Date]]))</f>
        <v>11</v>
      </c>
      <c r="M414" s="1">
        <v>5</v>
      </c>
      <c r="N414" s="1">
        <v>5</v>
      </c>
      <c r="O414" s="1">
        <v>4</v>
      </c>
      <c r="P414" s="1">
        <v>7</v>
      </c>
      <c r="Q414" t="str">
        <f>IF(ISBLANK(Data[[#This Row],[Customer Rating]]),"No Rating",IF(Data[[#This Row],[Customer Rating]]&gt;=9,"Promoter",IF(Data[[#This Row],[Customer Rating]]&gt;=7,"Passive","Detractor")))</f>
        <v>Passive</v>
      </c>
    </row>
    <row r="415" spans="1:17" ht="14.25" customHeight="1" x14ac:dyDescent="0.3">
      <c r="A415" s="1" t="s">
        <v>441</v>
      </c>
      <c r="B415" s="1" t="s">
        <v>32</v>
      </c>
      <c r="C415" s="1" t="s">
        <v>30</v>
      </c>
      <c r="D415" s="1" t="str">
        <f>IF(Data[[#This Row],[Cancellation Status]]="No", "High Potential", "Normal")</f>
        <v>High Potential</v>
      </c>
      <c r="E415" s="2">
        <v>45933</v>
      </c>
      <c r="F415" s="2">
        <v>45935</v>
      </c>
      <c r="G415" s="2">
        <v>45937</v>
      </c>
      <c r="H415" s="2">
        <v>45944</v>
      </c>
      <c r="I415" s="1" t="s">
        <v>17</v>
      </c>
      <c r="K415" s="2">
        <v>45969</v>
      </c>
      <c r="L415" s="88">
        <f>IF(OR(Data[[#This Row],[Service Follow-up Date]]="",Data[[#This Row],[Delivery Date]]=""),"",INT(Data[[#This Row],[Service Follow-up Date]]-Data[[#This Row],[Delivery Date]]))</f>
        <v>25</v>
      </c>
      <c r="M415" s="1">
        <v>2</v>
      </c>
      <c r="N415" s="1">
        <v>2</v>
      </c>
      <c r="O415" s="1">
        <v>7</v>
      </c>
      <c r="P415" s="1">
        <v>3</v>
      </c>
      <c r="Q415" t="str">
        <f>IF(ISBLANK(Data[[#This Row],[Customer Rating]]),"No Rating",IF(Data[[#This Row],[Customer Rating]]&gt;=9,"Promoter",IF(Data[[#This Row],[Customer Rating]]&gt;=7,"Passive","Detractor")))</f>
        <v>Detractor</v>
      </c>
    </row>
    <row r="416" spans="1:17" ht="14.25" customHeight="1" x14ac:dyDescent="0.3">
      <c r="A416" s="1" t="s">
        <v>442</v>
      </c>
      <c r="B416" s="1" t="s">
        <v>19</v>
      </c>
      <c r="C416" s="1" t="s">
        <v>30</v>
      </c>
      <c r="D416" s="1" t="str">
        <f>IF(Data[[#This Row],[Cancellation Status]]="No", "High Potential", "Normal")</f>
        <v>Normal</v>
      </c>
      <c r="E416" s="2">
        <v>45938</v>
      </c>
      <c r="F416" s="2">
        <v>45941</v>
      </c>
      <c r="G416" s="2">
        <v>45942</v>
      </c>
      <c r="H416" s="2">
        <v>45945</v>
      </c>
      <c r="I416" s="1" t="s">
        <v>23</v>
      </c>
      <c r="J416" s="1" t="s">
        <v>101</v>
      </c>
      <c r="L416" s="88" t="str">
        <f>IF(OR(Data[[#This Row],[Service Follow-up Date]]="",Data[[#This Row],[Delivery Date]]=""),"",INT(Data[[#This Row],[Service Follow-up Date]]-Data[[#This Row],[Delivery Date]]))</f>
        <v/>
      </c>
      <c r="M416" s="1">
        <v>3</v>
      </c>
      <c r="N416" s="1">
        <v>1</v>
      </c>
      <c r="O416" s="1">
        <v>3</v>
      </c>
      <c r="Q416" t="str">
        <f>IF(ISBLANK(Data[[#This Row],[Customer Rating]]),"No Rating",IF(Data[[#This Row],[Customer Rating]]&gt;=9,"Promoter",IF(Data[[#This Row],[Customer Rating]]&gt;=7,"Passive","Detractor")))</f>
        <v>No Rating</v>
      </c>
    </row>
    <row r="417" spans="1:17" ht="14.25" customHeight="1" x14ac:dyDescent="0.3">
      <c r="A417" s="1" t="s">
        <v>443</v>
      </c>
      <c r="B417" s="1" t="s">
        <v>21</v>
      </c>
      <c r="C417" s="1" t="s">
        <v>30</v>
      </c>
      <c r="D417" s="1" t="str">
        <f>IF(Data[[#This Row],[Cancellation Status]]="No", "High Potential", "Normal")</f>
        <v>High Potential</v>
      </c>
      <c r="E417" s="2">
        <v>45957</v>
      </c>
      <c r="F417" s="2">
        <v>45961</v>
      </c>
      <c r="G417" s="2">
        <v>45963</v>
      </c>
      <c r="H417" s="2">
        <v>45970</v>
      </c>
      <c r="I417" s="1" t="s">
        <v>17</v>
      </c>
      <c r="K417" s="2">
        <v>45988</v>
      </c>
      <c r="L417" s="88">
        <f>IF(OR(Data[[#This Row],[Service Follow-up Date]]="",Data[[#This Row],[Delivery Date]]=""),"",INT(Data[[#This Row],[Service Follow-up Date]]-Data[[#This Row],[Delivery Date]]))</f>
        <v>18</v>
      </c>
      <c r="M417" s="1">
        <v>4</v>
      </c>
      <c r="N417" s="1">
        <v>2</v>
      </c>
      <c r="O417" s="1">
        <v>7</v>
      </c>
      <c r="P417" s="1">
        <v>0</v>
      </c>
      <c r="Q417" t="str">
        <f>IF(ISBLANK(Data[[#This Row],[Customer Rating]]),"No Rating",IF(Data[[#This Row],[Customer Rating]]&gt;=9,"Promoter",IF(Data[[#This Row],[Customer Rating]]&gt;=7,"Passive","Detractor")))</f>
        <v>Detractor</v>
      </c>
    </row>
    <row r="418" spans="1:17" ht="14.25" customHeight="1" x14ac:dyDescent="0.3">
      <c r="A418" s="1" t="s">
        <v>444</v>
      </c>
      <c r="B418" s="1" t="s">
        <v>21</v>
      </c>
      <c r="C418" s="1" t="s">
        <v>16</v>
      </c>
      <c r="D418" s="1" t="str">
        <f>IF(Data[[#This Row],[Cancellation Status]]="No", "High Potential", "Normal")</f>
        <v>High Potential</v>
      </c>
      <c r="E418" s="2">
        <v>45960</v>
      </c>
      <c r="F418" s="2">
        <v>45962</v>
      </c>
      <c r="G418" s="2">
        <v>45967</v>
      </c>
      <c r="H418" s="2">
        <v>45974</v>
      </c>
      <c r="I418" s="1" t="s">
        <v>17</v>
      </c>
      <c r="K418" s="2">
        <v>45995</v>
      </c>
      <c r="L418" s="88">
        <f>IF(OR(Data[[#This Row],[Service Follow-up Date]]="",Data[[#This Row],[Delivery Date]]=""),"",INT(Data[[#This Row],[Service Follow-up Date]]-Data[[#This Row],[Delivery Date]]))</f>
        <v>21</v>
      </c>
      <c r="M418" s="1">
        <v>2</v>
      </c>
      <c r="N418" s="1">
        <v>5</v>
      </c>
      <c r="O418" s="1">
        <v>7</v>
      </c>
      <c r="P418" s="1">
        <v>4</v>
      </c>
      <c r="Q418" t="str">
        <f>IF(ISBLANK(Data[[#This Row],[Customer Rating]]),"No Rating",IF(Data[[#This Row],[Customer Rating]]&gt;=9,"Promoter",IF(Data[[#This Row],[Customer Rating]]&gt;=7,"Passive","Detractor")))</f>
        <v>Detractor</v>
      </c>
    </row>
    <row r="419" spans="1:17" ht="14.25" customHeight="1" x14ac:dyDescent="0.3">
      <c r="A419" s="1" t="s">
        <v>445</v>
      </c>
      <c r="B419" s="1" t="s">
        <v>19</v>
      </c>
      <c r="C419" s="1" t="s">
        <v>16</v>
      </c>
      <c r="D419" s="1" t="str">
        <f>IF(Data[[#This Row],[Cancellation Status]]="No", "High Potential", "Normal")</f>
        <v>High Potential</v>
      </c>
      <c r="E419" s="2">
        <v>45934</v>
      </c>
      <c r="F419" s="2">
        <v>45937</v>
      </c>
      <c r="G419" s="2">
        <v>45940</v>
      </c>
      <c r="H419" s="2">
        <v>45943</v>
      </c>
      <c r="I419" s="1" t="s">
        <v>17</v>
      </c>
      <c r="K419" s="2">
        <v>45953</v>
      </c>
      <c r="L419" s="88">
        <f>IF(OR(Data[[#This Row],[Service Follow-up Date]]="",Data[[#This Row],[Delivery Date]]=""),"",INT(Data[[#This Row],[Service Follow-up Date]]-Data[[#This Row],[Delivery Date]]))</f>
        <v>10</v>
      </c>
      <c r="M419" s="1">
        <v>3</v>
      </c>
      <c r="N419" s="1">
        <v>3</v>
      </c>
      <c r="O419" s="1">
        <v>3</v>
      </c>
      <c r="P419" s="1">
        <v>10</v>
      </c>
      <c r="Q419" t="str">
        <f>IF(ISBLANK(Data[[#This Row],[Customer Rating]]),"No Rating",IF(Data[[#This Row],[Customer Rating]]&gt;=9,"Promoter",IF(Data[[#This Row],[Customer Rating]]&gt;=7,"Passive","Detractor")))</f>
        <v>Promoter</v>
      </c>
    </row>
    <row r="420" spans="1:17" ht="14.25" customHeight="1" x14ac:dyDescent="0.3">
      <c r="A420" s="1" t="s">
        <v>446</v>
      </c>
      <c r="B420" s="1" t="s">
        <v>21</v>
      </c>
      <c r="C420" s="1" t="s">
        <v>16</v>
      </c>
      <c r="D420" s="1" t="str">
        <f>IF(Data[[#This Row],[Cancellation Status]]="No", "High Potential", "Normal")</f>
        <v>High Potential</v>
      </c>
      <c r="E420" s="2">
        <v>45945</v>
      </c>
      <c r="F420" s="2">
        <v>45950</v>
      </c>
      <c r="G420" s="2">
        <v>45952</v>
      </c>
      <c r="H420" s="2">
        <v>45957</v>
      </c>
      <c r="I420" s="1" t="s">
        <v>17</v>
      </c>
      <c r="K420" s="2">
        <v>45977</v>
      </c>
      <c r="L420" s="88">
        <f>IF(OR(Data[[#This Row],[Service Follow-up Date]]="",Data[[#This Row],[Delivery Date]]=""),"",INT(Data[[#This Row],[Service Follow-up Date]]-Data[[#This Row],[Delivery Date]]))</f>
        <v>20</v>
      </c>
      <c r="M420" s="1">
        <v>5</v>
      </c>
      <c r="N420" s="1">
        <v>2</v>
      </c>
      <c r="O420" s="1">
        <v>5</v>
      </c>
      <c r="P420" s="1">
        <v>9</v>
      </c>
      <c r="Q420" t="str">
        <f>IF(ISBLANK(Data[[#This Row],[Customer Rating]]),"No Rating",IF(Data[[#This Row],[Customer Rating]]&gt;=9,"Promoter",IF(Data[[#This Row],[Customer Rating]]&gt;=7,"Passive","Detractor")))</f>
        <v>Promoter</v>
      </c>
    </row>
    <row r="421" spans="1:17" ht="14.25" customHeight="1" x14ac:dyDescent="0.3">
      <c r="A421" s="1" t="s">
        <v>447</v>
      </c>
      <c r="B421" s="1" t="s">
        <v>15</v>
      </c>
      <c r="C421" s="1" t="s">
        <v>16</v>
      </c>
      <c r="D421" s="1" t="str">
        <f>IF(Data[[#This Row],[Cancellation Status]]="No", "High Potential", "Normal")</f>
        <v>High Potential</v>
      </c>
      <c r="E421" s="2">
        <v>45961</v>
      </c>
      <c r="F421" s="2">
        <v>45965</v>
      </c>
      <c r="G421" s="2">
        <v>45970</v>
      </c>
      <c r="H421" s="2">
        <v>45976</v>
      </c>
      <c r="I421" s="1" t="s">
        <v>17</v>
      </c>
      <c r="K421" s="2">
        <v>45995</v>
      </c>
      <c r="L421" s="88">
        <f>IF(OR(Data[[#This Row],[Service Follow-up Date]]="",Data[[#This Row],[Delivery Date]]=""),"",INT(Data[[#This Row],[Service Follow-up Date]]-Data[[#This Row],[Delivery Date]]))</f>
        <v>19</v>
      </c>
      <c r="M421" s="1">
        <v>4</v>
      </c>
      <c r="N421" s="1">
        <v>5</v>
      </c>
      <c r="O421" s="1">
        <v>6</v>
      </c>
      <c r="P421" s="1">
        <v>5</v>
      </c>
      <c r="Q421" t="str">
        <f>IF(ISBLANK(Data[[#This Row],[Customer Rating]]),"No Rating",IF(Data[[#This Row],[Customer Rating]]&gt;=9,"Promoter",IF(Data[[#This Row],[Customer Rating]]&gt;=7,"Passive","Detractor")))</f>
        <v>Detractor</v>
      </c>
    </row>
    <row r="422" spans="1:17" ht="14.25" customHeight="1" x14ac:dyDescent="0.3">
      <c r="A422" s="1" t="s">
        <v>448</v>
      </c>
      <c r="B422" s="1" t="s">
        <v>15</v>
      </c>
      <c r="C422" s="1" t="s">
        <v>16</v>
      </c>
      <c r="D422" s="1" t="str">
        <f>IF(Data[[#This Row],[Cancellation Status]]="No", "High Potential", "Normal")</f>
        <v>High Potential</v>
      </c>
      <c r="E422" s="2">
        <v>45934</v>
      </c>
      <c r="F422" s="2">
        <v>45938</v>
      </c>
      <c r="G422" s="2">
        <v>45941</v>
      </c>
      <c r="H422" s="2">
        <v>45948</v>
      </c>
      <c r="I422" s="1" t="s">
        <v>17</v>
      </c>
      <c r="K422" s="2">
        <v>45967</v>
      </c>
      <c r="L422" s="88">
        <f>IF(OR(Data[[#This Row],[Service Follow-up Date]]="",Data[[#This Row],[Delivery Date]]=""),"",INT(Data[[#This Row],[Service Follow-up Date]]-Data[[#This Row],[Delivery Date]]))</f>
        <v>19</v>
      </c>
      <c r="M422" s="1">
        <v>4</v>
      </c>
      <c r="N422" s="1">
        <v>3</v>
      </c>
      <c r="O422" s="1">
        <v>7</v>
      </c>
      <c r="P422" s="1">
        <v>1</v>
      </c>
      <c r="Q422" t="str">
        <f>IF(ISBLANK(Data[[#This Row],[Customer Rating]]),"No Rating",IF(Data[[#This Row],[Customer Rating]]&gt;=9,"Promoter",IF(Data[[#This Row],[Customer Rating]]&gt;=7,"Passive","Detractor")))</f>
        <v>Detractor</v>
      </c>
    </row>
    <row r="423" spans="1:17" ht="14.25" customHeight="1" x14ac:dyDescent="0.3">
      <c r="A423" s="1" t="s">
        <v>449</v>
      </c>
      <c r="B423" s="1" t="s">
        <v>19</v>
      </c>
      <c r="C423" s="1" t="s">
        <v>30</v>
      </c>
      <c r="D423" s="1" t="str">
        <f>IF(Data[[#This Row],[Cancellation Status]]="No", "High Potential", "Normal")</f>
        <v>High Potential</v>
      </c>
      <c r="E423" s="2">
        <v>45951</v>
      </c>
      <c r="F423" s="2">
        <v>45954</v>
      </c>
      <c r="G423" s="2">
        <v>45959</v>
      </c>
      <c r="H423" s="2">
        <v>45964</v>
      </c>
      <c r="I423" s="1" t="s">
        <v>17</v>
      </c>
      <c r="K423" s="2">
        <v>45982</v>
      </c>
      <c r="L423" s="88">
        <f>IF(OR(Data[[#This Row],[Service Follow-up Date]]="",Data[[#This Row],[Delivery Date]]=""),"",INT(Data[[#This Row],[Service Follow-up Date]]-Data[[#This Row],[Delivery Date]]))</f>
        <v>18</v>
      </c>
      <c r="M423" s="1">
        <v>3</v>
      </c>
      <c r="N423" s="1">
        <v>5</v>
      </c>
      <c r="O423" s="1">
        <v>5</v>
      </c>
      <c r="P423" s="1">
        <v>7</v>
      </c>
      <c r="Q423" t="str">
        <f>IF(ISBLANK(Data[[#This Row],[Customer Rating]]),"No Rating",IF(Data[[#This Row],[Customer Rating]]&gt;=9,"Promoter",IF(Data[[#This Row],[Customer Rating]]&gt;=7,"Passive","Detractor")))</f>
        <v>Passive</v>
      </c>
    </row>
    <row r="424" spans="1:17" ht="14.25" customHeight="1" x14ac:dyDescent="0.3">
      <c r="A424" s="1" t="s">
        <v>450</v>
      </c>
      <c r="B424" s="1" t="s">
        <v>32</v>
      </c>
      <c r="C424" s="1" t="s">
        <v>16</v>
      </c>
      <c r="D424" s="1" t="str">
        <f>IF(Data[[#This Row],[Cancellation Status]]="No", "High Potential", "Normal")</f>
        <v>High Potential</v>
      </c>
      <c r="E424" s="2">
        <v>45957</v>
      </c>
      <c r="F424" s="2">
        <v>45961</v>
      </c>
      <c r="G424" s="2">
        <v>45966</v>
      </c>
      <c r="H424" s="2">
        <v>45969</v>
      </c>
      <c r="I424" s="1" t="s">
        <v>17</v>
      </c>
      <c r="K424" s="2">
        <v>45994</v>
      </c>
      <c r="L424" s="88">
        <f>IF(OR(Data[[#This Row],[Service Follow-up Date]]="",Data[[#This Row],[Delivery Date]]=""),"",INT(Data[[#This Row],[Service Follow-up Date]]-Data[[#This Row],[Delivery Date]]))</f>
        <v>25</v>
      </c>
      <c r="M424" s="1">
        <v>4</v>
      </c>
      <c r="N424" s="1">
        <v>5</v>
      </c>
      <c r="O424" s="1">
        <v>3</v>
      </c>
      <c r="P424" s="1">
        <v>2</v>
      </c>
      <c r="Q424" t="str">
        <f>IF(ISBLANK(Data[[#This Row],[Customer Rating]]),"No Rating",IF(Data[[#This Row],[Customer Rating]]&gt;=9,"Promoter",IF(Data[[#This Row],[Customer Rating]]&gt;=7,"Passive","Detractor")))</f>
        <v>Detractor</v>
      </c>
    </row>
    <row r="425" spans="1:17" ht="14.25" customHeight="1" x14ac:dyDescent="0.3">
      <c r="A425" s="1" t="s">
        <v>451</v>
      </c>
      <c r="B425" s="1" t="s">
        <v>32</v>
      </c>
      <c r="C425" s="1" t="s">
        <v>22</v>
      </c>
      <c r="D425" s="1" t="str">
        <f>IF(Data[[#This Row],[Cancellation Status]]="No", "High Potential", "Normal")</f>
        <v>Normal</v>
      </c>
      <c r="E425" s="2">
        <v>45935</v>
      </c>
      <c r="I425" s="1" t="s">
        <v>23</v>
      </c>
      <c r="J425" s="1" t="s">
        <v>101</v>
      </c>
      <c r="L425" s="88" t="str">
        <f>IF(OR(Data[[#This Row],[Service Follow-up Date]]="",Data[[#This Row],[Delivery Date]]=""),"",INT(Data[[#This Row],[Service Follow-up Date]]-Data[[#This Row],[Delivery Date]]))</f>
        <v/>
      </c>
      <c r="Q425" t="str">
        <f>IF(ISBLANK(Data[[#This Row],[Customer Rating]]),"No Rating",IF(Data[[#This Row],[Customer Rating]]&gt;=9,"Promoter",IF(Data[[#This Row],[Customer Rating]]&gt;=7,"Passive","Detractor")))</f>
        <v>No Rating</v>
      </c>
    </row>
    <row r="426" spans="1:17" ht="14.25" customHeight="1" x14ac:dyDescent="0.3">
      <c r="A426" s="1" t="s">
        <v>452</v>
      </c>
      <c r="B426" s="1" t="s">
        <v>19</v>
      </c>
      <c r="C426" s="1" t="s">
        <v>16</v>
      </c>
      <c r="D426" s="1" t="str">
        <f>IF(Data[[#This Row],[Cancellation Status]]="No", "High Potential", "Normal")</f>
        <v>High Potential</v>
      </c>
      <c r="E426" s="2">
        <v>45946</v>
      </c>
      <c r="F426" s="2">
        <v>45951</v>
      </c>
      <c r="G426" s="2">
        <v>45954</v>
      </c>
      <c r="H426" s="2">
        <v>45956</v>
      </c>
      <c r="I426" s="1" t="s">
        <v>17</v>
      </c>
      <c r="K426" s="2">
        <v>45969</v>
      </c>
      <c r="L426" s="88">
        <f>IF(OR(Data[[#This Row],[Service Follow-up Date]]="",Data[[#This Row],[Delivery Date]]=""),"",INT(Data[[#This Row],[Service Follow-up Date]]-Data[[#This Row],[Delivery Date]]))</f>
        <v>13</v>
      </c>
      <c r="M426" s="1">
        <v>5</v>
      </c>
      <c r="N426" s="1">
        <v>3</v>
      </c>
      <c r="O426" s="1">
        <v>2</v>
      </c>
      <c r="P426" s="1">
        <v>3</v>
      </c>
      <c r="Q426" t="str">
        <f>IF(ISBLANK(Data[[#This Row],[Customer Rating]]),"No Rating",IF(Data[[#This Row],[Customer Rating]]&gt;=9,"Promoter",IF(Data[[#This Row],[Customer Rating]]&gt;=7,"Passive","Detractor")))</f>
        <v>Detractor</v>
      </c>
    </row>
    <row r="427" spans="1:17" ht="14.25" customHeight="1" x14ac:dyDescent="0.3">
      <c r="A427" s="1" t="s">
        <v>453</v>
      </c>
      <c r="B427" s="1" t="s">
        <v>19</v>
      </c>
      <c r="C427" s="1" t="s">
        <v>30</v>
      </c>
      <c r="D427" s="1" t="str">
        <f>IF(Data[[#This Row],[Cancellation Status]]="No", "High Potential", "Normal")</f>
        <v>High Potential</v>
      </c>
      <c r="E427" s="2">
        <v>45960</v>
      </c>
      <c r="F427" s="2">
        <v>45965</v>
      </c>
      <c r="G427" s="2">
        <v>45967</v>
      </c>
      <c r="H427" s="2">
        <v>45969</v>
      </c>
      <c r="I427" s="1" t="s">
        <v>17</v>
      </c>
      <c r="K427" s="2">
        <v>45986</v>
      </c>
      <c r="L427" s="88">
        <f>IF(OR(Data[[#This Row],[Service Follow-up Date]]="",Data[[#This Row],[Delivery Date]]=""),"",INT(Data[[#This Row],[Service Follow-up Date]]-Data[[#This Row],[Delivery Date]]))</f>
        <v>17</v>
      </c>
      <c r="M427" s="1">
        <v>5</v>
      </c>
      <c r="N427" s="1">
        <v>2</v>
      </c>
      <c r="O427" s="1">
        <v>2</v>
      </c>
      <c r="P427" s="1">
        <v>3</v>
      </c>
      <c r="Q427" t="str">
        <f>IF(ISBLANK(Data[[#This Row],[Customer Rating]]),"No Rating",IF(Data[[#This Row],[Customer Rating]]&gt;=9,"Promoter",IF(Data[[#This Row],[Customer Rating]]&gt;=7,"Passive","Detractor")))</f>
        <v>Detractor</v>
      </c>
    </row>
    <row r="428" spans="1:17" ht="14.25" customHeight="1" x14ac:dyDescent="0.3">
      <c r="A428" s="1" t="s">
        <v>454</v>
      </c>
      <c r="B428" s="1" t="s">
        <v>15</v>
      </c>
      <c r="C428" s="1" t="s">
        <v>16</v>
      </c>
      <c r="D428" s="1" t="str">
        <f>IF(Data[[#This Row],[Cancellation Status]]="No", "High Potential", "Normal")</f>
        <v>High Potential</v>
      </c>
      <c r="E428" s="2">
        <v>45953</v>
      </c>
      <c r="F428" s="2">
        <v>45957</v>
      </c>
      <c r="G428" s="2">
        <v>45960</v>
      </c>
      <c r="H428" s="2">
        <v>45963</v>
      </c>
      <c r="I428" s="1" t="s">
        <v>17</v>
      </c>
      <c r="K428" s="2">
        <v>45977</v>
      </c>
      <c r="L428" s="88">
        <f>IF(OR(Data[[#This Row],[Service Follow-up Date]]="",Data[[#This Row],[Delivery Date]]=""),"",INT(Data[[#This Row],[Service Follow-up Date]]-Data[[#This Row],[Delivery Date]]))</f>
        <v>14</v>
      </c>
      <c r="M428" s="1">
        <v>4</v>
      </c>
      <c r="N428" s="1">
        <v>3</v>
      </c>
      <c r="O428" s="1">
        <v>3</v>
      </c>
      <c r="P428" s="1">
        <v>6</v>
      </c>
      <c r="Q428" t="str">
        <f>IF(ISBLANK(Data[[#This Row],[Customer Rating]]),"No Rating",IF(Data[[#This Row],[Customer Rating]]&gt;=9,"Promoter",IF(Data[[#This Row],[Customer Rating]]&gt;=7,"Passive","Detractor")))</f>
        <v>Detractor</v>
      </c>
    </row>
    <row r="429" spans="1:17" ht="14.25" customHeight="1" x14ac:dyDescent="0.3">
      <c r="A429" s="1" t="s">
        <v>455</v>
      </c>
      <c r="B429" s="1" t="s">
        <v>32</v>
      </c>
      <c r="C429" s="1" t="s">
        <v>16</v>
      </c>
      <c r="D429" s="1" t="str">
        <f>IF(Data[[#This Row],[Cancellation Status]]="No", "High Potential", "Normal")</f>
        <v>High Potential</v>
      </c>
      <c r="E429" s="2">
        <v>45940</v>
      </c>
      <c r="F429" s="2">
        <v>45942</v>
      </c>
      <c r="G429" s="2">
        <v>45944</v>
      </c>
      <c r="H429" s="2">
        <v>45946</v>
      </c>
      <c r="I429" s="1" t="s">
        <v>17</v>
      </c>
      <c r="K429" s="2">
        <v>45965</v>
      </c>
      <c r="L429" s="88">
        <f>IF(OR(Data[[#This Row],[Service Follow-up Date]]="",Data[[#This Row],[Delivery Date]]=""),"",INT(Data[[#This Row],[Service Follow-up Date]]-Data[[#This Row],[Delivery Date]]))</f>
        <v>19</v>
      </c>
      <c r="M429" s="1">
        <v>2</v>
      </c>
      <c r="N429" s="1">
        <v>2</v>
      </c>
      <c r="O429" s="1">
        <v>2</v>
      </c>
      <c r="P429" s="1">
        <v>7</v>
      </c>
      <c r="Q429" t="str">
        <f>IF(ISBLANK(Data[[#This Row],[Customer Rating]]),"No Rating",IF(Data[[#This Row],[Customer Rating]]&gt;=9,"Promoter",IF(Data[[#This Row],[Customer Rating]]&gt;=7,"Passive","Detractor")))</f>
        <v>Passive</v>
      </c>
    </row>
    <row r="430" spans="1:17" ht="14.25" customHeight="1" x14ac:dyDescent="0.3">
      <c r="A430" s="1" t="s">
        <v>456</v>
      </c>
      <c r="B430" s="1" t="s">
        <v>21</v>
      </c>
      <c r="C430" s="1" t="s">
        <v>16</v>
      </c>
      <c r="D430" s="1" t="str">
        <f>IF(Data[[#This Row],[Cancellation Status]]="No", "High Potential", "Normal")</f>
        <v>High Potential</v>
      </c>
      <c r="E430" s="2">
        <v>45947</v>
      </c>
      <c r="F430" s="2">
        <v>45949</v>
      </c>
      <c r="G430" s="2">
        <v>45954</v>
      </c>
      <c r="H430" s="2">
        <v>45960</v>
      </c>
      <c r="I430" s="1" t="s">
        <v>17</v>
      </c>
      <c r="K430" s="2">
        <v>45984</v>
      </c>
      <c r="L430" s="88">
        <f>IF(OR(Data[[#This Row],[Service Follow-up Date]]="",Data[[#This Row],[Delivery Date]]=""),"",INT(Data[[#This Row],[Service Follow-up Date]]-Data[[#This Row],[Delivery Date]]))</f>
        <v>24</v>
      </c>
      <c r="M430" s="1">
        <v>2</v>
      </c>
      <c r="N430" s="1">
        <v>5</v>
      </c>
      <c r="O430" s="1">
        <v>6</v>
      </c>
      <c r="P430" s="1">
        <v>8</v>
      </c>
      <c r="Q430" t="str">
        <f>IF(ISBLANK(Data[[#This Row],[Customer Rating]]),"No Rating",IF(Data[[#This Row],[Customer Rating]]&gt;=9,"Promoter",IF(Data[[#This Row],[Customer Rating]]&gt;=7,"Passive","Detractor")))</f>
        <v>Passive</v>
      </c>
    </row>
    <row r="431" spans="1:17" ht="14.25" customHeight="1" x14ac:dyDescent="0.3">
      <c r="A431" s="1" t="s">
        <v>457</v>
      </c>
      <c r="B431" s="1" t="s">
        <v>15</v>
      </c>
      <c r="C431" s="1" t="s">
        <v>30</v>
      </c>
      <c r="D431" s="1" t="str">
        <f>IF(Data[[#This Row],[Cancellation Status]]="No", "High Potential", "Normal")</f>
        <v>High Potential</v>
      </c>
      <c r="E431" s="2">
        <v>45953</v>
      </c>
      <c r="F431" s="2">
        <v>45958</v>
      </c>
      <c r="G431" s="2">
        <v>45960</v>
      </c>
      <c r="H431" s="2">
        <v>45967</v>
      </c>
      <c r="I431" s="1" t="s">
        <v>17</v>
      </c>
      <c r="K431" s="2">
        <v>45987</v>
      </c>
      <c r="L431" s="88">
        <f>IF(OR(Data[[#This Row],[Service Follow-up Date]]="",Data[[#This Row],[Delivery Date]]=""),"",INT(Data[[#This Row],[Service Follow-up Date]]-Data[[#This Row],[Delivery Date]]))</f>
        <v>20</v>
      </c>
      <c r="M431" s="1">
        <v>5</v>
      </c>
      <c r="N431" s="1">
        <v>2</v>
      </c>
      <c r="O431" s="1">
        <v>7</v>
      </c>
      <c r="P431" s="1">
        <v>6</v>
      </c>
      <c r="Q431" t="str">
        <f>IF(ISBLANK(Data[[#This Row],[Customer Rating]]),"No Rating",IF(Data[[#This Row],[Customer Rating]]&gt;=9,"Promoter",IF(Data[[#This Row],[Customer Rating]]&gt;=7,"Passive","Detractor")))</f>
        <v>Detractor</v>
      </c>
    </row>
    <row r="432" spans="1:17" ht="14.25" customHeight="1" x14ac:dyDescent="0.3">
      <c r="A432" s="1" t="s">
        <v>458</v>
      </c>
      <c r="B432" s="1" t="s">
        <v>19</v>
      </c>
      <c r="C432" s="1" t="s">
        <v>30</v>
      </c>
      <c r="D432" s="1" t="str">
        <f>IF(Data[[#This Row],[Cancellation Status]]="No", "High Potential", "Normal")</f>
        <v>High Potential</v>
      </c>
      <c r="E432" s="2">
        <v>45939</v>
      </c>
      <c r="F432" s="2">
        <v>45941</v>
      </c>
      <c r="G432" s="2">
        <v>45945</v>
      </c>
      <c r="H432" s="2">
        <v>45950</v>
      </c>
      <c r="I432" s="1" t="s">
        <v>17</v>
      </c>
      <c r="K432" s="2">
        <v>45968</v>
      </c>
      <c r="L432" s="88">
        <f>IF(OR(Data[[#This Row],[Service Follow-up Date]]="",Data[[#This Row],[Delivery Date]]=""),"",INT(Data[[#This Row],[Service Follow-up Date]]-Data[[#This Row],[Delivery Date]]))</f>
        <v>18</v>
      </c>
      <c r="M432" s="1">
        <v>2</v>
      </c>
      <c r="N432" s="1">
        <v>4</v>
      </c>
      <c r="O432" s="1">
        <v>5</v>
      </c>
      <c r="P432" s="1">
        <v>10</v>
      </c>
      <c r="Q432" t="str">
        <f>IF(ISBLANK(Data[[#This Row],[Customer Rating]]),"No Rating",IF(Data[[#This Row],[Customer Rating]]&gt;=9,"Promoter",IF(Data[[#This Row],[Customer Rating]]&gt;=7,"Passive","Detractor")))</f>
        <v>Promoter</v>
      </c>
    </row>
    <row r="433" spans="1:17" ht="14.25" customHeight="1" x14ac:dyDescent="0.3">
      <c r="A433" s="1" t="s">
        <v>459</v>
      </c>
      <c r="B433" s="1" t="s">
        <v>32</v>
      </c>
      <c r="C433" s="1" t="s">
        <v>30</v>
      </c>
      <c r="D433" s="1" t="str">
        <f>IF(Data[[#This Row],[Cancellation Status]]="No", "High Potential", "Normal")</f>
        <v>High Potential</v>
      </c>
      <c r="E433" s="2">
        <v>45944</v>
      </c>
      <c r="F433" s="2">
        <v>45947</v>
      </c>
      <c r="G433" s="2">
        <v>45950</v>
      </c>
      <c r="H433" s="2">
        <v>45954</v>
      </c>
      <c r="I433" s="1" t="s">
        <v>17</v>
      </c>
      <c r="K433" s="2">
        <v>45977</v>
      </c>
      <c r="L433" s="88">
        <f>IF(OR(Data[[#This Row],[Service Follow-up Date]]="",Data[[#This Row],[Delivery Date]]=""),"",INT(Data[[#This Row],[Service Follow-up Date]]-Data[[#This Row],[Delivery Date]]))</f>
        <v>23</v>
      </c>
      <c r="M433" s="1">
        <v>3</v>
      </c>
      <c r="N433" s="1">
        <v>3</v>
      </c>
      <c r="O433" s="1">
        <v>4</v>
      </c>
      <c r="P433" s="1">
        <v>4</v>
      </c>
      <c r="Q433" t="str">
        <f>IF(ISBLANK(Data[[#This Row],[Customer Rating]]),"No Rating",IF(Data[[#This Row],[Customer Rating]]&gt;=9,"Promoter",IF(Data[[#This Row],[Customer Rating]]&gt;=7,"Passive","Detractor")))</f>
        <v>Detractor</v>
      </c>
    </row>
    <row r="434" spans="1:17" ht="14.25" customHeight="1" x14ac:dyDescent="0.3">
      <c r="A434" s="1" t="s">
        <v>460</v>
      </c>
      <c r="B434" s="1" t="s">
        <v>21</v>
      </c>
      <c r="C434" s="1" t="s">
        <v>22</v>
      </c>
      <c r="D434" s="1" t="str">
        <f>IF(Data[[#This Row],[Cancellation Status]]="No", "High Potential", "Normal")</f>
        <v>Normal</v>
      </c>
      <c r="E434" s="2">
        <v>45957</v>
      </c>
      <c r="I434" s="1" t="s">
        <v>23</v>
      </c>
      <c r="J434" s="1" t="s">
        <v>24</v>
      </c>
      <c r="L434" s="88" t="str">
        <f>IF(OR(Data[[#This Row],[Service Follow-up Date]]="",Data[[#This Row],[Delivery Date]]=""),"",INT(Data[[#This Row],[Service Follow-up Date]]-Data[[#This Row],[Delivery Date]]))</f>
        <v/>
      </c>
      <c r="Q434" t="str">
        <f>IF(ISBLANK(Data[[#This Row],[Customer Rating]]),"No Rating",IF(Data[[#This Row],[Customer Rating]]&gt;=9,"Promoter",IF(Data[[#This Row],[Customer Rating]]&gt;=7,"Passive","Detractor")))</f>
        <v>No Rating</v>
      </c>
    </row>
    <row r="435" spans="1:17" ht="14.25" customHeight="1" x14ac:dyDescent="0.3">
      <c r="A435" s="1" t="s">
        <v>461</v>
      </c>
      <c r="B435" s="1" t="s">
        <v>21</v>
      </c>
      <c r="C435" s="1" t="s">
        <v>16</v>
      </c>
      <c r="D435" s="1" t="str">
        <f>IF(Data[[#This Row],[Cancellation Status]]="No", "High Potential", "Normal")</f>
        <v>High Potential</v>
      </c>
      <c r="E435" s="2">
        <v>45946</v>
      </c>
      <c r="F435" s="2">
        <v>45947</v>
      </c>
      <c r="G435" s="2">
        <v>45950</v>
      </c>
      <c r="H435" s="2">
        <v>45955</v>
      </c>
      <c r="I435" s="1" t="s">
        <v>17</v>
      </c>
      <c r="K435" s="2">
        <v>45984</v>
      </c>
      <c r="L435" s="88">
        <f>IF(OR(Data[[#This Row],[Service Follow-up Date]]="",Data[[#This Row],[Delivery Date]]=""),"",INT(Data[[#This Row],[Service Follow-up Date]]-Data[[#This Row],[Delivery Date]]))</f>
        <v>29</v>
      </c>
      <c r="M435" s="1">
        <v>1</v>
      </c>
      <c r="N435" s="1">
        <v>3</v>
      </c>
      <c r="O435" s="1">
        <v>5</v>
      </c>
      <c r="P435" s="1">
        <v>1</v>
      </c>
      <c r="Q435" t="str">
        <f>IF(ISBLANK(Data[[#This Row],[Customer Rating]]),"No Rating",IF(Data[[#This Row],[Customer Rating]]&gt;=9,"Promoter",IF(Data[[#This Row],[Customer Rating]]&gt;=7,"Passive","Detractor")))</f>
        <v>Detractor</v>
      </c>
    </row>
    <row r="436" spans="1:17" ht="14.25" customHeight="1" x14ac:dyDescent="0.3">
      <c r="A436" s="1" t="s">
        <v>462</v>
      </c>
      <c r="B436" s="1" t="s">
        <v>15</v>
      </c>
      <c r="C436" s="1" t="s">
        <v>30</v>
      </c>
      <c r="D436" s="1" t="str">
        <f>IF(Data[[#This Row],[Cancellation Status]]="No", "High Potential", "Normal")</f>
        <v>High Potential</v>
      </c>
      <c r="E436" s="2">
        <v>45946</v>
      </c>
      <c r="F436" s="2">
        <v>45950</v>
      </c>
      <c r="G436" s="2">
        <v>45951</v>
      </c>
      <c r="H436" s="2">
        <v>45955</v>
      </c>
      <c r="I436" s="1" t="s">
        <v>17</v>
      </c>
      <c r="K436" s="2">
        <v>45985</v>
      </c>
      <c r="L436" s="88">
        <f>IF(OR(Data[[#This Row],[Service Follow-up Date]]="",Data[[#This Row],[Delivery Date]]=""),"",INT(Data[[#This Row],[Service Follow-up Date]]-Data[[#This Row],[Delivery Date]]))</f>
        <v>30</v>
      </c>
      <c r="M436" s="1">
        <v>4</v>
      </c>
      <c r="N436" s="1">
        <v>1</v>
      </c>
      <c r="O436" s="1">
        <v>4</v>
      </c>
      <c r="P436" s="1">
        <v>3</v>
      </c>
      <c r="Q436" t="str">
        <f>IF(ISBLANK(Data[[#This Row],[Customer Rating]]),"No Rating",IF(Data[[#This Row],[Customer Rating]]&gt;=9,"Promoter",IF(Data[[#This Row],[Customer Rating]]&gt;=7,"Passive","Detractor")))</f>
        <v>Detractor</v>
      </c>
    </row>
    <row r="437" spans="1:17" ht="14.25" customHeight="1" x14ac:dyDescent="0.3">
      <c r="A437" s="1" t="s">
        <v>463</v>
      </c>
      <c r="B437" s="1" t="s">
        <v>32</v>
      </c>
      <c r="C437" s="1" t="s">
        <v>30</v>
      </c>
      <c r="D437" s="1" t="str">
        <f>IF(Data[[#This Row],[Cancellation Status]]="No", "High Potential", "Normal")</f>
        <v>High Potential</v>
      </c>
      <c r="E437" s="2">
        <v>45938</v>
      </c>
      <c r="F437" s="2">
        <v>45941</v>
      </c>
      <c r="G437" s="2">
        <v>45946</v>
      </c>
      <c r="H437" s="2">
        <v>45949</v>
      </c>
      <c r="I437" s="1" t="s">
        <v>17</v>
      </c>
      <c r="K437" s="2">
        <v>45961</v>
      </c>
      <c r="L437" s="88">
        <f>IF(OR(Data[[#This Row],[Service Follow-up Date]]="",Data[[#This Row],[Delivery Date]]=""),"",INT(Data[[#This Row],[Service Follow-up Date]]-Data[[#This Row],[Delivery Date]]))</f>
        <v>12</v>
      </c>
      <c r="M437" s="1">
        <v>3</v>
      </c>
      <c r="N437" s="1">
        <v>5</v>
      </c>
      <c r="O437" s="1">
        <v>3</v>
      </c>
      <c r="P437" s="1">
        <v>7</v>
      </c>
      <c r="Q437" t="str">
        <f>IF(ISBLANK(Data[[#This Row],[Customer Rating]]),"No Rating",IF(Data[[#This Row],[Customer Rating]]&gt;=9,"Promoter",IF(Data[[#This Row],[Customer Rating]]&gt;=7,"Passive","Detractor")))</f>
        <v>Passive</v>
      </c>
    </row>
    <row r="438" spans="1:17" ht="14.25" customHeight="1" x14ac:dyDescent="0.3">
      <c r="A438" s="1" t="s">
        <v>464</v>
      </c>
      <c r="B438" s="1" t="s">
        <v>32</v>
      </c>
      <c r="C438" s="1" t="s">
        <v>16</v>
      </c>
      <c r="D438" s="1" t="str">
        <f>IF(Data[[#This Row],[Cancellation Status]]="No", "High Potential", "Normal")</f>
        <v>High Potential</v>
      </c>
      <c r="E438" s="2">
        <v>45945</v>
      </c>
      <c r="F438" s="2">
        <v>45950</v>
      </c>
      <c r="G438" s="2">
        <v>45955</v>
      </c>
      <c r="H438" s="2">
        <v>45958</v>
      </c>
      <c r="I438" s="1" t="s">
        <v>17</v>
      </c>
      <c r="K438" s="2">
        <v>45974</v>
      </c>
      <c r="L438" s="88">
        <f>IF(OR(Data[[#This Row],[Service Follow-up Date]]="",Data[[#This Row],[Delivery Date]]=""),"",INT(Data[[#This Row],[Service Follow-up Date]]-Data[[#This Row],[Delivery Date]]))</f>
        <v>16</v>
      </c>
      <c r="M438" s="1">
        <v>5</v>
      </c>
      <c r="N438" s="1">
        <v>5</v>
      </c>
      <c r="O438" s="1">
        <v>3</v>
      </c>
      <c r="P438" s="1">
        <v>3</v>
      </c>
      <c r="Q438" t="str">
        <f>IF(ISBLANK(Data[[#This Row],[Customer Rating]]),"No Rating",IF(Data[[#This Row],[Customer Rating]]&gt;=9,"Promoter",IF(Data[[#This Row],[Customer Rating]]&gt;=7,"Passive","Detractor")))</f>
        <v>Detractor</v>
      </c>
    </row>
    <row r="439" spans="1:17" ht="14.25" customHeight="1" x14ac:dyDescent="0.3">
      <c r="A439" s="1" t="s">
        <v>465</v>
      </c>
      <c r="B439" s="1" t="s">
        <v>19</v>
      </c>
      <c r="C439" s="1" t="s">
        <v>30</v>
      </c>
      <c r="D439" s="1" t="str">
        <f>IF(Data[[#This Row],[Cancellation Status]]="No", "High Potential", "Normal")</f>
        <v>High Potential</v>
      </c>
      <c r="E439" s="2">
        <v>45948</v>
      </c>
      <c r="F439" s="2">
        <v>45949</v>
      </c>
      <c r="G439" s="2">
        <v>45951</v>
      </c>
      <c r="H439" s="2">
        <v>45955</v>
      </c>
      <c r="I439" s="1" t="s">
        <v>17</v>
      </c>
      <c r="K439" s="2">
        <v>45979</v>
      </c>
      <c r="L439" s="88">
        <f>IF(OR(Data[[#This Row],[Service Follow-up Date]]="",Data[[#This Row],[Delivery Date]]=""),"",INT(Data[[#This Row],[Service Follow-up Date]]-Data[[#This Row],[Delivery Date]]))</f>
        <v>24</v>
      </c>
      <c r="M439" s="1">
        <v>1</v>
      </c>
      <c r="N439" s="1">
        <v>2</v>
      </c>
      <c r="O439" s="1">
        <v>4</v>
      </c>
      <c r="P439" s="1">
        <v>8</v>
      </c>
      <c r="Q439" t="str">
        <f>IF(ISBLANK(Data[[#This Row],[Customer Rating]]),"No Rating",IF(Data[[#This Row],[Customer Rating]]&gt;=9,"Promoter",IF(Data[[#This Row],[Customer Rating]]&gt;=7,"Passive","Detractor")))</f>
        <v>Passive</v>
      </c>
    </row>
    <row r="440" spans="1:17" ht="14.25" customHeight="1" x14ac:dyDescent="0.3">
      <c r="A440" s="1" t="s">
        <v>466</v>
      </c>
      <c r="B440" s="1" t="s">
        <v>32</v>
      </c>
      <c r="C440" s="1" t="s">
        <v>30</v>
      </c>
      <c r="D440" s="1" t="str">
        <f>IF(Data[[#This Row],[Cancellation Status]]="No", "High Potential", "Normal")</f>
        <v>High Potential</v>
      </c>
      <c r="E440" s="2">
        <v>45935</v>
      </c>
      <c r="F440" s="2">
        <v>45940</v>
      </c>
      <c r="G440" s="2">
        <v>45944</v>
      </c>
      <c r="H440" s="2">
        <v>45951</v>
      </c>
      <c r="I440" s="1" t="s">
        <v>17</v>
      </c>
      <c r="K440" s="2">
        <v>45967</v>
      </c>
      <c r="L440" s="88">
        <f>IF(OR(Data[[#This Row],[Service Follow-up Date]]="",Data[[#This Row],[Delivery Date]]=""),"",INT(Data[[#This Row],[Service Follow-up Date]]-Data[[#This Row],[Delivery Date]]))</f>
        <v>16</v>
      </c>
      <c r="M440" s="1">
        <v>5</v>
      </c>
      <c r="N440" s="1">
        <v>4</v>
      </c>
      <c r="O440" s="1">
        <v>7</v>
      </c>
      <c r="P440" s="1">
        <v>7</v>
      </c>
      <c r="Q440" t="str">
        <f>IF(ISBLANK(Data[[#This Row],[Customer Rating]]),"No Rating",IF(Data[[#This Row],[Customer Rating]]&gt;=9,"Promoter",IF(Data[[#This Row],[Customer Rating]]&gt;=7,"Passive","Detractor")))</f>
        <v>Passive</v>
      </c>
    </row>
    <row r="441" spans="1:17" ht="14.25" customHeight="1" x14ac:dyDescent="0.3">
      <c r="A441" s="1" t="s">
        <v>467</v>
      </c>
      <c r="B441" s="1" t="s">
        <v>32</v>
      </c>
      <c r="C441" s="1" t="s">
        <v>22</v>
      </c>
      <c r="D441" s="1" t="str">
        <f>IF(Data[[#This Row],[Cancellation Status]]="No", "High Potential", "Normal")</f>
        <v>Normal</v>
      </c>
      <c r="E441" s="2">
        <v>45943</v>
      </c>
      <c r="I441" s="1" t="s">
        <v>23</v>
      </c>
      <c r="J441" s="1" t="s">
        <v>101</v>
      </c>
      <c r="L441" s="88" t="str">
        <f>IF(OR(Data[[#This Row],[Service Follow-up Date]]="",Data[[#This Row],[Delivery Date]]=""),"",INT(Data[[#This Row],[Service Follow-up Date]]-Data[[#This Row],[Delivery Date]]))</f>
        <v/>
      </c>
      <c r="Q441" t="str">
        <f>IF(ISBLANK(Data[[#This Row],[Customer Rating]]),"No Rating",IF(Data[[#This Row],[Customer Rating]]&gt;=9,"Promoter",IF(Data[[#This Row],[Customer Rating]]&gt;=7,"Passive","Detractor")))</f>
        <v>No Rating</v>
      </c>
    </row>
    <row r="442" spans="1:17" ht="14.25" customHeight="1" x14ac:dyDescent="0.3">
      <c r="A442" s="1" t="s">
        <v>468</v>
      </c>
      <c r="B442" s="1" t="s">
        <v>15</v>
      </c>
      <c r="C442" s="1" t="s">
        <v>30</v>
      </c>
      <c r="D442" s="1" t="str">
        <f>IF(Data[[#This Row],[Cancellation Status]]="No", "High Potential", "Normal")</f>
        <v>High Potential</v>
      </c>
      <c r="E442" s="2">
        <v>45937</v>
      </c>
      <c r="F442" s="2">
        <v>45938</v>
      </c>
      <c r="G442" s="2">
        <v>45943</v>
      </c>
      <c r="H442" s="2">
        <v>45945</v>
      </c>
      <c r="I442" s="1" t="s">
        <v>17</v>
      </c>
      <c r="K442" s="2">
        <v>45968</v>
      </c>
      <c r="L442" s="88">
        <f>IF(OR(Data[[#This Row],[Service Follow-up Date]]="",Data[[#This Row],[Delivery Date]]=""),"",INT(Data[[#This Row],[Service Follow-up Date]]-Data[[#This Row],[Delivery Date]]))</f>
        <v>23</v>
      </c>
      <c r="M442" s="1">
        <v>1</v>
      </c>
      <c r="N442" s="1">
        <v>5</v>
      </c>
      <c r="O442" s="1">
        <v>2</v>
      </c>
      <c r="P442" s="1">
        <v>1</v>
      </c>
      <c r="Q442" t="str">
        <f>IF(ISBLANK(Data[[#This Row],[Customer Rating]]),"No Rating",IF(Data[[#This Row],[Customer Rating]]&gt;=9,"Promoter",IF(Data[[#This Row],[Customer Rating]]&gt;=7,"Passive","Detractor")))</f>
        <v>Detractor</v>
      </c>
    </row>
    <row r="443" spans="1:17" ht="14.25" customHeight="1" x14ac:dyDescent="0.3">
      <c r="A443" s="1" t="s">
        <v>469</v>
      </c>
      <c r="B443" s="1" t="s">
        <v>32</v>
      </c>
      <c r="C443" s="1" t="s">
        <v>16</v>
      </c>
      <c r="D443" s="1" t="str">
        <f>IF(Data[[#This Row],[Cancellation Status]]="No", "High Potential", "Normal")</f>
        <v>High Potential</v>
      </c>
      <c r="E443" s="2">
        <v>45960</v>
      </c>
      <c r="F443" s="2">
        <v>45963</v>
      </c>
      <c r="G443" s="2">
        <v>45967</v>
      </c>
      <c r="H443" s="2">
        <v>45970</v>
      </c>
      <c r="I443" s="1" t="s">
        <v>17</v>
      </c>
      <c r="K443" s="2">
        <v>45995</v>
      </c>
      <c r="L443" s="88">
        <f>IF(OR(Data[[#This Row],[Service Follow-up Date]]="",Data[[#This Row],[Delivery Date]]=""),"",INT(Data[[#This Row],[Service Follow-up Date]]-Data[[#This Row],[Delivery Date]]))</f>
        <v>25</v>
      </c>
      <c r="M443" s="1">
        <v>3</v>
      </c>
      <c r="N443" s="1">
        <v>4</v>
      </c>
      <c r="O443" s="1">
        <v>3</v>
      </c>
      <c r="P443" s="1">
        <v>8</v>
      </c>
      <c r="Q443" t="str">
        <f>IF(ISBLANK(Data[[#This Row],[Customer Rating]]),"No Rating",IF(Data[[#This Row],[Customer Rating]]&gt;=9,"Promoter",IF(Data[[#This Row],[Customer Rating]]&gt;=7,"Passive","Detractor")))</f>
        <v>Passive</v>
      </c>
    </row>
    <row r="444" spans="1:17" ht="14.25" customHeight="1" x14ac:dyDescent="0.3">
      <c r="A444" s="1" t="s">
        <v>470</v>
      </c>
      <c r="B444" s="1" t="s">
        <v>21</v>
      </c>
      <c r="C444" s="1" t="s">
        <v>22</v>
      </c>
      <c r="D444" s="1" t="str">
        <f>IF(Data[[#This Row],[Cancellation Status]]="No", "High Potential", "Normal")</f>
        <v>Normal</v>
      </c>
      <c r="E444" s="2">
        <v>45950</v>
      </c>
      <c r="I444" s="1" t="s">
        <v>23</v>
      </c>
      <c r="J444" s="1" t="s">
        <v>33</v>
      </c>
      <c r="L444" s="88" t="str">
        <f>IF(OR(Data[[#This Row],[Service Follow-up Date]]="",Data[[#This Row],[Delivery Date]]=""),"",INT(Data[[#This Row],[Service Follow-up Date]]-Data[[#This Row],[Delivery Date]]))</f>
        <v/>
      </c>
      <c r="Q444" t="str">
        <f>IF(ISBLANK(Data[[#This Row],[Customer Rating]]),"No Rating",IF(Data[[#This Row],[Customer Rating]]&gt;=9,"Promoter",IF(Data[[#This Row],[Customer Rating]]&gt;=7,"Passive","Detractor")))</f>
        <v>No Rating</v>
      </c>
    </row>
    <row r="445" spans="1:17" ht="14.25" customHeight="1" x14ac:dyDescent="0.3">
      <c r="A445" s="1" t="s">
        <v>471</v>
      </c>
      <c r="B445" s="1" t="s">
        <v>15</v>
      </c>
      <c r="C445" s="1" t="s">
        <v>16</v>
      </c>
      <c r="D445" s="1" t="str">
        <f>IF(Data[[#This Row],[Cancellation Status]]="No", "High Potential", "Normal")</f>
        <v>High Potential</v>
      </c>
      <c r="E445" s="2">
        <v>45947</v>
      </c>
      <c r="F445" s="2">
        <v>45948</v>
      </c>
      <c r="G445" s="2">
        <v>45949</v>
      </c>
      <c r="H445" s="2">
        <v>45955</v>
      </c>
      <c r="I445" s="1" t="s">
        <v>17</v>
      </c>
      <c r="K445" s="2">
        <v>45981</v>
      </c>
      <c r="L445" s="88">
        <f>IF(OR(Data[[#This Row],[Service Follow-up Date]]="",Data[[#This Row],[Delivery Date]]=""),"",INT(Data[[#This Row],[Service Follow-up Date]]-Data[[#This Row],[Delivery Date]]))</f>
        <v>26</v>
      </c>
      <c r="M445" s="1">
        <v>1</v>
      </c>
      <c r="N445" s="1">
        <v>1</v>
      </c>
      <c r="O445" s="1">
        <v>6</v>
      </c>
      <c r="P445" s="1">
        <v>6</v>
      </c>
      <c r="Q445" t="str">
        <f>IF(ISBLANK(Data[[#This Row],[Customer Rating]]),"No Rating",IF(Data[[#This Row],[Customer Rating]]&gt;=9,"Promoter",IF(Data[[#This Row],[Customer Rating]]&gt;=7,"Passive","Detractor")))</f>
        <v>Detractor</v>
      </c>
    </row>
    <row r="446" spans="1:17" ht="14.25" customHeight="1" x14ac:dyDescent="0.3">
      <c r="A446" s="1" t="s">
        <v>472</v>
      </c>
      <c r="B446" s="1" t="s">
        <v>15</v>
      </c>
      <c r="C446" s="1" t="s">
        <v>30</v>
      </c>
      <c r="D446" s="1" t="str">
        <f>IF(Data[[#This Row],[Cancellation Status]]="No", "High Potential", "Normal")</f>
        <v>Normal</v>
      </c>
      <c r="E446" s="2">
        <v>45954</v>
      </c>
      <c r="F446" s="2">
        <v>45956</v>
      </c>
      <c r="G446" s="2">
        <v>45959</v>
      </c>
      <c r="H446" s="2">
        <v>45965</v>
      </c>
      <c r="I446" s="1" t="s">
        <v>23</v>
      </c>
      <c r="J446" s="1" t="s">
        <v>24</v>
      </c>
      <c r="L446" s="88" t="str">
        <f>IF(OR(Data[[#This Row],[Service Follow-up Date]]="",Data[[#This Row],[Delivery Date]]=""),"",INT(Data[[#This Row],[Service Follow-up Date]]-Data[[#This Row],[Delivery Date]]))</f>
        <v/>
      </c>
      <c r="M446" s="1">
        <v>2</v>
      </c>
      <c r="N446" s="1">
        <v>3</v>
      </c>
      <c r="O446" s="1">
        <v>6</v>
      </c>
      <c r="Q446" t="str">
        <f>IF(ISBLANK(Data[[#This Row],[Customer Rating]]),"No Rating",IF(Data[[#This Row],[Customer Rating]]&gt;=9,"Promoter",IF(Data[[#This Row],[Customer Rating]]&gt;=7,"Passive","Detractor")))</f>
        <v>No Rating</v>
      </c>
    </row>
    <row r="447" spans="1:17" ht="14.25" customHeight="1" x14ac:dyDescent="0.3">
      <c r="A447" s="1" t="s">
        <v>473</v>
      </c>
      <c r="B447" s="1" t="s">
        <v>19</v>
      </c>
      <c r="C447" s="1" t="s">
        <v>30</v>
      </c>
      <c r="D447" s="1" t="str">
        <f>IF(Data[[#This Row],[Cancellation Status]]="No", "High Potential", "Normal")</f>
        <v>High Potential</v>
      </c>
      <c r="E447" s="2">
        <v>45959</v>
      </c>
      <c r="F447" s="2">
        <v>45962</v>
      </c>
      <c r="G447" s="2">
        <v>45966</v>
      </c>
      <c r="H447" s="2">
        <v>45972</v>
      </c>
      <c r="I447" s="1" t="s">
        <v>17</v>
      </c>
      <c r="K447" s="2">
        <v>45993</v>
      </c>
      <c r="L447" s="88">
        <f>IF(OR(Data[[#This Row],[Service Follow-up Date]]="",Data[[#This Row],[Delivery Date]]=""),"",INT(Data[[#This Row],[Service Follow-up Date]]-Data[[#This Row],[Delivery Date]]))</f>
        <v>21</v>
      </c>
      <c r="M447" s="1">
        <v>3</v>
      </c>
      <c r="N447" s="1">
        <v>4</v>
      </c>
      <c r="O447" s="1">
        <v>6</v>
      </c>
      <c r="P447" s="1">
        <v>3</v>
      </c>
      <c r="Q447" t="str">
        <f>IF(ISBLANK(Data[[#This Row],[Customer Rating]]),"No Rating",IF(Data[[#This Row],[Customer Rating]]&gt;=9,"Promoter",IF(Data[[#This Row],[Customer Rating]]&gt;=7,"Passive","Detractor")))</f>
        <v>Detractor</v>
      </c>
    </row>
    <row r="448" spans="1:17" ht="14.25" customHeight="1" x14ac:dyDescent="0.3">
      <c r="A448" s="1" t="s">
        <v>474</v>
      </c>
      <c r="B448" s="1" t="s">
        <v>32</v>
      </c>
      <c r="C448" s="1" t="s">
        <v>22</v>
      </c>
      <c r="D448" s="1" t="str">
        <f>IF(Data[[#This Row],[Cancellation Status]]="No", "High Potential", "Normal")</f>
        <v>Normal</v>
      </c>
      <c r="E448" s="2">
        <v>45935</v>
      </c>
      <c r="I448" s="1" t="s">
        <v>23</v>
      </c>
      <c r="J448" s="1" t="s">
        <v>101</v>
      </c>
      <c r="L448" s="88" t="str">
        <f>IF(OR(Data[[#This Row],[Service Follow-up Date]]="",Data[[#This Row],[Delivery Date]]=""),"",INT(Data[[#This Row],[Service Follow-up Date]]-Data[[#This Row],[Delivery Date]]))</f>
        <v/>
      </c>
      <c r="Q448" t="str">
        <f>IF(ISBLANK(Data[[#This Row],[Customer Rating]]),"No Rating",IF(Data[[#This Row],[Customer Rating]]&gt;=9,"Promoter",IF(Data[[#This Row],[Customer Rating]]&gt;=7,"Passive","Detractor")))</f>
        <v>No Rating</v>
      </c>
    </row>
    <row r="449" spans="1:17" ht="14.25" customHeight="1" x14ac:dyDescent="0.3">
      <c r="A449" s="1" t="s">
        <v>475</v>
      </c>
      <c r="B449" s="1" t="s">
        <v>19</v>
      </c>
      <c r="C449" s="1" t="s">
        <v>22</v>
      </c>
      <c r="D449" s="1" t="str">
        <f>IF(Data[[#This Row],[Cancellation Status]]="No", "High Potential", "Normal")</f>
        <v>Normal</v>
      </c>
      <c r="E449" s="2">
        <v>45958</v>
      </c>
      <c r="I449" s="1" t="s">
        <v>23</v>
      </c>
      <c r="J449" s="1" t="s">
        <v>26</v>
      </c>
      <c r="L449" s="88" t="str">
        <f>IF(OR(Data[[#This Row],[Service Follow-up Date]]="",Data[[#This Row],[Delivery Date]]=""),"",INT(Data[[#This Row],[Service Follow-up Date]]-Data[[#This Row],[Delivery Date]]))</f>
        <v/>
      </c>
      <c r="Q449" t="str">
        <f>IF(ISBLANK(Data[[#This Row],[Customer Rating]]),"No Rating",IF(Data[[#This Row],[Customer Rating]]&gt;=9,"Promoter",IF(Data[[#This Row],[Customer Rating]]&gt;=7,"Passive","Detractor")))</f>
        <v>No Rating</v>
      </c>
    </row>
    <row r="450" spans="1:17" ht="14.25" customHeight="1" x14ac:dyDescent="0.3">
      <c r="A450" s="1" t="s">
        <v>476</v>
      </c>
      <c r="B450" s="1" t="s">
        <v>21</v>
      </c>
      <c r="C450" s="1" t="s">
        <v>16</v>
      </c>
      <c r="D450" s="1" t="str">
        <f>IF(Data[[#This Row],[Cancellation Status]]="No", "High Potential", "Normal")</f>
        <v>High Potential</v>
      </c>
      <c r="E450" s="2">
        <v>45933</v>
      </c>
      <c r="F450" s="2">
        <v>45937</v>
      </c>
      <c r="G450" s="2">
        <v>45942</v>
      </c>
      <c r="H450" s="2">
        <v>45949</v>
      </c>
      <c r="I450" s="1" t="s">
        <v>17</v>
      </c>
      <c r="K450" s="2">
        <v>45960</v>
      </c>
      <c r="L450" s="88">
        <f>IF(OR(Data[[#This Row],[Service Follow-up Date]]="",Data[[#This Row],[Delivery Date]]=""),"",INT(Data[[#This Row],[Service Follow-up Date]]-Data[[#This Row],[Delivery Date]]))</f>
        <v>11</v>
      </c>
      <c r="M450" s="1">
        <v>4</v>
      </c>
      <c r="N450" s="1">
        <v>5</v>
      </c>
      <c r="O450" s="1">
        <v>7</v>
      </c>
      <c r="P450" s="1">
        <v>3</v>
      </c>
      <c r="Q450" t="str">
        <f>IF(ISBLANK(Data[[#This Row],[Customer Rating]]),"No Rating",IF(Data[[#This Row],[Customer Rating]]&gt;=9,"Promoter",IF(Data[[#This Row],[Customer Rating]]&gt;=7,"Passive","Detractor")))</f>
        <v>Detractor</v>
      </c>
    </row>
    <row r="451" spans="1:17" ht="14.25" customHeight="1" x14ac:dyDescent="0.3">
      <c r="A451" s="1" t="s">
        <v>477</v>
      </c>
      <c r="B451" s="1" t="s">
        <v>15</v>
      </c>
      <c r="C451" s="1" t="s">
        <v>30</v>
      </c>
      <c r="D451" s="1" t="str">
        <f>IF(Data[[#This Row],[Cancellation Status]]="No", "High Potential", "Normal")</f>
        <v>High Potential</v>
      </c>
      <c r="E451" s="2">
        <v>45939</v>
      </c>
      <c r="F451" s="2">
        <v>45944</v>
      </c>
      <c r="G451" s="2">
        <v>45947</v>
      </c>
      <c r="H451" s="2">
        <v>45953</v>
      </c>
      <c r="I451" s="1" t="s">
        <v>17</v>
      </c>
      <c r="K451" s="2">
        <v>45979</v>
      </c>
      <c r="L451" s="88">
        <f>IF(OR(Data[[#This Row],[Service Follow-up Date]]="",Data[[#This Row],[Delivery Date]]=""),"",INT(Data[[#This Row],[Service Follow-up Date]]-Data[[#This Row],[Delivery Date]]))</f>
        <v>26</v>
      </c>
      <c r="M451" s="1">
        <v>5</v>
      </c>
      <c r="N451" s="1">
        <v>3</v>
      </c>
      <c r="O451" s="1">
        <v>6</v>
      </c>
      <c r="P451" s="1">
        <v>3</v>
      </c>
      <c r="Q451" t="str">
        <f>IF(ISBLANK(Data[[#This Row],[Customer Rating]]),"No Rating",IF(Data[[#This Row],[Customer Rating]]&gt;=9,"Promoter",IF(Data[[#This Row],[Customer Rating]]&gt;=7,"Passive","Detractor")))</f>
        <v>Detractor</v>
      </c>
    </row>
    <row r="452" spans="1:17" ht="14.25" customHeight="1" x14ac:dyDescent="0.3">
      <c r="A452" s="1" t="s">
        <v>478</v>
      </c>
      <c r="B452" s="1" t="s">
        <v>15</v>
      </c>
      <c r="C452" s="1" t="s">
        <v>16</v>
      </c>
      <c r="D452" s="1" t="str">
        <f>IF(Data[[#This Row],[Cancellation Status]]="No", "High Potential", "Normal")</f>
        <v>High Potential</v>
      </c>
      <c r="E452" s="2">
        <v>45955</v>
      </c>
      <c r="F452" s="2">
        <v>45957</v>
      </c>
      <c r="G452" s="2">
        <v>45961</v>
      </c>
      <c r="H452" s="2">
        <v>45965</v>
      </c>
      <c r="I452" s="1" t="s">
        <v>17</v>
      </c>
      <c r="K452" s="2">
        <v>45980</v>
      </c>
      <c r="L452" s="88">
        <f>IF(OR(Data[[#This Row],[Service Follow-up Date]]="",Data[[#This Row],[Delivery Date]]=""),"",INT(Data[[#This Row],[Service Follow-up Date]]-Data[[#This Row],[Delivery Date]]))</f>
        <v>15</v>
      </c>
      <c r="M452" s="1">
        <v>2</v>
      </c>
      <c r="N452" s="1">
        <v>4</v>
      </c>
      <c r="O452" s="1">
        <v>4</v>
      </c>
      <c r="P452" s="1">
        <v>0</v>
      </c>
      <c r="Q452" t="str">
        <f>IF(ISBLANK(Data[[#This Row],[Customer Rating]]),"No Rating",IF(Data[[#This Row],[Customer Rating]]&gt;=9,"Promoter",IF(Data[[#This Row],[Customer Rating]]&gt;=7,"Passive","Detractor")))</f>
        <v>Detractor</v>
      </c>
    </row>
    <row r="453" spans="1:17" ht="14.25" customHeight="1" x14ac:dyDescent="0.3">
      <c r="A453" s="1" t="s">
        <v>479</v>
      </c>
      <c r="B453" s="1" t="s">
        <v>15</v>
      </c>
      <c r="C453" s="1" t="s">
        <v>22</v>
      </c>
      <c r="D453" s="1" t="str">
        <f>IF(Data[[#This Row],[Cancellation Status]]="No", "High Potential", "Normal")</f>
        <v>Normal</v>
      </c>
      <c r="E453" s="2">
        <v>45956</v>
      </c>
      <c r="I453" s="1" t="s">
        <v>23</v>
      </c>
      <c r="J453" s="1" t="s">
        <v>24</v>
      </c>
      <c r="L453" s="88" t="str">
        <f>IF(OR(Data[[#This Row],[Service Follow-up Date]]="",Data[[#This Row],[Delivery Date]]=""),"",INT(Data[[#This Row],[Service Follow-up Date]]-Data[[#This Row],[Delivery Date]]))</f>
        <v/>
      </c>
      <c r="Q453" t="str">
        <f>IF(ISBLANK(Data[[#This Row],[Customer Rating]]),"No Rating",IF(Data[[#This Row],[Customer Rating]]&gt;=9,"Promoter",IF(Data[[#This Row],[Customer Rating]]&gt;=7,"Passive","Detractor")))</f>
        <v>No Rating</v>
      </c>
    </row>
    <row r="454" spans="1:17" ht="14.25" customHeight="1" x14ac:dyDescent="0.3">
      <c r="A454" s="1" t="s">
        <v>480</v>
      </c>
      <c r="B454" s="1" t="s">
        <v>21</v>
      </c>
      <c r="C454" s="1" t="s">
        <v>16</v>
      </c>
      <c r="D454" s="1" t="str">
        <f>IF(Data[[#This Row],[Cancellation Status]]="No", "High Potential", "Normal")</f>
        <v>High Potential</v>
      </c>
      <c r="E454" s="2">
        <v>45958</v>
      </c>
      <c r="F454" s="2">
        <v>45962</v>
      </c>
      <c r="G454" s="2">
        <v>45966</v>
      </c>
      <c r="H454" s="2">
        <v>45973</v>
      </c>
      <c r="I454" s="1" t="s">
        <v>17</v>
      </c>
      <c r="K454" s="2">
        <v>45985</v>
      </c>
      <c r="L454" s="88">
        <f>IF(OR(Data[[#This Row],[Service Follow-up Date]]="",Data[[#This Row],[Delivery Date]]=""),"",INT(Data[[#This Row],[Service Follow-up Date]]-Data[[#This Row],[Delivery Date]]))</f>
        <v>12</v>
      </c>
      <c r="M454" s="1">
        <v>4</v>
      </c>
      <c r="N454" s="1">
        <v>4</v>
      </c>
      <c r="O454" s="1">
        <v>7</v>
      </c>
      <c r="P454" s="1">
        <v>4</v>
      </c>
      <c r="Q454" t="str">
        <f>IF(ISBLANK(Data[[#This Row],[Customer Rating]]),"No Rating",IF(Data[[#This Row],[Customer Rating]]&gt;=9,"Promoter",IF(Data[[#This Row],[Customer Rating]]&gt;=7,"Passive","Detractor")))</f>
        <v>Detractor</v>
      </c>
    </row>
    <row r="455" spans="1:17" ht="14.25" customHeight="1" x14ac:dyDescent="0.3">
      <c r="A455" s="1" t="s">
        <v>481</v>
      </c>
      <c r="B455" s="1" t="s">
        <v>21</v>
      </c>
      <c r="C455" s="1" t="s">
        <v>22</v>
      </c>
      <c r="D455" s="1" t="str">
        <f>IF(Data[[#This Row],[Cancellation Status]]="No", "High Potential", "Normal")</f>
        <v>Normal</v>
      </c>
      <c r="E455" s="2">
        <v>45944</v>
      </c>
      <c r="I455" s="1" t="s">
        <v>23</v>
      </c>
      <c r="J455" s="1" t="s">
        <v>24</v>
      </c>
      <c r="L455" s="88" t="str">
        <f>IF(OR(Data[[#This Row],[Service Follow-up Date]]="",Data[[#This Row],[Delivery Date]]=""),"",INT(Data[[#This Row],[Service Follow-up Date]]-Data[[#This Row],[Delivery Date]]))</f>
        <v/>
      </c>
      <c r="Q455" t="str">
        <f>IF(ISBLANK(Data[[#This Row],[Customer Rating]]),"No Rating",IF(Data[[#This Row],[Customer Rating]]&gt;=9,"Promoter",IF(Data[[#This Row],[Customer Rating]]&gt;=7,"Passive","Detractor")))</f>
        <v>No Rating</v>
      </c>
    </row>
    <row r="456" spans="1:17" ht="14.25" customHeight="1" x14ac:dyDescent="0.3">
      <c r="A456" s="1" t="s">
        <v>482</v>
      </c>
      <c r="B456" s="1" t="s">
        <v>19</v>
      </c>
      <c r="C456" s="1" t="s">
        <v>22</v>
      </c>
      <c r="D456" s="1" t="str">
        <f>IF(Data[[#This Row],[Cancellation Status]]="No", "High Potential", "Normal")</f>
        <v>Normal</v>
      </c>
      <c r="E456" s="2">
        <v>45941</v>
      </c>
      <c r="I456" s="1" t="s">
        <v>23</v>
      </c>
      <c r="J456" s="1" t="s">
        <v>33</v>
      </c>
      <c r="L456" s="88" t="str">
        <f>IF(OR(Data[[#This Row],[Service Follow-up Date]]="",Data[[#This Row],[Delivery Date]]=""),"",INT(Data[[#This Row],[Service Follow-up Date]]-Data[[#This Row],[Delivery Date]]))</f>
        <v/>
      </c>
      <c r="Q456" t="str">
        <f>IF(ISBLANK(Data[[#This Row],[Customer Rating]]),"No Rating",IF(Data[[#This Row],[Customer Rating]]&gt;=9,"Promoter",IF(Data[[#This Row],[Customer Rating]]&gt;=7,"Passive","Detractor")))</f>
        <v>No Rating</v>
      </c>
    </row>
    <row r="457" spans="1:17" ht="14.25" customHeight="1" x14ac:dyDescent="0.3">
      <c r="A457" s="1" t="s">
        <v>483</v>
      </c>
      <c r="B457" s="1" t="s">
        <v>19</v>
      </c>
      <c r="C457" s="1" t="s">
        <v>16</v>
      </c>
      <c r="D457" s="1" t="str">
        <f>IF(Data[[#This Row],[Cancellation Status]]="No", "High Potential", "Normal")</f>
        <v>High Potential</v>
      </c>
      <c r="E457" s="2">
        <v>45960</v>
      </c>
      <c r="F457" s="2">
        <v>45961</v>
      </c>
      <c r="G457" s="2">
        <v>45963</v>
      </c>
      <c r="H457" s="2">
        <v>45965</v>
      </c>
      <c r="I457" s="1" t="s">
        <v>17</v>
      </c>
      <c r="K457" s="2">
        <v>45984</v>
      </c>
      <c r="L457" s="88">
        <f>IF(OR(Data[[#This Row],[Service Follow-up Date]]="",Data[[#This Row],[Delivery Date]]=""),"",INT(Data[[#This Row],[Service Follow-up Date]]-Data[[#This Row],[Delivery Date]]))</f>
        <v>19</v>
      </c>
      <c r="M457" s="1">
        <v>1</v>
      </c>
      <c r="N457" s="1">
        <v>2</v>
      </c>
      <c r="O457" s="1">
        <v>2</v>
      </c>
      <c r="P457" s="1">
        <v>9</v>
      </c>
      <c r="Q457" t="str">
        <f>IF(ISBLANK(Data[[#This Row],[Customer Rating]]),"No Rating",IF(Data[[#This Row],[Customer Rating]]&gt;=9,"Promoter",IF(Data[[#This Row],[Customer Rating]]&gt;=7,"Passive","Detractor")))</f>
        <v>Promoter</v>
      </c>
    </row>
    <row r="458" spans="1:17" ht="14.25" customHeight="1" x14ac:dyDescent="0.3">
      <c r="A458" s="1" t="s">
        <v>484</v>
      </c>
      <c r="B458" s="1" t="s">
        <v>19</v>
      </c>
      <c r="C458" s="1" t="s">
        <v>16</v>
      </c>
      <c r="D458" s="1" t="str">
        <f>IF(Data[[#This Row],[Cancellation Status]]="No", "High Potential", "Normal")</f>
        <v>Normal</v>
      </c>
      <c r="E458" s="2">
        <v>45956</v>
      </c>
      <c r="F458" s="2">
        <v>45958</v>
      </c>
      <c r="G458" s="2">
        <v>45961</v>
      </c>
      <c r="H458" s="2">
        <v>45968</v>
      </c>
      <c r="I458" s="1" t="s">
        <v>23</v>
      </c>
      <c r="J458" s="1" t="s">
        <v>63</v>
      </c>
      <c r="L458" s="88" t="str">
        <f>IF(OR(Data[[#This Row],[Service Follow-up Date]]="",Data[[#This Row],[Delivery Date]]=""),"",INT(Data[[#This Row],[Service Follow-up Date]]-Data[[#This Row],[Delivery Date]]))</f>
        <v/>
      </c>
      <c r="M458" s="1">
        <v>2</v>
      </c>
      <c r="N458" s="1">
        <v>3</v>
      </c>
      <c r="O458" s="1">
        <v>7</v>
      </c>
      <c r="Q458" t="str">
        <f>IF(ISBLANK(Data[[#This Row],[Customer Rating]]),"No Rating",IF(Data[[#This Row],[Customer Rating]]&gt;=9,"Promoter",IF(Data[[#This Row],[Customer Rating]]&gt;=7,"Passive","Detractor")))</f>
        <v>No Rating</v>
      </c>
    </row>
    <row r="459" spans="1:17" ht="14.25" customHeight="1" x14ac:dyDescent="0.3">
      <c r="A459" s="1" t="s">
        <v>485</v>
      </c>
      <c r="B459" s="1" t="s">
        <v>32</v>
      </c>
      <c r="C459" s="1" t="s">
        <v>16</v>
      </c>
      <c r="D459" s="1" t="str">
        <f>IF(Data[[#This Row],[Cancellation Status]]="No", "High Potential", "Normal")</f>
        <v>High Potential</v>
      </c>
      <c r="E459" s="2">
        <v>45947</v>
      </c>
      <c r="F459" s="2">
        <v>45951</v>
      </c>
      <c r="G459" s="2">
        <v>45955</v>
      </c>
      <c r="H459" s="2">
        <v>45959</v>
      </c>
      <c r="I459" s="1" t="s">
        <v>17</v>
      </c>
      <c r="K459" s="2">
        <v>45985</v>
      </c>
      <c r="L459" s="88">
        <f>IF(OR(Data[[#This Row],[Service Follow-up Date]]="",Data[[#This Row],[Delivery Date]]=""),"",INT(Data[[#This Row],[Service Follow-up Date]]-Data[[#This Row],[Delivery Date]]))</f>
        <v>26</v>
      </c>
      <c r="M459" s="1">
        <v>4</v>
      </c>
      <c r="N459" s="1">
        <v>4</v>
      </c>
      <c r="O459" s="1">
        <v>4</v>
      </c>
      <c r="P459" s="1">
        <v>5</v>
      </c>
      <c r="Q459" t="str">
        <f>IF(ISBLANK(Data[[#This Row],[Customer Rating]]),"No Rating",IF(Data[[#This Row],[Customer Rating]]&gt;=9,"Promoter",IF(Data[[#This Row],[Customer Rating]]&gt;=7,"Passive","Detractor")))</f>
        <v>Detractor</v>
      </c>
    </row>
    <row r="460" spans="1:17" ht="14.25" customHeight="1" x14ac:dyDescent="0.3">
      <c r="A460" s="1" t="s">
        <v>486</v>
      </c>
      <c r="B460" s="1" t="s">
        <v>15</v>
      </c>
      <c r="C460" s="1" t="s">
        <v>30</v>
      </c>
      <c r="D460" s="1" t="str">
        <f>IF(Data[[#This Row],[Cancellation Status]]="No", "High Potential", "Normal")</f>
        <v>High Potential</v>
      </c>
      <c r="E460" s="2">
        <v>45939</v>
      </c>
      <c r="F460" s="2">
        <v>45942</v>
      </c>
      <c r="G460" s="2">
        <v>45944</v>
      </c>
      <c r="H460" s="2">
        <v>45947</v>
      </c>
      <c r="I460" s="1" t="s">
        <v>17</v>
      </c>
      <c r="K460" s="2">
        <v>45969</v>
      </c>
      <c r="L460" s="88">
        <f>IF(OR(Data[[#This Row],[Service Follow-up Date]]="",Data[[#This Row],[Delivery Date]]=""),"",INT(Data[[#This Row],[Service Follow-up Date]]-Data[[#This Row],[Delivery Date]]))</f>
        <v>22</v>
      </c>
      <c r="M460" s="1">
        <v>3</v>
      </c>
      <c r="N460" s="1">
        <v>2</v>
      </c>
      <c r="O460" s="1">
        <v>3</v>
      </c>
      <c r="P460" s="1">
        <v>5</v>
      </c>
      <c r="Q460" t="str">
        <f>IF(ISBLANK(Data[[#This Row],[Customer Rating]]),"No Rating",IF(Data[[#This Row],[Customer Rating]]&gt;=9,"Promoter",IF(Data[[#This Row],[Customer Rating]]&gt;=7,"Passive","Detractor")))</f>
        <v>Detractor</v>
      </c>
    </row>
    <row r="461" spans="1:17" ht="14.25" customHeight="1" x14ac:dyDescent="0.3">
      <c r="A461" s="1" t="s">
        <v>487</v>
      </c>
      <c r="B461" s="1" t="s">
        <v>15</v>
      </c>
      <c r="C461" s="1" t="s">
        <v>16</v>
      </c>
      <c r="D461" s="1" t="str">
        <f>IF(Data[[#This Row],[Cancellation Status]]="No", "High Potential", "Normal")</f>
        <v>High Potential</v>
      </c>
      <c r="E461" s="2">
        <v>45957</v>
      </c>
      <c r="F461" s="2">
        <v>45958</v>
      </c>
      <c r="G461" s="2">
        <v>45963</v>
      </c>
      <c r="H461" s="2">
        <v>45969</v>
      </c>
      <c r="I461" s="1" t="s">
        <v>17</v>
      </c>
      <c r="K461" s="2">
        <v>45983</v>
      </c>
      <c r="L461" s="88">
        <f>IF(OR(Data[[#This Row],[Service Follow-up Date]]="",Data[[#This Row],[Delivery Date]]=""),"",INT(Data[[#This Row],[Service Follow-up Date]]-Data[[#This Row],[Delivery Date]]))</f>
        <v>14</v>
      </c>
      <c r="M461" s="1">
        <v>1</v>
      </c>
      <c r="N461" s="1">
        <v>5</v>
      </c>
      <c r="O461" s="1">
        <v>6</v>
      </c>
      <c r="P461" s="1">
        <v>1</v>
      </c>
      <c r="Q461" t="str">
        <f>IF(ISBLANK(Data[[#This Row],[Customer Rating]]),"No Rating",IF(Data[[#This Row],[Customer Rating]]&gt;=9,"Promoter",IF(Data[[#This Row],[Customer Rating]]&gt;=7,"Passive","Detractor")))</f>
        <v>Detractor</v>
      </c>
    </row>
    <row r="462" spans="1:17" ht="14.25" customHeight="1" x14ac:dyDescent="0.3">
      <c r="A462" s="1" t="s">
        <v>488</v>
      </c>
      <c r="B462" s="1" t="s">
        <v>19</v>
      </c>
      <c r="C462" s="1" t="s">
        <v>16</v>
      </c>
      <c r="D462" s="1" t="str">
        <f>IF(Data[[#This Row],[Cancellation Status]]="No", "High Potential", "Normal")</f>
        <v>Normal</v>
      </c>
      <c r="E462" s="2">
        <v>45931</v>
      </c>
      <c r="F462" s="2">
        <v>45935</v>
      </c>
      <c r="G462" s="2">
        <v>45939</v>
      </c>
      <c r="H462" s="2">
        <v>45945</v>
      </c>
      <c r="I462" s="1" t="s">
        <v>23</v>
      </c>
      <c r="J462" s="1" t="s">
        <v>63</v>
      </c>
      <c r="L462" s="88" t="str">
        <f>IF(OR(Data[[#This Row],[Service Follow-up Date]]="",Data[[#This Row],[Delivery Date]]=""),"",INT(Data[[#This Row],[Service Follow-up Date]]-Data[[#This Row],[Delivery Date]]))</f>
        <v/>
      </c>
      <c r="M462" s="1">
        <v>4</v>
      </c>
      <c r="N462" s="1">
        <v>4</v>
      </c>
      <c r="O462" s="1">
        <v>6</v>
      </c>
      <c r="Q462" t="str">
        <f>IF(ISBLANK(Data[[#This Row],[Customer Rating]]),"No Rating",IF(Data[[#This Row],[Customer Rating]]&gt;=9,"Promoter",IF(Data[[#This Row],[Customer Rating]]&gt;=7,"Passive","Detractor")))</f>
        <v>No Rating</v>
      </c>
    </row>
    <row r="463" spans="1:17" ht="14.25" customHeight="1" x14ac:dyDescent="0.3">
      <c r="A463" s="1" t="s">
        <v>489</v>
      </c>
      <c r="B463" s="1" t="s">
        <v>15</v>
      </c>
      <c r="C463" s="1" t="s">
        <v>22</v>
      </c>
      <c r="D463" s="1" t="str">
        <f>IF(Data[[#This Row],[Cancellation Status]]="No", "High Potential", "Normal")</f>
        <v>Normal</v>
      </c>
      <c r="E463" s="2">
        <v>45940</v>
      </c>
      <c r="I463" s="1" t="s">
        <v>23</v>
      </c>
      <c r="J463" s="1" t="s">
        <v>33</v>
      </c>
      <c r="L463" s="88" t="str">
        <f>IF(OR(Data[[#This Row],[Service Follow-up Date]]="",Data[[#This Row],[Delivery Date]]=""),"",INT(Data[[#This Row],[Service Follow-up Date]]-Data[[#This Row],[Delivery Date]]))</f>
        <v/>
      </c>
      <c r="Q463" t="str">
        <f>IF(ISBLANK(Data[[#This Row],[Customer Rating]]),"No Rating",IF(Data[[#This Row],[Customer Rating]]&gt;=9,"Promoter",IF(Data[[#This Row],[Customer Rating]]&gt;=7,"Passive","Detractor")))</f>
        <v>No Rating</v>
      </c>
    </row>
    <row r="464" spans="1:17" ht="14.25" customHeight="1" x14ac:dyDescent="0.3">
      <c r="A464" s="1" t="s">
        <v>490</v>
      </c>
      <c r="B464" s="1" t="s">
        <v>19</v>
      </c>
      <c r="C464" s="1" t="s">
        <v>22</v>
      </c>
      <c r="D464" s="1" t="str">
        <f>IF(Data[[#This Row],[Cancellation Status]]="No", "High Potential", "Normal")</f>
        <v>Normal</v>
      </c>
      <c r="E464" s="2">
        <v>45954</v>
      </c>
      <c r="I464" s="1" t="s">
        <v>23</v>
      </c>
      <c r="J464" s="1" t="s">
        <v>33</v>
      </c>
      <c r="L464" s="88" t="str">
        <f>IF(OR(Data[[#This Row],[Service Follow-up Date]]="",Data[[#This Row],[Delivery Date]]=""),"",INT(Data[[#This Row],[Service Follow-up Date]]-Data[[#This Row],[Delivery Date]]))</f>
        <v/>
      </c>
      <c r="Q464" t="str">
        <f>IF(ISBLANK(Data[[#This Row],[Customer Rating]]),"No Rating",IF(Data[[#This Row],[Customer Rating]]&gt;=9,"Promoter",IF(Data[[#This Row],[Customer Rating]]&gt;=7,"Passive","Detractor")))</f>
        <v>No Rating</v>
      </c>
    </row>
    <row r="465" spans="1:17" ht="14.25" customHeight="1" x14ac:dyDescent="0.3">
      <c r="A465" s="1" t="s">
        <v>491</v>
      </c>
      <c r="B465" s="1" t="s">
        <v>32</v>
      </c>
      <c r="C465" s="1" t="s">
        <v>16</v>
      </c>
      <c r="D465" s="1" t="str">
        <f>IF(Data[[#This Row],[Cancellation Status]]="No", "High Potential", "Normal")</f>
        <v>High Potential</v>
      </c>
      <c r="E465" s="2">
        <v>45940</v>
      </c>
      <c r="F465" s="2">
        <v>45941</v>
      </c>
      <c r="G465" s="2">
        <v>45943</v>
      </c>
      <c r="H465" s="2">
        <v>45949</v>
      </c>
      <c r="I465" s="1" t="s">
        <v>17</v>
      </c>
      <c r="K465" s="2">
        <v>45975</v>
      </c>
      <c r="L465" s="88">
        <f>IF(OR(Data[[#This Row],[Service Follow-up Date]]="",Data[[#This Row],[Delivery Date]]=""),"",INT(Data[[#This Row],[Service Follow-up Date]]-Data[[#This Row],[Delivery Date]]))</f>
        <v>26</v>
      </c>
      <c r="M465" s="1">
        <v>1</v>
      </c>
      <c r="N465" s="1">
        <v>2</v>
      </c>
      <c r="O465" s="1">
        <v>6</v>
      </c>
      <c r="P465" s="1">
        <v>1</v>
      </c>
      <c r="Q465" t="str">
        <f>IF(ISBLANK(Data[[#This Row],[Customer Rating]]),"No Rating",IF(Data[[#This Row],[Customer Rating]]&gt;=9,"Promoter",IF(Data[[#This Row],[Customer Rating]]&gt;=7,"Passive","Detractor")))</f>
        <v>Detractor</v>
      </c>
    </row>
    <row r="466" spans="1:17" ht="14.25" customHeight="1" x14ac:dyDescent="0.3">
      <c r="A466" s="1" t="s">
        <v>492</v>
      </c>
      <c r="B466" s="1" t="s">
        <v>32</v>
      </c>
      <c r="C466" s="1" t="s">
        <v>30</v>
      </c>
      <c r="D466" s="1" t="str">
        <f>IF(Data[[#This Row],[Cancellation Status]]="No", "High Potential", "Normal")</f>
        <v>High Potential</v>
      </c>
      <c r="E466" s="2">
        <v>45957</v>
      </c>
      <c r="F466" s="2">
        <v>45961</v>
      </c>
      <c r="G466" s="2">
        <v>45963</v>
      </c>
      <c r="H466" s="2">
        <v>45966</v>
      </c>
      <c r="I466" s="1" t="s">
        <v>17</v>
      </c>
      <c r="K466" s="2">
        <v>45994</v>
      </c>
      <c r="L466" s="88">
        <f>IF(OR(Data[[#This Row],[Service Follow-up Date]]="",Data[[#This Row],[Delivery Date]]=""),"",INT(Data[[#This Row],[Service Follow-up Date]]-Data[[#This Row],[Delivery Date]]))</f>
        <v>28</v>
      </c>
      <c r="M466" s="1">
        <v>4</v>
      </c>
      <c r="N466" s="1">
        <v>2</v>
      </c>
      <c r="O466" s="1">
        <v>3</v>
      </c>
      <c r="P466" s="1">
        <v>4</v>
      </c>
      <c r="Q466" t="str">
        <f>IF(ISBLANK(Data[[#This Row],[Customer Rating]]),"No Rating",IF(Data[[#This Row],[Customer Rating]]&gt;=9,"Promoter",IF(Data[[#This Row],[Customer Rating]]&gt;=7,"Passive","Detractor")))</f>
        <v>Detractor</v>
      </c>
    </row>
    <row r="467" spans="1:17" ht="14.25" customHeight="1" x14ac:dyDescent="0.3">
      <c r="A467" s="1" t="s">
        <v>493</v>
      </c>
      <c r="B467" s="1" t="s">
        <v>21</v>
      </c>
      <c r="C467" s="1" t="s">
        <v>30</v>
      </c>
      <c r="D467" s="1" t="str">
        <f>IF(Data[[#This Row],[Cancellation Status]]="No", "High Potential", "Normal")</f>
        <v>High Potential</v>
      </c>
      <c r="E467" s="2">
        <v>45949</v>
      </c>
      <c r="F467" s="2">
        <v>45954</v>
      </c>
      <c r="G467" s="2">
        <v>45957</v>
      </c>
      <c r="H467" s="2">
        <v>45964</v>
      </c>
      <c r="I467" s="1" t="s">
        <v>17</v>
      </c>
      <c r="K467" s="2">
        <v>45974</v>
      </c>
      <c r="L467" s="88">
        <f>IF(OR(Data[[#This Row],[Service Follow-up Date]]="",Data[[#This Row],[Delivery Date]]=""),"",INT(Data[[#This Row],[Service Follow-up Date]]-Data[[#This Row],[Delivery Date]]))</f>
        <v>10</v>
      </c>
      <c r="M467" s="1">
        <v>5</v>
      </c>
      <c r="N467" s="1">
        <v>3</v>
      </c>
      <c r="O467" s="1">
        <v>7</v>
      </c>
      <c r="P467" s="1">
        <v>4</v>
      </c>
      <c r="Q467" t="str">
        <f>IF(ISBLANK(Data[[#This Row],[Customer Rating]]),"No Rating",IF(Data[[#This Row],[Customer Rating]]&gt;=9,"Promoter",IF(Data[[#This Row],[Customer Rating]]&gt;=7,"Passive","Detractor")))</f>
        <v>Detractor</v>
      </c>
    </row>
    <row r="468" spans="1:17" ht="14.25" customHeight="1" x14ac:dyDescent="0.3">
      <c r="A468" s="1" t="s">
        <v>494</v>
      </c>
      <c r="B468" s="1" t="s">
        <v>32</v>
      </c>
      <c r="C468" s="1" t="s">
        <v>30</v>
      </c>
      <c r="D468" s="1" t="str">
        <f>IF(Data[[#This Row],[Cancellation Status]]="No", "High Potential", "Normal")</f>
        <v>High Potential</v>
      </c>
      <c r="E468" s="2">
        <v>45949</v>
      </c>
      <c r="F468" s="2">
        <v>45952</v>
      </c>
      <c r="G468" s="2">
        <v>45954</v>
      </c>
      <c r="H468" s="2">
        <v>45959</v>
      </c>
      <c r="I468" s="1" t="s">
        <v>17</v>
      </c>
      <c r="K468" s="2">
        <v>45974</v>
      </c>
      <c r="L468" s="88">
        <f>IF(OR(Data[[#This Row],[Service Follow-up Date]]="",Data[[#This Row],[Delivery Date]]=""),"",INT(Data[[#This Row],[Service Follow-up Date]]-Data[[#This Row],[Delivery Date]]))</f>
        <v>15</v>
      </c>
      <c r="M468" s="1">
        <v>3</v>
      </c>
      <c r="N468" s="1">
        <v>2</v>
      </c>
      <c r="O468" s="1">
        <v>5</v>
      </c>
      <c r="P468" s="1">
        <v>1</v>
      </c>
      <c r="Q468" t="str">
        <f>IF(ISBLANK(Data[[#This Row],[Customer Rating]]),"No Rating",IF(Data[[#This Row],[Customer Rating]]&gt;=9,"Promoter",IF(Data[[#This Row],[Customer Rating]]&gt;=7,"Passive","Detractor")))</f>
        <v>Detractor</v>
      </c>
    </row>
    <row r="469" spans="1:17" ht="14.25" customHeight="1" x14ac:dyDescent="0.3">
      <c r="A469" s="1" t="s">
        <v>495</v>
      </c>
      <c r="B469" s="1" t="s">
        <v>19</v>
      </c>
      <c r="C469" s="1" t="s">
        <v>16</v>
      </c>
      <c r="D469" s="1" t="str">
        <f>IF(Data[[#This Row],[Cancellation Status]]="No", "High Potential", "Normal")</f>
        <v>High Potential</v>
      </c>
      <c r="E469" s="2">
        <v>45952</v>
      </c>
      <c r="F469" s="2">
        <v>45954</v>
      </c>
      <c r="G469" s="2">
        <v>45958</v>
      </c>
      <c r="H469" s="2">
        <v>45962</v>
      </c>
      <c r="I469" s="1" t="s">
        <v>17</v>
      </c>
      <c r="K469" s="2">
        <v>45978</v>
      </c>
      <c r="L469" s="88">
        <f>IF(OR(Data[[#This Row],[Service Follow-up Date]]="",Data[[#This Row],[Delivery Date]]=""),"",INT(Data[[#This Row],[Service Follow-up Date]]-Data[[#This Row],[Delivery Date]]))</f>
        <v>16</v>
      </c>
      <c r="M469" s="1">
        <v>2</v>
      </c>
      <c r="N469" s="1">
        <v>4</v>
      </c>
      <c r="O469" s="1">
        <v>4</v>
      </c>
      <c r="P469" s="1">
        <v>1</v>
      </c>
      <c r="Q469" t="str">
        <f>IF(ISBLANK(Data[[#This Row],[Customer Rating]]),"No Rating",IF(Data[[#This Row],[Customer Rating]]&gt;=9,"Promoter",IF(Data[[#This Row],[Customer Rating]]&gt;=7,"Passive","Detractor")))</f>
        <v>Detractor</v>
      </c>
    </row>
    <row r="470" spans="1:17" ht="14.25" customHeight="1" x14ac:dyDescent="0.3">
      <c r="A470" s="1" t="s">
        <v>496</v>
      </c>
      <c r="B470" s="1" t="s">
        <v>32</v>
      </c>
      <c r="C470" s="1" t="s">
        <v>16</v>
      </c>
      <c r="D470" s="1" t="str">
        <f>IF(Data[[#This Row],[Cancellation Status]]="No", "High Potential", "Normal")</f>
        <v>High Potential</v>
      </c>
      <c r="E470" s="2">
        <v>45946</v>
      </c>
      <c r="F470" s="2">
        <v>45950</v>
      </c>
      <c r="G470" s="2">
        <v>45951</v>
      </c>
      <c r="H470" s="2">
        <v>45958</v>
      </c>
      <c r="I470" s="1" t="s">
        <v>17</v>
      </c>
      <c r="K470" s="2">
        <v>45974</v>
      </c>
      <c r="L470" s="88">
        <f>IF(OR(Data[[#This Row],[Service Follow-up Date]]="",Data[[#This Row],[Delivery Date]]=""),"",INT(Data[[#This Row],[Service Follow-up Date]]-Data[[#This Row],[Delivery Date]]))</f>
        <v>16</v>
      </c>
      <c r="M470" s="1">
        <v>4</v>
      </c>
      <c r="N470" s="1">
        <v>1</v>
      </c>
      <c r="O470" s="1">
        <v>7</v>
      </c>
      <c r="P470" s="1">
        <v>0</v>
      </c>
      <c r="Q470" t="str">
        <f>IF(ISBLANK(Data[[#This Row],[Customer Rating]]),"No Rating",IF(Data[[#This Row],[Customer Rating]]&gt;=9,"Promoter",IF(Data[[#This Row],[Customer Rating]]&gt;=7,"Passive","Detractor")))</f>
        <v>Detractor</v>
      </c>
    </row>
    <row r="471" spans="1:17" ht="14.25" customHeight="1" x14ac:dyDescent="0.3">
      <c r="A471" s="1" t="s">
        <v>497</v>
      </c>
      <c r="B471" s="1" t="s">
        <v>21</v>
      </c>
      <c r="C471" s="1" t="s">
        <v>22</v>
      </c>
      <c r="D471" s="1" t="str">
        <f>IF(Data[[#This Row],[Cancellation Status]]="No", "High Potential", "Normal")</f>
        <v>Normal</v>
      </c>
      <c r="E471" s="2">
        <v>45958</v>
      </c>
      <c r="I471" s="1" t="s">
        <v>23</v>
      </c>
      <c r="J471" s="1" t="s">
        <v>33</v>
      </c>
      <c r="L471" s="88" t="str">
        <f>IF(OR(Data[[#This Row],[Service Follow-up Date]]="",Data[[#This Row],[Delivery Date]]=""),"",INT(Data[[#This Row],[Service Follow-up Date]]-Data[[#This Row],[Delivery Date]]))</f>
        <v/>
      </c>
      <c r="Q471" t="str">
        <f>IF(ISBLANK(Data[[#This Row],[Customer Rating]]),"No Rating",IF(Data[[#This Row],[Customer Rating]]&gt;=9,"Promoter",IF(Data[[#This Row],[Customer Rating]]&gt;=7,"Passive","Detractor")))</f>
        <v>No Rating</v>
      </c>
    </row>
    <row r="472" spans="1:17" ht="14.25" customHeight="1" x14ac:dyDescent="0.3">
      <c r="A472" s="1" t="s">
        <v>498</v>
      </c>
      <c r="B472" s="1" t="s">
        <v>15</v>
      </c>
      <c r="C472" s="1" t="s">
        <v>16</v>
      </c>
      <c r="D472" s="1" t="str">
        <f>IF(Data[[#This Row],[Cancellation Status]]="No", "High Potential", "Normal")</f>
        <v>High Potential</v>
      </c>
      <c r="E472" s="2">
        <v>45935</v>
      </c>
      <c r="F472" s="2">
        <v>45936</v>
      </c>
      <c r="G472" s="2">
        <v>45941</v>
      </c>
      <c r="H472" s="2">
        <v>45943</v>
      </c>
      <c r="I472" s="1" t="s">
        <v>17</v>
      </c>
      <c r="K472" s="2">
        <v>45954</v>
      </c>
      <c r="L472" s="88">
        <f>IF(OR(Data[[#This Row],[Service Follow-up Date]]="",Data[[#This Row],[Delivery Date]]=""),"",INT(Data[[#This Row],[Service Follow-up Date]]-Data[[#This Row],[Delivery Date]]))</f>
        <v>11</v>
      </c>
      <c r="M472" s="1">
        <v>1</v>
      </c>
      <c r="N472" s="1">
        <v>5</v>
      </c>
      <c r="O472" s="1">
        <v>2</v>
      </c>
      <c r="P472" s="1">
        <v>7</v>
      </c>
      <c r="Q472" t="str">
        <f>IF(ISBLANK(Data[[#This Row],[Customer Rating]]),"No Rating",IF(Data[[#This Row],[Customer Rating]]&gt;=9,"Promoter",IF(Data[[#This Row],[Customer Rating]]&gt;=7,"Passive","Detractor")))</f>
        <v>Passive</v>
      </c>
    </row>
    <row r="473" spans="1:17" ht="14.25" customHeight="1" x14ac:dyDescent="0.3">
      <c r="A473" s="1" t="s">
        <v>499</v>
      </c>
      <c r="B473" s="1" t="s">
        <v>19</v>
      </c>
      <c r="C473" s="1" t="s">
        <v>22</v>
      </c>
      <c r="D473" s="1" t="str">
        <f>IF(Data[[#This Row],[Cancellation Status]]="No", "High Potential", "Normal")</f>
        <v>Normal</v>
      </c>
      <c r="E473" s="2">
        <v>45945</v>
      </c>
      <c r="I473" s="1" t="s">
        <v>23</v>
      </c>
      <c r="J473" s="1" t="s">
        <v>63</v>
      </c>
      <c r="L473" s="88" t="str">
        <f>IF(OR(Data[[#This Row],[Service Follow-up Date]]="",Data[[#This Row],[Delivery Date]]=""),"",INT(Data[[#This Row],[Service Follow-up Date]]-Data[[#This Row],[Delivery Date]]))</f>
        <v/>
      </c>
      <c r="Q473" t="str">
        <f>IF(ISBLANK(Data[[#This Row],[Customer Rating]]),"No Rating",IF(Data[[#This Row],[Customer Rating]]&gt;=9,"Promoter",IF(Data[[#This Row],[Customer Rating]]&gt;=7,"Passive","Detractor")))</f>
        <v>No Rating</v>
      </c>
    </row>
    <row r="474" spans="1:17" ht="14.25" customHeight="1" x14ac:dyDescent="0.3">
      <c r="A474" s="1" t="s">
        <v>500</v>
      </c>
      <c r="B474" s="1" t="s">
        <v>15</v>
      </c>
      <c r="C474" s="1" t="s">
        <v>22</v>
      </c>
      <c r="D474" s="1" t="str">
        <f>IF(Data[[#This Row],[Cancellation Status]]="No", "High Potential", "Normal")</f>
        <v>Normal</v>
      </c>
      <c r="E474" s="2">
        <v>45948</v>
      </c>
      <c r="I474" s="1" t="s">
        <v>23</v>
      </c>
      <c r="J474" s="1" t="s">
        <v>33</v>
      </c>
      <c r="L474" s="88" t="str">
        <f>IF(OR(Data[[#This Row],[Service Follow-up Date]]="",Data[[#This Row],[Delivery Date]]=""),"",INT(Data[[#This Row],[Service Follow-up Date]]-Data[[#This Row],[Delivery Date]]))</f>
        <v/>
      </c>
      <c r="Q474" t="str">
        <f>IF(ISBLANK(Data[[#This Row],[Customer Rating]]),"No Rating",IF(Data[[#This Row],[Customer Rating]]&gt;=9,"Promoter",IF(Data[[#This Row],[Customer Rating]]&gt;=7,"Passive","Detractor")))</f>
        <v>No Rating</v>
      </c>
    </row>
    <row r="475" spans="1:17" ht="14.25" customHeight="1" x14ac:dyDescent="0.3">
      <c r="A475" s="1" t="s">
        <v>501</v>
      </c>
      <c r="B475" s="1" t="s">
        <v>21</v>
      </c>
      <c r="C475" s="1" t="s">
        <v>16</v>
      </c>
      <c r="D475" s="1" t="str">
        <f>IF(Data[[#This Row],[Cancellation Status]]="No", "High Potential", "Normal")</f>
        <v>High Potential</v>
      </c>
      <c r="E475" s="2">
        <v>45946</v>
      </c>
      <c r="F475" s="2">
        <v>45949</v>
      </c>
      <c r="G475" s="2">
        <v>45953</v>
      </c>
      <c r="H475" s="2">
        <v>45956</v>
      </c>
      <c r="I475" s="1" t="s">
        <v>17</v>
      </c>
      <c r="K475" s="2">
        <v>45973</v>
      </c>
      <c r="L475" s="88">
        <f>IF(OR(Data[[#This Row],[Service Follow-up Date]]="",Data[[#This Row],[Delivery Date]]=""),"",INT(Data[[#This Row],[Service Follow-up Date]]-Data[[#This Row],[Delivery Date]]))</f>
        <v>17</v>
      </c>
      <c r="M475" s="1">
        <v>3</v>
      </c>
      <c r="N475" s="1">
        <v>4</v>
      </c>
      <c r="O475" s="1">
        <v>3</v>
      </c>
      <c r="P475" s="1">
        <v>8</v>
      </c>
      <c r="Q475" t="str">
        <f>IF(ISBLANK(Data[[#This Row],[Customer Rating]]),"No Rating",IF(Data[[#This Row],[Customer Rating]]&gt;=9,"Promoter",IF(Data[[#This Row],[Customer Rating]]&gt;=7,"Passive","Detractor")))</f>
        <v>Passive</v>
      </c>
    </row>
    <row r="476" spans="1:17" ht="14.25" customHeight="1" x14ac:dyDescent="0.3">
      <c r="A476" s="1" t="s">
        <v>502</v>
      </c>
      <c r="B476" s="1" t="s">
        <v>21</v>
      </c>
      <c r="C476" s="1" t="s">
        <v>22</v>
      </c>
      <c r="D476" s="1" t="str">
        <f>IF(Data[[#This Row],[Cancellation Status]]="No", "High Potential", "Normal")</f>
        <v>Normal</v>
      </c>
      <c r="E476" s="2">
        <v>45942</v>
      </c>
      <c r="I476" s="1" t="s">
        <v>23</v>
      </c>
      <c r="J476" s="1" t="s">
        <v>101</v>
      </c>
      <c r="L476" s="88" t="str">
        <f>IF(OR(Data[[#This Row],[Service Follow-up Date]]="",Data[[#This Row],[Delivery Date]]=""),"",INT(Data[[#This Row],[Service Follow-up Date]]-Data[[#This Row],[Delivery Date]]))</f>
        <v/>
      </c>
      <c r="Q476" t="str">
        <f>IF(ISBLANK(Data[[#This Row],[Customer Rating]]),"No Rating",IF(Data[[#This Row],[Customer Rating]]&gt;=9,"Promoter",IF(Data[[#This Row],[Customer Rating]]&gt;=7,"Passive","Detractor")))</f>
        <v>No Rating</v>
      </c>
    </row>
    <row r="477" spans="1:17" ht="14.25" customHeight="1" x14ac:dyDescent="0.3">
      <c r="A477" s="1" t="s">
        <v>503</v>
      </c>
      <c r="B477" s="1" t="s">
        <v>21</v>
      </c>
      <c r="C477" s="1" t="s">
        <v>16</v>
      </c>
      <c r="D477" s="1" t="str">
        <f>IF(Data[[#This Row],[Cancellation Status]]="No", "High Potential", "Normal")</f>
        <v>Normal</v>
      </c>
      <c r="E477" s="2">
        <v>45941</v>
      </c>
      <c r="F477" s="2">
        <v>45943</v>
      </c>
      <c r="G477" s="2">
        <v>45947</v>
      </c>
      <c r="H477" s="2">
        <v>45952</v>
      </c>
      <c r="I477" s="1" t="s">
        <v>23</v>
      </c>
      <c r="J477" s="1" t="s">
        <v>24</v>
      </c>
      <c r="L477" s="88" t="str">
        <f>IF(OR(Data[[#This Row],[Service Follow-up Date]]="",Data[[#This Row],[Delivery Date]]=""),"",INT(Data[[#This Row],[Service Follow-up Date]]-Data[[#This Row],[Delivery Date]]))</f>
        <v/>
      </c>
      <c r="M477" s="1">
        <v>2</v>
      </c>
      <c r="N477" s="1">
        <v>4</v>
      </c>
      <c r="O477" s="1">
        <v>5</v>
      </c>
      <c r="Q477" t="str">
        <f>IF(ISBLANK(Data[[#This Row],[Customer Rating]]),"No Rating",IF(Data[[#This Row],[Customer Rating]]&gt;=9,"Promoter",IF(Data[[#This Row],[Customer Rating]]&gt;=7,"Passive","Detractor")))</f>
        <v>No Rating</v>
      </c>
    </row>
    <row r="478" spans="1:17" ht="14.25" customHeight="1" x14ac:dyDescent="0.3">
      <c r="A478" s="1" t="s">
        <v>504</v>
      </c>
      <c r="B478" s="1" t="s">
        <v>15</v>
      </c>
      <c r="C478" s="1" t="s">
        <v>30</v>
      </c>
      <c r="D478" s="1" t="str">
        <f>IF(Data[[#This Row],[Cancellation Status]]="No", "High Potential", "Normal")</f>
        <v>High Potential</v>
      </c>
      <c r="E478" s="2">
        <v>45948</v>
      </c>
      <c r="F478" s="2">
        <v>45949</v>
      </c>
      <c r="G478" s="2">
        <v>45954</v>
      </c>
      <c r="H478" s="2">
        <v>45959</v>
      </c>
      <c r="I478" s="1" t="s">
        <v>17</v>
      </c>
      <c r="K478" s="2">
        <v>45970</v>
      </c>
      <c r="L478" s="88">
        <f>IF(OR(Data[[#This Row],[Service Follow-up Date]]="",Data[[#This Row],[Delivery Date]]=""),"",INT(Data[[#This Row],[Service Follow-up Date]]-Data[[#This Row],[Delivery Date]]))</f>
        <v>11</v>
      </c>
      <c r="M478" s="1">
        <v>1</v>
      </c>
      <c r="N478" s="1">
        <v>5</v>
      </c>
      <c r="O478" s="1">
        <v>5</v>
      </c>
      <c r="P478" s="1">
        <v>2</v>
      </c>
      <c r="Q478" t="str">
        <f>IF(ISBLANK(Data[[#This Row],[Customer Rating]]),"No Rating",IF(Data[[#This Row],[Customer Rating]]&gt;=9,"Promoter",IF(Data[[#This Row],[Customer Rating]]&gt;=7,"Passive","Detractor")))</f>
        <v>Detractor</v>
      </c>
    </row>
    <row r="479" spans="1:17" ht="14.25" customHeight="1" x14ac:dyDescent="0.3">
      <c r="A479" s="1" t="s">
        <v>505</v>
      </c>
      <c r="B479" s="1" t="s">
        <v>15</v>
      </c>
      <c r="C479" s="1" t="s">
        <v>16</v>
      </c>
      <c r="D479" s="1" t="str">
        <f>IF(Data[[#This Row],[Cancellation Status]]="No", "High Potential", "Normal")</f>
        <v>Normal</v>
      </c>
      <c r="E479" s="2">
        <v>45955</v>
      </c>
      <c r="F479" s="2">
        <v>45958</v>
      </c>
      <c r="G479" s="2">
        <v>45963</v>
      </c>
      <c r="H479" s="2">
        <v>45965</v>
      </c>
      <c r="I479" s="1" t="s">
        <v>23</v>
      </c>
      <c r="J479" s="1" t="s">
        <v>24</v>
      </c>
      <c r="L479" s="88" t="str">
        <f>IF(OR(Data[[#This Row],[Service Follow-up Date]]="",Data[[#This Row],[Delivery Date]]=""),"",INT(Data[[#This Row],[Service Follow-up Date]]-Data[[#This Row],[Delivery Date]]))</f>
        <v/>
      </c>
      <c r="M479" s="1">
        <v>3</v>
      </c>
      <c r="N479" s="1">
        <v>5</v>
      </c>
      <c r="O479" s="1">
        <v>2</v>
      </c>
      <c r="Q479" t="str">
        <f>IF(ISBLANK(Data[[#This Row],[Customer Rating]]),"No Rating",IF(Data[[#This Row],[Customer Rating]]&gt;=9,"Promoter",IF(Data[[#This Row],[Customer Rating]]&gt;=7,"Passive","Detractor")))</f>
        <v>No Rating</v>
      </c>
    </row>
    <row r="480" spans="1:17" ht="14.25" customHeight="1" x14ac:dyDescent="0.3">
      <c r="A480" s="1" t="s">
        <v>506</v>
      </c>
      <c r="B480" s="1" t="s">
        <v>15</v>
      </c>
      <c r="C480" s="1" t="s">
        <v>16</v>
      </c>
      <c r="D480" s="1" t="str">
        <f>IF(Data[[#This Row],[Cancellation Status]]="No", "High Potential", "Normal")</f>
        <v>High Potential</v>
      </c>
      <c r="E480" s="2">
        <v>45948</v>
      </c>
      <c r="F480" s="2">
        <v>45949</v>
      </c>
      <c r="G480" s="2">
        <v>45951</v>
      </c>
      <c r="H480" s="2">
        <v>45954</v>
      </c>
      <c r="I480" s="1" t="s">
        <v>17</v>
      </c>
      <c r="K480" s="2">
        <v>45978</v>
      </c>
      <c r="L480" s="88">
        <f>IF(OR(Data[[#This Row],[Service Follow-up Date]]="",Data[[#This Row],[Delivery Date]]=""),"",INT(Data[[#This Row],[Service Follow-up Date]]-Data[[#This Row],[Delivery Date]]))</f>
        <v>24</v>
      </c>
      <c r="M480" s="1">
        <v>1</v>
      </c>
      <c r="N480" s="1">
        <v>2</v>
      </c>
      <c r="O480" s="1">
        <v>3</v>
      </c>
      <c r="P480" s="1">
        <v>7</v>
      </c>
      <c r="Q480" t="str">
        <f>IF(ISBLANK(Data[[#This Row],[Customer Rating]]),"No Rating",IF(Data[[#This Row],[Customer Rating]]&gt;=9,"Promoter",IF(Data[[#This Row],[Customer Rating]]&gt;=7,"Passive","Detractor")))</f>
        <v>Passive</v>
      </c>
    </row>
    <row r="481" spans="1:17" ht="14.25" customHeight="1" x14ac:dyDescent="0.3">
      <c r="A481" s="1" t="s">
        <v>507</v>
      </c>
      <c r="B481" s="1" t="s">
        <v>15</v>
      </c>
      <c r="C481" s="1" t="s">
        <v>16</v>
      </c>
      <c r="D481" s="1" t="str">
        <f>IF(Data[[#This Row],[Cancellation Status]]="No", "High Potential", "Normal")</f>
        <v>Normal</v>
      </c>
      <c r="E481" s="2">
        <v>45943</v>
      </c>
      <c r="F481" s="2">
        <v>45946</v>
      </c>
      <c r="G481" s="2">
        <v>45950</v>
      </c>
      <c r="H481" s="2">
        <v>45955</v>
      </c>
      <c r="I481" s="1" t="s">
        <v>23</v>
      </c>
      <c r="J481" s="1" t="s">
        <v>26</v>
      </c>
      <c r="L481" s="88" t="str">
        <f>IF(OR(Data[[#This Row],[Service Follow-up Date]]="",Data[[#This Row],[Delivery Date]]=""),"",INT(Data[[#This Row],[Service Follow-up Date]]-Data[[#This Row],[Delivery Date]]))</f>
        <v/>
      </c>
      <c r="M481" s="1">
        <v>3</v>
      </c>
      <c r="N481" s="1">
        <v>4</v>
      </c>
      <c r="O481" s="1">
        <v>5</v>
      </c>
      <c r="Q481" t="str">
        <f>IF(ISBLANK(Data[[#This Row],[Customer Rating]]),"No Rating",IF(Data[[#This Row],[Customer Rating]]&gt;=9,"Promoter",IF(Data[[#This Row],[Customer Rating]]&gt;=7,"Passive","Detractor")))</f>
        <v>No Rating</v>
      </c>
    </row>
    <row r="482" spans="1:17" ht="14.25" customHeight="1" x14ac:dyDescent="0.3">
      <c r="A482" s="1" t="s">
        <v>508</v>
      </c>
      <c r="B482" s="1" t="s">
        <v>21</v>
      </c>
      <c r="C482" s="1" t="s">
        <v>16</v>
      </c>
      <c r="D482" s="1" t="str">
        <f>IF(Data[[#This Row],[Cancellation Status]]="No", "High Potential", "Normal")</f>
        <v>High Potential</v>
      </c>
      <c r="E482" s="2">
        <v>45945</v>
      </c>
      <c r="F482" s="2">
        <v>45947</v>
      </c>
      <c r="G482" s="2">
        <v>45949</v>
      </c>
      <c r="H482" s="2">
        <v>45956</v>
      </c>
      <c r="I482" s="1" t="s">
        <v>17</v>
      </c>
      <c r="K482" s="2">
        <v>45967</v>
      </c>
      <c r="L482" s="88">
        <f>IF(OR(Data[[#This Row],[Service Follow-up Date]]="",Data[[#This Row],[Delivery Date]]=""),"",INT(Data[[#This Row],[Service Follow-up Date]]-Data[[#This Row],[Delivery Date]]))</f>
        <v>11</v>
      </c>
      <c r="M482" s="1">
        <v>2</v>
      </c>
      <c r="N482" s="1">
        <v>2</v>
      </c>
      <c r="O482" s="1">
        <v>7</v>
      </c>
      <c r="P482" s="1">
        <v>2</v>
      </c>
      <c r="Q482" t="str">
        <f>IF(ISBLANK(Data[[#This Row],[Customer Rating]]),"No Rating",IF(Data[[#This Row],[Customer Rating]]&gt;=9,"Promoter",IF(Data[[#This Row],[Customer Rating]]&gt;=7,"Passive","Detractor")))</f>
        <v>Detractor</v>
      </c>
    </row>
    <row r="483" spans="1:17" ht="14.25" customHeight="1" x14ac:dyDescent="0.3">
      <c r="A483" s="1" t="s">
        <v>509</v>
      </c>
      <c r="B483" s="1" t="s">
        <v>21</v>
      </c>
      <c r="C483" s="1" t="s">
        <v>16</v>
      </c>
      <c r="D483" s="1" t="str">
        <f>IF(Data[[#This Row],[Cancellation Status]]="No", "High Potential", "Normal")</f>
        <v>High Potential</v>
      </c>
      <c r="E483" s="2">
        <v>45960</v>
      </c>
      <c r="F483" s="2">
        <v>45962</v>
      </c>
      <c r="G483" s="2">
        <v>45965</v>
      </c>
      <c r="H483" s="2">
        <v>45971</v>
      </c>
      <c r="I483" s="1" t="s">
        <v>17</v>
      </c>
      <c r="K483" s="2">
        <v>45992</v>
      </c>
      <c r="L483" s="88">
        <f>IF(OR(Data[[#This Row],[Service Follow-up Date]]="",Data[[#This Row],[Delivery Date]]=""),"",INT(Data[[#This Row],[Service Follow-up Date]]-Data[[#This Row],[Delivery Date]]))</f>
        <v>21</v>
      </c>
      <c r="M483" s="1">
        <v>2</v>
      </c>
      <c r="N483" s="1">
        <v>3</v>
      </c>
      <c r="O483" s="1">
        <v>6</v>
      </c>
      <c r="P483" s="1">
        <v>8</v>
      </c>
      <c r="Q483" t="str">
        <f>IF(ISBLANK(Data[[#This Row],[Customer Rating]]),"No Rating",IF(Data[[#This Row],[Customer Rating]]&gt;=9,"Promoter",IF(Data[[#This Row],[Customer Rating]]&gt;=7,"Passive","Detractor")))</f>
        <v>Passive</v>
      </c>
    </row>
    <row r="484" spans="1:17" ht="14.25" customHeight="1" x14ac:dyDescent="0.3">
      <c r="A484" s="1" t="s">
        <v>510</v>
      </c>
      <c r="B484" s="1" t="s">
        <v>19</v>
      </c>
      <c r="C484" s="1" t="s">
        <v>16</v>
      </c>
      <c r="D484" s="1" t="str">
        <f>IF(Data[[#This Row],[Cancellation Status]]="No", "High Potential", "Normal")</f>
        <v>High Potential</v>
      </c>
      <c r="E484" s="2">
        <v>45941</v>
      </c>
      <c r="F484" s="2">
        <v>45942</v>
      </c>
      <c r="G484" s="2">
        <v>45944</v>
      </c>
      <c r="H484" s="2">
        <v>45946</v>
      </c>
      <c r="I484" s="1" t="s">
        <v>17</v>
      </c>
      <c r="K484" s="2">
        <v>45962</v>
      </c>
      <c r="L484" s="88">
        <f>IF(OR(Data[[#This Row],[Service Follow-up Date]]="",Data[[#This Row],[Delivery Date]]=""),"",INT(Data[[#This Row],[Service Follow-up Date]]-Data[[#This Row],[Delivery Date]]))</f>
        <v>16</v>
      </c>
      <c r="M484" s="1">
        <v>1</v>
      </c>
      <c r="N484" s="1">
        <v>2</v>
      </c>
      <c r="O484" s="1">
        <v>2</v>
      </c>
      <c r="P484" s="1">
        <v>5</v>
      </c>
      <c r="Q484" t="str">
        <f>IF(ISBLANK(Data[[#This Row],[Customer Rating]]),"No Rating",IF(Data[[#This Row],[Customer Rating]]&gt;=9,"Promoter",IF(Data[[#This Row],[Customer Rating]]&gt;=7,"Passive","Detractor")))</f>
        <v>Detractor</v>
      </c>
    </row>
    <row r="485" spans="1:17" ht="14.25" customHeight="1" x14ac:dyDescent="0.3">
      <c r="A485" s="1" t="s">
        <v>511</v>
      </c>
      <c r="B485" s="1" t="s">
        <v>19</v>
      </c>
      <c r="C485" s="1" t="s">
        <v>16</v>
      </c>
      <c r="D485" s="1" t="str">
        <f>IF(Data[[#This Row],[Cancellation Status]]="No", "High Potential", "Normal")</f>
        <v>High Potential</v>
      </c>
      <c r="E485" s="2">
        <v>45958</v>
      </c>
      <c r="F485" s="2">
        <v>45961</v>
      </c>
      <c r="G485" s="2">
        <v>45964</v>
      </c>
      <c r="H485" s="2">
        <v>45970</v>
      </c>
      <c r="I485" s="1" t="s">
        <v>17</v>
      </c>
      <c r="K485" s="2">
        <v>45988</v>
      </c>
      <c r="L485" s="88">
        <f>IF(OR(Data[[#This Row],[Service Follow-up Date]]="",Data[[#This Row],[Delivery Date]]=""),"",INT(Data[[#This Row],[Service Follow-up Date]]-Data[[#This Row],[Delivery Date]]))</f>
        <v>18</v>
      </c>
      <c r="M485" s="1">
        <v>3</v>
      </c>
      <c r="N485" s="1">
        <v>3</v>
      </c>
      <c r="O485" s="1">
        <v>6</v>
      </c>
      <c r="P485" s="1">
        <v>5</v>
      </c>
      <c r="Q485" t="str">
        <f>IF(ISBLANK(Data[[#This Row],[Customer Rating]]),"No Rating",IF(Data[[#This Row],[Customer Rating]]&gt;=9,"Promoter",IF(Data[[#This Row],[Customer Rating]]&gt;=7,"Passive","Detractor")))</f>
        <v>Detractor</v>
      </c>
    </row>
    <row r="486" spans="1:17" ht="14.25" customHeight="1" x14ac:dyDescent="0.3">
      <c r="A486" s="1" t="s">
        <v>512</v>
      </c>
      <c r="B486" s="1" t="s">
        <v>15</v>
      </c>
      <c r="C486" s="1" t="s">
        <v>16</v>
      </c>
      <c r="D486" s="1" t="str">
        <f>IF(Data[[#This Row],[Cancellation Status]]="No", "High Potential", "Normal")</f>
        <v>High Potential</v>
      </c>
      <c r="E486" s="2">
        <v>45937</v>
      </c>
      <c r="F486" s="2">
        <v>45941</v>
      </c>
      <c r="G486" s="2">
        <v>45942</v>
      </c>
      <c r="H486" s="2">
        <v>45944</v>
      </c>
      <c r="I486" s="1" t="s">
        <v>17</v>
      </c>
      <c r="K486" s="2">
        <v>45965</v>
      </c>
      <c r="L486" s="88">
        <f>IF(OR(Data[[#This Row],[Service Follow-up Date]]="",Data[[#This Row],[Delivery Date]]=""),"",INT(Data[[#This Row],[Service Follow-up Date]]-Data[[#This Row],[Delivery Date]]))</f>
        <v>21</v>
      </c>
      <c r="M486" s="1">
        <v>4</v>
      </c>
      <c r="N486" s="1">
        <v>1</v>
      </c>
      <c r="O486" s="1">
        <v>2</v>
      </c>
      <c r="P486" s="1">
        <v>6</v>
      </c>
      <c r="Q486" t="str">
        <f>IF(ISBLANK(Data[[#This Row],[Customer Rating]]),"No Rating",IF(Data[[#This Row],[Customer Rating]]&gt;=9,"Promoter",IF(Data[[#This Row],[Customer Rating]]&gt;=7,"Passive","Detractor")))</f>
        <v>Detractor</v>
      </c>
    </row>
    <row r="487" spans="1:17" ht="14.25" customHeight="1" x14ac:dyDescent="0.3">
      <c r="A487" s="1" t="s">
        <v>513</v>
      </c>
      <c r="B487" s="1" t="s">
        <v>32</v>
      </c>
      <c r="C487" s="1" t="s">
        <v>16</v>
      </c>
      <c r="D487" s="1" t="str">
        <f>IF(Data[[#This Row],[Cancellation Status]]="No", "High Potential", "Normal")</f>
        <v>Normal</v>
      </c>
      <c r="E487" s="2">
        <v>45953</v>
      </c>
      <c r="F487" s="2">
        <v>45955</v>
      </c>
      <c r="G487" s="2">
        <v>45959</v>
      </c>
      <c r="H487" s="2">
        <v>45963</v>
      </c>
      <c r="I487" s="1" t="s">
        <v>23</v>
      </c>
      <c r="J487" s="1" t="s">
        <v>26</v>
      </c>
      <c r="L487" s="88" t="str">
        <f>IF(OR(Data[[#This Row],[Service Follow-up Date]]="",Data[[#This Row],[Delivery Date]]=""),"",INT(Data[[#This Row],[Service Follow-up Date]]-Data[[#This Row],[Delivery Date]]))</f>
        <v/>
      </c>
      <c r="M487" s="1">
        <v>2</v>
      </c>
      <c r="N487" s="1">
        <v>4</v>
      </c>
      <c r="O487" s="1">
        <v>4</v>
      </c>
      <c r="Q487" t="str">
        <f>IF(ISBLANK(Data[[#This Row],[Customer Rating]]),"No Rating",IF(Data[[#This Row],[Customer Rating]]&gt;=9,"Promoter",IF(Data[[#This Row],[Customer Rating]]&gt;=7,"Passive","Detractor")))</f>
        <v>No Rating</v>
      </c>
    </row>
    <row r="488" spans="1:17" ht="14.25" customHeight="1" x14ac:dyDescent="0.3">
      <c r="A488" s="1" t="s">
        <v>514</v>
      </c>
      <c r="B488" s="1" t="s">
        <v>32</v>
      </c>
      <c r="C488" s="1" t="s">
        <v>16</v>
      </c>
      <c r="D488" s="1" t="str">
        <f>IF(Data[[#This Row],[Cancellation Status]]="No", "High Potential", "Normal")</f>
        <v>High Potential</v>
      </c>
      <c r="E488" s="2">
        <v>45938</v>
      </c>
      <c r="F488" s="2">
        <v>45942</v>
      </c>
      <c r="G488" s="2">
        <v>45945</v>
      </c>
      <c r="H488" s="2">
        <v>45949</v>
      </c>
      <c r="I488" s="1" t="s">
        <v>17</v>
      </c>
      <c r="K488" s="2">
        <v>45973</v>
      </c>
      <c r="L488" s="88">
        <f>IF(OR(Data[[#This Row],[Service Follow-up Date]]="",Data[[#This Row],[Delivery Date]]=""),"",INT(Data[[#This Row],[Service Follow-up Date]]-Data[[#This Row],[Delivery Date]]))</f>
        <v>24</v>
      </c>
      <c r="M488" s="1">
        <v>4</v>
      </c>
      <c r="N488" s="1">
        <v>3</v>
      </c>
      <c r="O488" s="1">
        <v>4</v>
      </c>
      <c r="P488" s="1">
        <v>9</v>
      </c>
      <c r="Q488" t="str">
        <f>IF(ISBLANK(Data[[#This Row],[Customer Rating]]),"No Rating",IF(Data[[#This Row],[Customer Rating]]&gt;=9,"Promoter",IF(Data[[#This Row],[Customer Rating]]&gt;=7,"Passive","Detractor")))</f>
        <v>Promoter</v>
      </c>
    </row>
    <row r="489" spans="1:17" ht="14.25" customHeight="1" x14ac:dyDescent="0.3">
      <c r="A489" s="1" t="s">
        <v>515</v>
      </c>
      <c r="B489" s="1" t="s">
        <v>21</v>
      </c>
      <c r="C489" s="1" t="s">
        <v>30</v>
      </c>
      <c r="D489" s="1" t="str">
        <f>IF(Data[[#This Row],[Cancellation Status]]="No", "High Potential", "Normal")</f>
        <v>High Potential</v>
      </c>
      <c r="E489" s="2">
        <v>45949</v>
      </c>
      <c r="F489" s="2">
        <v>45953</v>
      </c>
      <c r="G489" s="2">
        <v>45954</v>
      </c>
      <c r="H489" s="2">
        <v>45957</v>
      </c>
      <c r="I489" s="1" t="s">
        <v>17</v>
      </c>
      <c r="K489" s="2">
        <v>45983</v>
      </c>
      <c r="L489" s="88">
        <f>IF(OR(Data[[#This Row],[Service Follow-up Date]]="",Data[[#This Row],[Delivery Date]]=""),"",INT(Data[[#This Row],[Service Follow-up Date]]-Data[[#This Row],[Delivery Date]]))</f>
        <v>26</v>
      </c>
      <c r="M489" s="1">
        <v>4</v>
      </c>
      <c r="N489" s="1">
        <v>1</v>
      </c>
      <c r="O489" s="1">
        <v>3</v>
      </c>
      <c r="P489" s="1">
        <v>4</v>
      </c>
      <c r="Q489" t="str">
        <f>IF(ISBLANK(Data[[#This Row],[Customer Rating]]),"No Rating",IF(Data[[#This Row],[Customer Rating]]&gt;=9,"Promoter",IF(Data[[#This Row],[Customer Rating]]&gt;=7,"Passive","Detractor")))</f>
        <v>Detractor</v>
      </c>
    </row>
    <row r="490" spans="1:17" ht="14.25" customHeight="1" x14ac:dyDescent="0.3">
      <c r="A490" s="1" t="s">
        <v>516</v>
      </c>
      <c r="B490" s="1" t="s">
        <v>21</v>
      </c>
      <c r="C490" s="1" t="s">
        <v>16</v>
      </c>
      <c r="D490" s="1" t="str">
        <f>IF(Data[[#This Row],[Cancellation Status]]="No", "High Potential", "Normal")</f>
        <v>High Potential</v>
      </c>
      <c r="E490" s="2">
        <v>45943</v>
      </c>
      <c r="F490" s="2">
        <v>45948</v>
      </c>
      <c r="G490" s="2">
        <v>45953</v>
      </c>
      <c r="H490" s="2">
        <v>45958</v>
      </c>
      <c r="I490" s="1" t="s">
        <v>17</v>
      </c>
      <c r="K490" s="2">
        <v>45980</v>
      </c>
      <c r="L490" s="88">
        <f>IF(OR(Data[[#This Row],[Service Follow-up Date]]="",Data[[#This Row],[Delivery Date]]=""),"",INT(Data[[#This Row],[Service Follow-up Date]]-Data[[#This Row],[Delivery Date]]))</f>
        <v>22</v>
      </c>
      <c r="M490" s="1">
        <v>5</v>
      </c>
      <c r="N490" s="1">
        <v>5</v>
      </c>
      <c r="O490" s="1">
        <v>5</v>
      </c>
      <c r="P490" s="1">
        <v>5</v>
      </c>
      <c r="Q490" t="str">
        <f>IF(ISBLANK(Data[[#This Row],[Customer Rating]]),"No Rating",IF(Data[[#This Row],[Customer Rating]]&gt;=9,"Promoter",IF(Data[[#This Row],[Customer Rating]]&gt;=7,"Passive","Detractor")))</f>
        <v>Detractor</v>
      </c>
    </row>
    <row r="491" spans="1:17" ht="14.25" customHeight="1" x14ac:dyDescent="0.3">
      <c r="A491" s="1" t="s">
        <v>517</v>
      </c>
      <c r="B491" s="1" t="s">
        <v>21</v>
      </c>
      <c r="C491" s="1" t="s">
        <v>30</v>
      </c>
      <c r="D491" s="1" t="str">
        <f>IF(Data[[#This Row],[Cancellation Status]]="No", "High Potential", "Normal")</f>
        <v>High Potential</v>
      </c>
      <c r="E491" s="2">
        <v>45938</v>
      </c>
      <c r="F491" s="2">
        <v>45939</v>
      </c>
      <c r="G491" s="2">
        <v>45941</v>
      </c>
      <c r="H491" s="2">
        <v>45947</v>
      </c>
      <c r="I491" s="1" t="s">
        <v>17</v>
      </c>
      <c r="K491" s="2">
        <v>45977</v>
      </c>
      <c r="L491" s="88">
        <f>IF(OR(Data[[#This Row],[Service Follow-up Date]]="",Data[[#This Row],[Delivery Date]]=""),"",INT(Data[[#This Row],[Service Follow-up Date]]-Data[[#This Row],[Delivery Date]]))</f>
        <v>30</v>
      </c>
      <c r="M491" s="1">
        <v>1</v>
      </c>
      <c r="N491" s="1">
        <v>2</v>
      </c>
      <c r="O491" s="1">
        <v>6</v>
      </c>
      <c r="P491" s="1">
        <v>2</v>
      </c>
      <c r="Q491" t="str">
        <f>IF(ISBLANK(Data[[#This Row],[Customer Rating]]),"No Rating",IF(Data[[#This Row],[Customer Rating]]&gt;=9,"Promoter",IF(Data[[#This Row],[Customer Rating]]&gt;=7,"Passive","Detractor")))</f>
        <v>Detractor</v>
      </c>
    </row>
    <row r="492" spans="1:17" ht="14.25" customHeight="1" x14ac:dyDescent="0.3">
      <c r="A492" s="1" t="s">
        <v>518</v>
      </c>
      <c r="B492" s="1" t="s">
        <v>19</v>
      </c>
      <c r="C492" s="1" t="s">
        <v>16</v>
      </c>
      <c r="D492" s="1" t="str">
        <f>IF(Data[[#This Row],[Cancellation Status]]="No", "High Potential", "Normal")</f>
        <v>High Potential</v>
      </c>
      <c r="E492" s="2">
        <v>45958</v>
      </c>
      <c r="F492" s="2">
        <v>45959</v>
      </c>
      <c r="G492" s="2">
        <v>45960</v>
      </c>
      <c r="H492" s="2">
        <v>45965</v>
      </c>
      <c r="I492" s="1" t="s">
        <v>17</v>
      </c>
      <c r="K492" s="2">
        <v>45978</v>
      </c>
      <c r="L492" s="88">
        <f>IF(OR(Data[[#This Row],[Service Follow-up Date]]="",Data[[#This Row],[Delivery Date]]=""),"",INT(Data[[#This Row],[Service Follow-up Date]]-Data[[#This Row],[Delivery Date]]))</f>
        <v>13</v>
      </c>
      <c r="M492" s="1">
        <v>1</v>
      </c>
      <c r="N492" s="1">
        <v>1</v>
      </c>
      <c r="O492" s="1">
        <v>5</v>
      </c>
      <c r="P492" s="1">
        <v>9</v>
      </c>
      <c r="Q492" t="str">
        <f>IF(ISBLANK(Data[[#This Row],[Customer Rating]]),"No Rating",IF(Data[[#This Row],[Customer Rating]]&gt;=9,"Promoter",IF(Data[[#This Row],[Customer Rating]]&gt;=7,"Passive","Detractor")))</f>
        <v>Promoter</v>
      </c>
    </row>
    <row r="493" spans="1:17" ht="14.25" customHeight="1" x14ac:dyDescent="0.3">
      <c r="A493" s="1" t="s">
        <v>519</v>
      </c>
      <c r="B493" s="1" t="s">
        <v>19</v>
      </c>
      <c r="C493" s="1" t="s">
        <v>16</v>
      </c>
      <c r="D493" s="1" t="str">
        <f>IF(Data[[#This Row],[Cancellation Status]]="No", "High Potential", "Normal")</f>
        <v>Normal</v>
      </c>
      <c r="E493" s="2">
        <v>45955</v>
      </c>
      <c r="F493" s="2">
        <v>45956</v>
      </c>
      <c r="G493" s="2">
        <v>45959</v>
      </c>
      <c r="H493" s="2">
        <v>45963</v>
      </c>
      <c r="I493" s="1" t="s">
        <v>23</v>
      </c>
      <c r="J493" s="1" t="s">
        <v>24</v>
      </c>
      <c r="L493" s="88" t="str">
        <f>IF(OR(Data[[#This Row],[Service Follow-up Date]]="",Data[[#This Row],[Delivery Date]]=""),"",INT(Data[[#This Row],[Service Follow-up Date]]-Data[[#This Row],[Delivery Date]]))</f>
        <v/>
      </c>
      <c r="M493" s="1">
        <v>1</v>
      </c>
      <c r="N493" s="1">
        <v>3</v>
      </c>
      <c r="O493" s="1">
        <v>4</v>
      </c>
      <c r="Q493" t="str">
        <f>IF(ISBLANK(Data[[#This Row],[Customer Rating]]),"No Rating",IF(Data[[#This Row],[Customer Rating]]&gt;=9,"Promoter",IF(Data[[#This Row],[Customer Rating]]&gt;=7,"Passive","Detractor")))</f>
        <v>No Rating</v>
      </c>
    </row>
    <row r="494" spans="1:17" ht="14.25" customHeight="1" x14ac:dyDescent="0.3">
      <c r="A494" s="1" t="s">
        <v>520</v>
      </c>
      <c r="B494" s="1" t="s">
        <v>21</v>
      </c>
      <c r="C494" s="1" t="s">
        <v>16</v>
      </c>
      <c r="D494" s="1" t="str">
        <f>IF(Data[[#This Row],[Cancellation Status]]="No", "High Potential", "Normal")</f>
        <v>High Potential</v>
      </c>
      <c r="E494" s="2">
        <v>45944</v>
      </c>
      <c r="F494" s="2">
        <v>45947</v>
      </c>
      <c r="G494" s="2">
        <v>45951</v>
      </c>
      <c r="H494" s="2">
        <v>45957</v>
      </c>
      <c r="I494" s="1" t="s">
        <v>17</v>
      </c>
      <c r="K494" s="2">
        <v>45967</v>
      </c>
      <c r="L494" s="88">
        <f>IF(OR(Data[[#This Row],[Service Follow-up Date]]="",Data[[#This Row],[Delivery Date]]=""),"",INT(Data[[#This Row],[Service Follow-up Date]]-Data[[#This Row],[Delivery Date]]))</f>
        <v>10</v>
      </c>
      <c r="M494" s="1">
        <v>3</v>
      </c>
      <c r="N494" s="1">
        <v>4</v>
      </c>
      <c r="O494" s="1">
        <v>6</v>
      </c>
      <c r="P494" s="1">
        <v>3</v>
      </c>
      <c r="Q494" t="str">
        <f>IF(ISBLANK(Data[[#This Row],[Customer Rating]]),"No Rating",IF(Data[[#This Row],[Customer Rating]]&gt;=9,"Promoter",IF(Data[[#This Row],[Customer Rating]]&gt;=7,"Passive","Detractor")))</f>
        <v>Detractor</v>
      </c>
    </row>
    <row r="495" spans="1:17" ht="14.25" customHeight="1" x14ac:dyDescent="0.3">
      <c r="A495" s="1" t="s">
        <v>521</v>
      </c>
      <c r="B495" s="1" t="s">
        <v>21</v>
      </c>
      <c r="C495" s="1" t="s">
        <v>16</v>
      </c>
      <c r="D495" s="1" t="str">
        <f>IF(Data[[#This Row],[Cancellation Status]]="No", "High Potential", "Normal")</f>
        <v>High Potential</v>
      </c>
      <c r="E495" s="2">
        <v>45932</v>
      </c>
      <c r="F495" s="2">
        <v>45934</v>
      </c>
      <c r="G495" s="2">
        <v>45939</v>
      </c>
      <c r="H495" s="2">
        <v>45946</v>
      </c>
      <c r="I495" s="1" t="s">
        <v>17</v>
      </c>
      <c r="K495" s="2">
        <v>45963</v>
      </c>
      <c r="L495" s="88">
        <f>IF(OR(Data[[#This Row],[Service Follow-up Date]]="",Data[[#This Row],[Delivery Date]]=""),"",INT(Data[[#This Row],[Service Follow-up Date]]-Data[[#This Row],[Delivery Date]]))</f>
        <v>17</v>
      </c>
      <c r="M495" s="1">
        <v>2</v>
      </c>
      <c r="N495" s="1">
        <v>5</v>
      </c>
      <c r="O495" s="1">
        <v>7</v>
      </c>
      <c r="P495" s="1">
        <v>1</v>
      </c>
      <c r="Q495" t="str">
        <f>IF(ISBLANK(Data[[#This Row],[Customer Rating]]),"No Rating",IF(Data[[#This Row],[Customer Rating]]&gt;=9,"Promoter",IF(Data[[#This Row],[Customer Rating]]&gt;=7,"Passive","Detractor")))</f>
        <v>Detractor</v>
      </c>
    </row>
    <row r="496" spans="1:17" ht="14.25" customHeight="1" x14ac:dyDescent="0.3">
      <c r="A496" s="1" t="s">
        <v>522</v>
      </c>
      <c r="B496" s="1" t="s">
        <v>21</v>
      </c>
      <c r="C496" s="1" t="s">
        <v>22</v>
      </c>
      <c r="D496" s="1" t="str">
        <f>IF(Data[[#This Row],[Cancellation Status]]="No", "High Potential", "Normal")</f>
        <v>Normal</v>
      </c>
      <c r="E496" s="2">
        <v>45941</v>
      </c>
      <c r="I496" s="1" t="s">
        <v>23</v>
      </c>
      <c r="J496" s="1" t="s">
        <v>101</v>
      </c>
      <c r="L496" s="88" t="str">
        <f>IF(OR(Data[[#This Row],[Service Follow-up Date]]="",Data[[#This Row],[Delivery Date]]=""),"",INT(Data[[#This Row],[Service Follow-up Date]]-Data[[#This Row],[Delivery Date]]))</f>
        <v/>
      </c>
      <c r="Q496" t="str">
        <f>IF(ISBLANK(Data[[#This Row],[Customer Rating]]),"No Rating",IF(Data[[#This Row],[Customer Rating]]&gt;=9,"Promoter",IF(Data[[#This Row],[Customer Rating]]&gt;=7,"Passive","Detractor")))</f>
        <v>No Rating</v>
      </c>
    </row>
    <row r="497" spans="1:17" ht="14.25" customHeight="1" x14ac:dyDescent="0.3">
      <c r="A497" s="1" t="s">
        <v>523</v>
      </c>
      <c r="B497" s="1" t="s">
        <v>32</v>
      </c>
      <c r="C497" s="1" t="s">
        <v>22</v>
      </c>
      <c r="D497" s="1" t="str">
        <f>IF(Data[[#This Row],[Cancellation Status]]="No", "High Potential", "Normal")</f>
        <v>Normal</v>
      </c>
      <c r="E497" s="2">
        <v>45954</v>
      </c>
      <c r="I497" s="1" t="s">
        <v>23</v>
      </c>
      <c r="J497" s="1" t="s">
        <v>63</v>
      </c>
      <c r="L497" s="88" t="str">
        <f>IF(OR(Data[[#This Row],[Service Follow-up Date]]="",Data[[#This Row],[Delivery Date]]=""),"",INT(Data[[#This Row],[Service Follow-up Date]]-Data[[#This Row],[Delivery Date]]))</f>
        <v/>
      </c>
      <c r="Q497" t="str">
        <f>IF(ISBLANK(Data[[#This Row],[Customer Rating]]),"No Rating",IF(Data[[#This Row],[Customer Rating]]&gt;=9,"Promoter",IF(Data[[#This Row],[Customer Rating]]&gt;=7,"Passive","Detractor")))</f>
        <v>No Rating</v>
      </c>
    </row>
    <row r="498" spans="1:17" ht="14.25" customHeight="1" x14ac:dyDescent="0.3">
      <c r="A498" s="1" t="s">
        <v>524</v>
      </c>
      <c r="B498" s="1" t="s">
        <v>19</v>
      </c>
      <c r="C498" s="1" t="s">
        <v>22</v>
      </c>
      <c r="D498" s="1" t="str">
        <f>IF(Data[[#This Row],[Cancellation Status]]="No", "High Potential", "Normal")</f>
        <v>Normal</v>
      </c>
      <c r="E498" s="2">
        <v>45946</v>
      </c>
      <c r="I498" s="1" t="s">
        <v>23</v>
      </c>
      <c r="J498" s="1" t="s">
        <v>63</v>
      </c>
      <c r="L498" s="88" t="str">
        <f>IF(OR(Data[[#This Row],[Service Follow-up Date]]="",Data[[#This Row],[Delivery Date]]=""),"",INT(Data[[#This Row],[Service Follow-up Date]]-Data[[#This Row],[Delivery Date]]))</f>
        <v/>
      </c>
      <c r="Q498" t="str">
        <f>IF(ISBLANK(Data[[#This Row],[Customer Rating]]),"No Rating",IF(Data[[#This Row],[Customer Rating]]&gt;=9,"Promoter",IF(Data[[#This Row],[Customer Rating]]&gt;=7,"Passive","Detractor")))</f>
        <v>No Rating</v>
      </c>
    </row>
    <row r="499" spans="1:17" ht="14.25" customHeight="1" x14ac:dyDescent="0.3">
      <c r="A499" s="1" t="s">
        <v>525</v>
      </c>
      <c r="B499" s="1" t="s">
        <v>32</v>
      </c>
      <c r="C499" s="1" t="s">
        <v>22</v>
      </c>
      <c r="D499" s="1" t="str">
        <f>IF(Data[[#This Row],[Cancellation Status]]="No", "High Potential", "Normal")</f>
        <v>Normal</v>
      </c>
      <c r="E499" s="2">
        <v>45953</v>
      </c>
      <c r="I499" s="1" t="s">
        <v>23</v>
      </c>
      <c r="J499" s="1" t="s">
        <v>101</v>
      </c>
      <c r="L499" s="88" t="str">
        <f>IF(OR(Data[[#This Row],[Service Follow-up Date]]="",Data[[#This Row],[Delivery Date]]=""),"",INT(Data[[#This Row],[Service Follow-up Date]]-Data[[#This Row],[Delivery Date]]))</f>
        <v/>
      </c>
      <c r="Q499" t="str">
        <f>IF(ISBLANK(Data[[#This Row],[Customer Rating]]),"No Rating",IF(Data[[#This Row],[Customer Rating]]&gt;=9,"Promoter",IF(Data[[#This Row],[Customer Rating]]&gt;=7,"Passive","Detractor")))</f>
        <v>No Rating</v>
      </c>
    </row>
    <row r="500" spans="1:17" ht="14.25" customHeight="1" x14ac:dyDescent="0.3">
      <c r="A500" s="1" t="s">
        <v>526</v>
      </c>
      <c r="B500" s="1" t="s">
        <v>32</v>
      </c>
      <c r="C500" s="1" t="s">
        <v>30</v>
      </c>
      <c r="D500" s="1" t="str">
        <f>IF(Data[[#This Row],[Cancellation Status]]="No", "High Potential", "Normal")</f>
        <v>High Potential</v>
      </c>
      <c r="E500" s="2">
        <v>45960</v>
      </c>
      <c r="F500" s="2">
        <v>45962</v>
      </c>
      <c r="G500" s="2">
        <v>45967</v>
      </c>
      <c r="H500" s="2">
        <v>45970</v>
      </c>
      <c r="I500" s="1" t="s">
        <v>17</v>
      </c>
      <c r="K500" s="2">
        <v>45991</v>
      </c>
      <c r="L500" s="88">
        <f>IF(OR(Data[[#This Row],[Service Follow-up Date]]="",Data[[#This Row],[Delivery Date]]=""),"",INT(Data[[#This Row],[Service Follow-up Date]]-Data[[#This Row],[Delivery Date]]))</f>
        <v>21</v>
      </c>
      <c r="M500" s="1">
        <v>2</v>
      </c>
      <c r="N500" s="1">
        <v>5</v>
      </c>
      <c r="O500" s="1">
        <v>3</v>
      </c>
      <c r="P500" s="1">
        <v>8</v>
      </c>
      <c r="Q500" t="str">
        <f>IF(ISBLANK(Data[[#This Row],[Customer Rating]]),"No Rating",IF(Data[[#This Row],[Customer Rating]]&gt;=9,"Promoter",IF(Data[[#This Row],[Customer Rating]]&gt;=7,"Passive","Detractor")))</f>
        <v>Passive</v>
      </c>
    </row>
    <row r="501" spans="1:17" ht="14.25" customHeight="1" x14ac:dyDescent="0.3">
      <c r="A501" s="1" t="s">
        <v>527</v>
      </c>
      <c r="B501" s="1" t="s">
        <v>21</v>
      </c>
      <c r="C501" s="1" t="s">
        <v>30</v>
      </c>
      <c r="D501" s="1" t="str">
        <f>IF(Data[[#This Row],[Cancellation Status]]="No", "High Potential", "Normal")</f>
        <v>High Potential</v>
      </c>
      <c r="E501" s="2">
        <v>45956</v>
      </c>
      <c r="F501" s="2">
        <v>45961</v>
      </c>
      <c r="G501" s="2">
        <v>45962</v>
      </c>
      <c r="H501" s="2">
        <v>45967</v>
      </c>
      <c r="I501" s="1" t="s">
        <v>17</v>
      </c>
      <c r="K501" s="2">
        <v>45992</v>
      </c>
      <c r="L501" s="88">
        <f>IF(OR(Data[[#This Row],[Service Follow-up Date]]="",Data[[#This Row],[Delivery Date]]=""),"",INT(Data[[#This Row],[Service Follow-up Date]]-Data[[#This Row],[Delivery Date]]))</f>
        <v>25</v>
      </c>
      <c r="M501" s="1">
        <v>5</v>
      </c>
      <c r="N501" s="1">
        <v>1</v>
      </c>
      <c r="O501" s="1">
        <v>5</v>
      </c>
      <c r="P501" s="1">
        <v>7</v>
      </c>
      <c r="Q501" t="str">
        <f>IF(ISBLANK(Data[[#This Row],[Customer Rating]]),"No Rating",IF(Data[[#This Row],[Customer Rating]]&gt;=9,"Promoter",IF(Data[[#This Row],[Customer Rating]]&gt;=7,"Passive","Detractor")))</f>
        <v>Passive</v>
      </c>
    </row>
    <row r="502" spans="1:17" ht="14.25" customHeight="1" x14ac:dyDescent="0.3">
      <c r="A502" s="1" t="s">
        <v>528</v>
      </c>
      <c r="B502" s="1" t="s">
        <v>21</v>
      </c>
      <c r="C502" s="1" t="s">
        <v>16</v>
      </c>
      <c r="D502" s="1" t="str">
        <f>IF(Data[[#This Row],[Cancellation Status]]="No", "High Potential", "Normal")</f>
        <v>High Potential</v>
      </c>
      <c r="E502" s="2">
        <v>45943</v>
      </c>
      <c r="F502" s="2">
        <v>45948</v>
      </c>
      <c r="G502" s="2">
        <v>45949</v>
      </c>
      <c r="H502" s="2">
        <v>45951</v>
      </c>
      <c r="I502" s="1" t="s">
        <v>17</v>
      </c>
      <c r="K502" s="2">
        <v>45980</v>
      </c>
      <c r="L502" s="88">
        <f>IF(OR(Data[[#This Row],[Service Follow-up Date]]="",Data[[#This Row],[Delivery Date]]=""),"",INT(Data[[#This Row],[Service Follow-up Date]]-Data[[#This Row],[Delivery Date]]))</f>
        <v>29</v>
      </c>
      <c r="M502" s="1">
        <v>5</v>
      </c>
      <c r="N502" s="1">
        <v>1</v>
      </c>
      <c r="O502" s="1">
        <v>2</v>
      </c>
      <c r="P502" s="1">
        <v>9</v>
      </c>
      <c r="Q502" t="str">
        <f>IF(ISBLANK(Data[[#This Row],[Customer Rating]]),"No Rating",IF(Data[[#This Row],[Customer Rating]]&gt;=9,"Promoter",IF(Data[[#This Row],[Customer Rating]]&gt;=7,"Passive","Detractor")))</f>
        <v>Promoter</v>
      </c>
    </row>
    <row r="503" spans="1:17" ht="14.25" customHeight="1" x14ac:dyDescent="0.3">
      <c r="A503" s="1" t="s">
        <v>529</v>
      </c>
      <c r="B503" s="1" t="s">
        <v>15</v>
      </c>
      <c r="C503" s="1" t="s">
        <v>30</v>
      </c>
      <c r="D503" s="1" t="str">
        <f>IF(Data[[#This Row],[Cancellation Status]]="No", "High Potential", "Normal")</f>
        <v>High Potential</v>
      </c>
      <c r="E503" s="2">
        <v>45943</v>
      </c>
      <c r="F503" s="2">
        <v>45948</v>
      </c>
      <c r="G503" s="2">
        <v>45950</v>
      </c>
      <c r="H503" s="2">
        <v>45952</v>
      </c>
      <c r="I503" s="1" t="s">
        <v>17</v>
      </c>
      <c r="K503" s="2">
        <v>45976</v>
      </c>
      <c r="L503" s="88">
        <f>IF(OR(Data[[#This Row],[Service Follow-up Date]]="",Data[[#This Row],[Delivery Date]]=""),"",INT(Data[[#This Row],[Service Follow-up Date]]-Data[[#This Row],[Delivery Date]]))</f>
        <v>24</v>
      </c>
      <c r="M503" s="1">
        <v>5</v>
      </c>
      <c r="N503" s="1">
        <v>2</v>
      </c>
      <c r="O503" s="1">
        <v>2</v>
      </c>
      <c r="P503" s="1">
        <v>4</v>
      </c>
      <c r="Q503" t="str">
        <f>IF(ISBLANK(Data[[#This Row],[Customer Rating]]),"No Rating",IF(Data[[#This Row],[Customer Rating]]&gt;=9,"Promoter",IF(Data[[#This Row],[Customer Rating]]&gt;=7,"Passive","Detractor")))</f>
        <v>Detractor</v>
      </c>
    </row>
    <row r="504" spans="1:17" ht="14.25" customHeight="1" x14ac:dyDescent="0.3">
      <c r="A504" s="1" t="s">
        <v>530</v>
      </c>
      <c r="B504" s="1" t="s">
        <v>15</v>
      </c>
      <c r="C504" s="1" t="s">
        <v>16</v>
      </c>
      <c r="D504" s="1" t="str">
        <f>IF(Data[[#This Row],[Cancellation Status]]="No", "High Potential", "Normal")</f>
        <v>High Potential</v>
      </c>
      <c r="E504" s="2">
        <v>45952</v>
      </c>
      <c r="F504" s="2">
        <v>45956</v>
      </c>
      <c r="G504" s="2">
        <v>45961</v>
      </c>
      <c r="H504" s="2">
        <v>45967</v>
      </c>
      <c r="I504" s="1" t="s">
        <v>17</v>
      </c>
      <c r="K504" s="2">
        <v>45982</v>
      </c>
      <c r="L504" s="88">
        <f>IF(OR(Data[[#This Row],[Service Follow-up Date]]="",Data[[#This Row],[Delivery Date]]=""),"",INT(Data[[#This Row],[Service Follow-up Date]]-Data[[#This Row],[Delivery Date]]))</f>
        <v>15</v>
      </c>
      <c r="M504" s="1">
        <v>4</v>
      </c>
      <c r="N504" s="1">
        <v>5</v>
      </c>
      <c r="O504" s="1">
        <v>6</v>
      </c>
      <c r="P504" s="1">
        <v>5</v>
      </c>
      <c r="Q504" t="str">
        <f>IF(ISBLANK(Data[[#This Row],[Customer Rating]]),"No Rating",IF(Data[[#This Row],[Customer Rating]]&gt;=9,"Promoter",IF(Data[[#This Row],[Customer Rating]]&gt;=7,"Passive","Detractor")))</f>
        <v>Detractor</v>
      </c>
    </row>
    <row r="505" spans="1:17" ht="14.25" customHeight="1" x14ac:dyDescent="0.3">
      <c r="A505" s="1" t="s">
        <v>531</v>
      </c>
      <c r="B505" s="1" t="s">
        <v>32</v>
      </c>
      <c r="C505" s="1" t="s">
        <v>16</v>
      </c>
      <c r="D505" s="1" t="str">
        <f>IF(Data[[#This Row],[Cancellation Status]]="No", "High Potential", "Normal")</f>
        <v>High Potential</v>
      </c>
      <c r="E505" s="2">
        <v>45956</v>
      </c>
      <c r="F505" s="2">
        <v>45957</v>
      </c>
      <c r="G505" s="2">
        <v>45962</v>
      </c>
      <c r="H505" s="2">
        <v>45964</v>
      </c>
      <c r="I505" s="1" t="s">
        <v>17</v>
      </c>
      <c r="K505" s="2">
        <v>45989</v>
      </c>
      <c r="L505" s="88">
        <f>IF(OR(Data[[#This Row],[Service Follow-up Date]]="",Data[[#This Row],[Delivery Date]]=""),"",INT(Data[[#This Row],[Service Follow-up Date]]-Data[[#This Row],[Delivery Date]]))</f>
        <v>25</v>
      </c>
      <c r="M505" s="1">
        <v>1</v>
      </c>
      <c r="N505" s="1">
        <v>5</v>
      </c>
      <c r="O505" s="1">
        <v>2</v>
      </c>
      <c r="P505" s="1">
        <v>10</v>
      </c>
      <c r="Q505" t="str">
        <f>IF(ISBLANK(Data[[#This Row],[Customer Rating]]),"No Rating",IF(Data[[#This Row],[Customer Rating]]&gt;=9,"Promoter",IF(Data[[#This Row],[Customer Rating]]&gt;=7,"Passive","Detractor")))</f>
        <v>Promoter</v>
      </c>
    </row>
    <row r="506" spans="1:17" ht="14.25" customHeight="1" x14ac:dyDescent="0.3">
      <c r="A506" s="1" t="s">
        <v>532</v>
      </c>
      <c r="B506" s="1" t="s">
        <v>19</v>
      </c>
      <c r="C506" s="1" t="s">
        <v>16</v>
      </c>
      <c r="D506" s="1" t="str">
        <f>IF(Data[[#This Row],[Cancellation Status]]="No", "High Potential", "Normal")</f>
        <v>High Potential</v>
      </c>
      <c r="E506" s="2">
        <v>45957</v>
      </c>
      <c r="F506" s="2">
        <v>45960</v>
      </c>
      <c r="G506" s="2">
        <v>45962</v>
      </c>
      <c r="H506" s="2">
        <v>45964</v>
      </c>
      <c r="I506" s="1" t="s">
        <v>17</v>
      </c>
      <c r="K506" s="2">
        <v>45992</v>
      </c>
      <c r="L506" s="88">
        <f>IF(OR(Data[[#This Row],[Service Follow-up Date]]="",Data[[#This Row],[Delivery Date]]=""),"",INT(Data[[#This Row],[Service Follow-up Date]]-Data[[#This Row],[Delivery Date]]))</f>
        <v>28</v>
      </c>
      <c r="M506" s="1">
        <v>3</v>
      </c>
      <c r="N506" s="1">
        <v>2</v>
      </c>
      <c r="O506" s="1">
        <v>2</v>
      </c>
      <c r="P506" s="1">
        <v>1</v>
      </c>
      <c r="Q506" t="str">
        <f>IF(ISBLANK(Data[[#This Row],[Customer Rating]]),"No Rating",IF(Data[[#This Row],[Customer Rating]]&gt;=9,"Promoter",IF(Data[[#This Row],[Customer Rating]]&gt;=7,"Passive","Detractor")))</f>
        <v>Detractor</v>
      </c>
    </row>
    <row r="507" spans="1:17" ht="14.25" customHeight="1" x14ac:dyDescent="0.3">
      <c r="A507" s="1" t="s">
        <v>533</v>
      </c>
      <c r="B507" s="1" t="s">
        <v>21</v>
      </c>
      <c r="C507" s="1" t="s">
        <v>16</v>
      </c>
      <c r="D507" s="1" t="str">
        <f>IF(Data[[#This Row],[Cancellation Status]]="No", "High Potential", "Normal")</f>
        <v>High Potential</v>
      </c>
      <c r="E507" s="2">
        <v>45951</v>
      </c>
      <c r="F507" s="2">
        <v>45953</v>
      </c>
      <c r="G507" s="2">
        <v>45957</v>
      </c>
      <c r="H507" s="2">
        <v>45961</v>
      </c>
      <c r="I507" s="1" t="s">
        <v>17</v>
      </c>
      <c r="K507" s="2">
        <v>45988</v>
      </c>
      <c r="L507" s="88">
        <f>IF(OR(Data[[#This Row],[Service Follow-up Date]]="",Data[[#This Row],[Delivery Date]]=""),"",INT(Data[[#This Row],[Service Follow-up Date]]-Data[[#This Row],[Delivery Date]]))</f>
        <v>27</v>
      </c>
      <c r="M507" s="1">
        <v>2</v>
      </c>
      <c r="N507" s="1">
        <v>4</v>
      </c>
      <c r="O507" s="1">
        <v>4</v>
      </c>
      <c r="P507" s="1">
        <v>10</v>
      </c>
      <c r="Q507" t="str">
        <f>IF(ISBLANK(Data[[#This Row],[Customer Rating]]),"No Rating",IF(Data[[#This Row],[Customer Rating]]&gt;=9,"Promoter",IF(Data[[#This Row],[Customer Rating]]&gt;=7,"Passive","Detractor")))</f>
        <v>Promoter</v>
      </c>
    </row>
    <row r="508" spans="1:17" ht="14.25" customHeight="1" x14ac:dyDescent="0.3">
      <c r="A508" s="1" t="s">
        <v>534</v>
      </c>
      <c r="B508" s="1" t="s">
        <v>21</v>
      </c>
      <c r="C508" s="1" t="s">
        <v>16</v>
      </c>
      <c r="D508" s="1" t="str">
        <f>IF(Data[[#This Row],[Cancellation Status]]="No", "High Potential", "Normal")</f>
        <v>High Potential</v>
      </c>
      <c r="E508" s="2">
        <v>45935</v>
      </c>
      <c r="F508" s="2">
        <v>45938</v>
      </c>
      <c r="G508" s="2">
        <v>45940</v>
      </c>
      <c r="H508" s="2">
        <v>45943</v>
      </c>
      <c r="I508" s="1" t="s">
        <v>17</v>
      </c>
      <c r="K508" s="2">
        <v>45964</v>
      </c>
      <c r="L508" s="88">
        <f>IF(OR(Data[[#This Row],[Service Follow-up Date]]="",Data[[#This Row],[Delivery Date]]=""),"",INT(Data[[#This Row],[Service Follow-up Date]]-Data[[#This Row],[Delivery Date]]))</f>
        <v>21</v>
      </c>
      <c r="M508" s="1">
        <v>3</v>
      </c>
      <c r="N508" s="1">
        <v>2</v>
      </c>
      <c r="O508" s="1">
        <v>3</v>
      </c>
      <c r="P508" s="1">
        <v>5</v>
      </c>
      <c r="Q508" t="str">
        <f>IF(ISBLANK(Data[[#This Row],[Customer Rating]]),"No Rating",IF(Data[[#This Row],[Customer Rating]]&gt;=9,"Promoter",IF(Data[[#This Row],[Customer Rating]]&gt;=7,"Passive","Detractor")))</f>
        <v>Detractor</v>
      </c>
    </row>
    <row r="509" spans="1:17" ht="14.25" customHeight="1" x14ac:dyDescent="0.3">
      <c r="A509" s="1" t="s">
        <v>535</v>
      </c>
      <c r="B509" s="1" t="s">
        <v>32</v>
      </c>
      <c r="C509" s="1" t="s">
        <v>16</v>
      </c>
      <c r="D509" s="1" t="str">
        <f>IF(Data[[#This Row],[Cancellation Status]]="No", "High Potential", "Normal")</f>
        <v>High Potential</v>
      </c>
      <c r="E509" s="2">
        <v>45946</v>
      </c>
      <c r="F509" s="2">
        <v>45947</v>
      </c>
      <c r="G509" s="2">
        <v>45950</v>
      </c>
      <c r="H509" s="2">
        <v>45952</v>
      </c>
      <c r="I509" s="1" t="s">
        <v>17</v>
      </c>
      <c r="K509" s="2">
        <v>45973</v>
      </c>
      <c r="L509" s="88">
        <f>IF(OR(Data[[#This Row],[Service Follow-up Date]]="",Data[[#This Row],[Delivery Date]]=""),"",INT(Data[[#This Row],[Service Follow-up Date]]-Data[[#This Row],[Delivery Date]]))</f>
        <v>21</v>
      </c>
      <c r="M509" s="1">
        <v>1</v>
      </c>
      <c r="N509" s="1">
        <v>3</v>
      </c>
      <c r="O509" s="1">
        <v>2</v>
      </c>
      <c r="P509" s="1">
        <v>5</v>
      </c>
      <c r="Q509" t="str">
        <f>IF(ISBLANK(Data[[#This Row],[Customer Rating]]),"No Rating",IF(Data[[#This Row],[Customer Rating]]&gt;=9,"Promoter",IF(Data[[#This Row],[Customer Rating]]&gt;=7,"Passive","Detractor")))</f>
        <v>Detractor</v>
      </c>
    </row>
    <row r="510" spans="1:17" ht="14.25" customHeight="1" x14ac:dyDescent="0.3">
      <c r="A510" s="1" t="s">
        <v>536</v>
      </c>
      <c r="B510" s="1" t="s">
        <v>15</v>
      </c>
      <c r="C510" s="1" t="s">
        <v>22</v>
      </c>
      <c r="D510" s="1" t="str">
        <f>IF(Data[[#This Row],[Cancellation Status]]="No", "High Potential", "Normal")</f>
        <v>Normal</v>
      </c>
      <c r="E510" s="2">
        <v>45961</v>
      </c>
      <c r="I510" s="1" t="s">
        <v>23</v>
      </c>
      <c r="J510" s="1" t="s">
        <v>63</v>
      </c>
      <c r="L510" s="88" t="str">
        <f>IF(OR(Data[[#This Row],[Service Follow-up Date]]="",Data[[#This Row],[Delivery Date]]=""),"",INT(Data[[#This Row],[Service Follow-up Date]]-Data[[#This Row],[Delivery Date]]))</f>
        <v/>
      </c>
      <c r="Q510" t="str">
        <f>IF(ISBLANK(Data[[#This Row],[Customer Rating]]),"No Rating",IF(Data[[#This Row],[Customer Rating]]&gt;=9,"Promoter",IF(Data[[#This Row],[Customer Rating]]&gt;=7,"Passive","Detractor")))</f>
        <v>No Rating</v>
      </c>
    </row>
    <row r="511" spans="1:17" ht="14.25" customHeight="1" x14ac:dyDescent="0.3">
      <c r="A511" s="1" t="s">
        <v>537</v>
      </c>
      <c r="B511" s="1" t="s">
        <v>19</v>
      </c>
      <c r="C511" s="1" t="s">
        <v>16</v>
      </c>
      <c r="D511" s="1" t="str">
        <f>IF(Data[[#This Row],[Cancellation Status]]="No", "High Potential", "Normal")</f>
        <v>High Potential</v>
      </c>
      <c r="E511" s="2">
        <v>45932</v>
      </c>
      <c r="F511" s="2">
        <v>45933</v>
      </c>
      <c r="G511" s="2">
        <v>45936</v>
      </c>
      <c r="H511" s="2">
        <v>45938</v>
      </c>
      <c r="I511" s="1" t="s">
        <v>17</v>
      </c>
      <c r="K511" s="2">
        <v>45953</v>
      </c>
      <c r="L511" s="88">
        <f>IF(OR(Data[[#This Row],[Service Follow-up Date]]="",Data[[#This Row],[Delivery Date]]=""),"",INT(Data[[#This Row],[Service Follow-up Date]]-Data[[#This Row],[Delivery Date]]))</f>
        <v>15</v>
      </c>
      <c r="M511" s="1">
        <v>1</v>
      </c>
      <c r="N511" s="1">
        <v>3</v>
      </c>
      <c r="O511" s="1">
        <v>2</v>
      </c>
      <c r="P511" s="1">
        <v>7</v>
      </c>
      <c r="Q511" t="str">
        <f>IF(ISBLANK(Data[[#This Row],[Customer Rating]]),"No Rating",IF(Data[[#This Row],[Customer Rating]]&gt;=9,"Promoter",IF(Data[[#This Row],[Customer Rating]]&gt;=7,"Passive","Detractor")))</f>
        <v>Passive</v>
      </c>
    </row>
    <row r="512" spans="1:17" ht="14.25" customHeight="1" x14ac:dyDescent="0.3">
      <c r="A512" s="1" t="s">
        <v>538</v>
      </c>
      <c r="B512" s="1" t="s">
        <v>15</v>
      </c>
      <c r="C512" s="1" t="s">
        <v>22</v>
      </c>
      <c r="D512" s="1" t="str">
        <f>IF(Data[[#This Row],[Cancellation Status]]="No", "High Potential", "Normal")</f>
        <v>Normal</v>
      </c>
      <c r="E512" s="2">
        <v>45935</v>
      </c>
      <c r="I512" s="1" t="s">
        <v>23</v>
      </c>
      <c r="J512" s="1" t="s">
        <v>33</v>
      </c>
      <c r="L512" s="88" t="str">
        <f>IF(OR(Data[[#This Row],[Service Follow-up Date]]="",Data[[#This Row],[Delivery Date]]=""),"",INT(Data[[#This Row],[Service Follow-up Date]]-Data[[#This Row],[Delivery Date]]))</f>
        <v/>
      </c>
      <c r="Q512" t="str">
        <f>IF(ISBLANK(Data[[#This Row],[Customer Rating]]),"No Rating",IF(Data[[#This Row],[Customer Rating]]&gt;=9,"Promoter",IF(Data[[#This Row],[Customer Rating]]&gt;=7,"Passive","Detractor")))</f>
        <v>No Rating</v>
      </c>
    </row>
    <row r="513" spans="1:17" ht="14.25" customHeight="1" x14ac:dyDescent="0.3">
      <c r="A513" s="1" t="s">
        <v>539</v>
      </c>
      <c r="B513" s="1" t="s">
        <v>15</v>
      </c>
      <c r="C513" s="1" t="s">
        <v>30</v>
      </c>
      <c r="D513" s="1" t="str">
        <f>IF(Data[[#This Row],[Cancellation Status]]="No", "High Potential", "Normal")</f>
        <v>High Potential</v>
      </c>
      <c r="E513" s="2">
        <v>45947</v>
      </c>
      <c r="F513" s="2">
        <v>45949</v>
      </c>
      <c r="G513" s="2">
        <v>45950</v>
      </c>
      <c r="H513" s="2">
        <v>45955</v>
      </c>
      <c r="I513" s="1" t="s">
        <v>17</v>
      </c>
      <c r="K513" s="2">
        <v>45973</v>
      </c>
      <c r="L513" s="88">
        <f>IF(OR(Data[[#This Row],[Service Follow-up Date]]="",Data[[#This Row],[Delivery Date]]=""),"",INT(Data[[#This Row],[Service Follow-up Date]]-Data[[#This Row],[Delivery Date]]))</f>
        <v>18</v>
      </c>
      <c r="M513" s="1">
        <v>2</v>
      </c>
      <c r="N513" s="1">
        <v>1</v>
      </c>
      <c r="O513" s="1">
        <v>5</v>
      </c>
      <c r="P513" s="1">
        <v>7</v>
      </c>
      <c r="Q513" t="str">
        <f>IF(ISBLANK(Data[[#This Row],[Customer Rating]]),"No Rating",IF(Data[[#This Row],[Customer Rating]]&gt;=9,"Promoter",IF(Data[[#This Row],[Customer Rating]]&gt;=7,"Passive","Detractor")))</f>
        <v>Passive</v>
      </c>
    </row>
    <row r="514" spans="1:17" ht="14.25" customHeight="1" x14ac:dyDescent="0.3">
      <c r="A514" s="1" t="s">
        <v>540</v>
      </c>
      <c r="B514" s="1" t="s">
        <v>15</v>
      </c>
      <c r="C514" s="1" t="s">
        <v>22</v>
      </c>
      <c r="D514" s="1" t="str">
        <f>IF(Data[[#This Row],[Cancellation Status]]="No", "High Potential", "Normal")</f>
        <v>Normal</v>
      </c>
      <c r="E514" s="2">
        <v>45961</v>
      </c>
      <c r="I514" s="1" t="s">
        <v>23</v>
      </c>
      <c r="J514" s="1" t="s">
        <v>24</v>
      </c>
      <c r="L514" s="88" t="str">
        <f>IF(OR(Data[[#This Row],[Service Follow-up Date]]="",Data[[#This Row],[Delivery Date]]=""),"",INT(Data[[#This Row],[Service Follow-up Date]]-Data[[#This Row],[Delivery Date]]))</f>
        <v/>
      </c>
      <c r="Q514" t="str">
        <f>IF(ISBLANK(Data[[#This Row],[Customer Rating]]),"No Rating",IF(Data[[#This Row],[Customer Rating]]&gt;=9,"Promoter",IF(Data[[#This Row],[Customer Rating]]&gt;=7,"Passive","Detractor")))</f>
        <v>No Rating</v>
      </c>
    </row>
    <row r="515" spans="1:17" ht="14.25" customHeight="1" x14ac:dyDescent="0.3">
      <c r="A515" s="1" t="s">
        <v>541</v>
      </c>
      <c r="B515" s="1" t="s">
        <v>15</v>
      </c>
      <c r="C515" s="1" t="s">
        <v>16</v>
      </c>
      <c r="D515" s="1" t="str">
        <f>IF(Data[[#This Row],[Cancellation Status]]="No", "High Potential", "Normal")</f>
        <v>High Potential</v>
      </c>
      <c r="E515" s="2">
        <v>45949</v>
      </c>
      <c r="F515" s="2">
        <v>45953</v>
      </c>
      <c r="G515" s="2">
        <v>45955</v>
      </c>
      <c r="H515" s="2">
        <v>45961</v>
      </c>
      <c r="I515" s="1" t="s">
        <v>17</v>
      </c>
      <c r="K515" s="2">
        <v>45973</v>
      </c>
      <c r="L515" s="88">
        <f>IF(OR(Data[[#This Row],[Service Follow-up Date]]="",Data[[#This Row],[Delivery Date]]=""),"",INT(Data[[#This Row],[Service Follow-up Date]]-Data[[#This Row],[Delivery Date]]))</f>
        <v>12</v>
      </c>
      <c r="M515" s="1">
        <v>4</v>
      </c>
      <c r="N515" s="1">
        <v>2</v>
      </c>
      <c r="O515" s="1">
        <v>6</v>
      </c>
      <c r="P515" s="1">
        <v>3</v>
      </c>
      <c r="Q515" t="str">
        <f>IF(ISBLANK(Data[[#This Row],[Customer Rating]]),"No Rating",IF(Data[[#This Row],[Customer Rating]]&gt;=9,"Promoter",IF(Data[[#This Row],[Customer Rating]]&gt;=7,"Passive","Detractor")))</f>
        <v>Detractor</v>
      </c>
    </row>
    <row r="516" spans="1:17" ht="14.25" customHeight="1" x14ac:dyDescent="0.3">
      <c r="A516" s="1" t="s">
        <v>542</v>
      </c>
      <c r="B516" s="1" t="s">
        <v>21</v>
      </c>
      <c r="C516" s="1" t="s">
        <v>16</v>
      </c>
      <c r="D516" s="1" t="str">
        <f>IF(Data[[#This Row],[Cancellation Status]]="No", "High Potential", "Normal")</f>
        <v>High Potential</v>
      </c>
      <c r="E516" s="2">
        <v>45941</v>
      </c>
      <c r="F516" s="2">
        <v>45946</v>
      </c>
      <c r="G516" s="2">
        <v>45948</v>
      </c>
      <c r="H516" s="2">
        <v>45952</v>
      </c>
      <c r="I516" s="1" t="s">
        <v>17</v>
      </c>
      <c r="K516" s="2">
        <v>45971</v>
      </c>
      <c r="L516" s="88">
        <f>IF(OR(Data[[#This Row],[Service Follow-up Date]]="",Data[[#This Row],[Delivery Date]]=""),"",INT(Data[[#This Row],[Service Follow-up Date]]-Data[[#This Row],[Delivery Date]]))</f>
        <v>19</v>
      </c>
      <c r="M516" s="1">
        <v>5</v>
      </c>
      <c r="N516" s="1">
        <v>2</v>
      </c>
      <c r="O516" s="1">
        <v>4</v>
      </c>
      <c r="P516" s="1">
        <v>5</v>
      </c>
      <c r="Q516" t="str">
        <f>IF(ISBLANK(Data[[#This Row],[Customer Rating]]),"No Rating",IF(Data[[#This Row],[Customer Rating]]&gt;=9,"Promoter",IF(Data[[#This Row],[Customer Rating]]&gt;=7,"Passive","Detractor")))</f>
        <v>Detractor</v>
      </c>
    </row>
    <row r="517" spans="1:17" ht="14.25" customHeight="1" x14ac:dyDescent="0.3">
      <c r="A517" s="1" t="s">
        <v>543</v>
      </c>
      <c r="B517" s="1" t="s">
        <v>21</v>
      </c>
      <c r="C517" s="1" t="s">
        <v>30</v>
      </c>
      <c r="D517" s="1" t="str">
        <f>IF(Data[[#This Row],[Cancellation Status]]="No", "High Potential", "Normal")</f>
        <v>Normal</v>
      </c>
      <c r="E517" s="2">
        <v>45958</v>
      </c>
      <c r="F517" s="2">
        <v>45962</v>
      </c>
      <c r="G517" s="2">
        <v>45963</v>
      </c>
      <c r="H517" s="2">
        <v>45970</v>
      </c>
      <c r="I517" s="1" t="s">
        <v>23</v>
      </c>
      <c r="J517" s="1" t="s">
        <v>24</v>
      </c>
      <c r="L517" s="88" t="str">
        <f>IF(OR(Data[[#This Row],[Service Follow-up Date]]="",Data[[#This Row],[Delivery Date]]=""),"",INT(Data[[#This Row],[Service Follow-up Date]]-Data[[#This Row],[Delivery Date]]))</f>
        <v/>
      </c>
      <c r="M517" s="1">
        <v>4</v>
      </c>
      <c r="N517" s="1">
        <v>1</v>
      </c>
      <c r="O517" s="1">
        <v>7</v>
      </c>
      <c r="Q517" t="str">
        <f>IF(ISBLANK(Data[[#This Row],[Customer Rating]]),"No Rating",IF(Data[[#This Row],[Customer Rating]]&gt;=9,"Promoter",IF(Data[[#This Row],[Customer Rating]]&gt;=7,"Passive","Detractor")))</f>
        <v>No Rating</v>
      </c>
    </row>
    <row r="518" spans="1:17" ht="14.25" customHeight="1" x14ac:dyDescent="0.3">
      <c r="A518" s="1" t="s">
        <v>544</v>
      </c>
      <c r="B518" s="1" t="s">
        <v>15</v>
      </c>
      <c r="C518" s="1" t="s">
        <v>16</v>
      </c>
      <c r="D518" s="1" t="str">
        <f>IF(Data[[#This Row],[Cancellation Status]]="No", "High Potential", "Normal")</f>
        <v>High Potential</v>
      </c>
      <c r="E518" s="2">
        <v>45934</v>
      </c>
      <c r="F518" s="2">
        <v>45935</v>
      </c>
      <c r="G518" s="2">
        <v>45939</v>
      </c>
      <c r="H518" s="2">
        <v>45946</v>
      </c>
      <c r="I518" s="1" t="s">
        <v>17</v>
      </c>
      <c r="K518" s="2">
        <v>45956</v>
      </c>
      <c r="L518" s="88">
        <f>IF(OR(Data[[#This Row],[Service Follow-up Date]]="",Data[[#This Row],[Delivery Date]]=""),"",INT(Data[[#This Row],[Service Follow-up Date]]-Data[[#This Row],[Delivery Date]]))</f>
        <v>10</v>
      </c>
      <c r="M518" s="1">
        <v>1</v>
      </c>
      <c r="N518" s="1">
        <v>4</v>
      </c>
      <c r="O518" s="1">
        <v>7</v>
      </c>
      <c r="P518" s="1">
        <v>2</v>
      </c>
      <c r="Q518" t="str">
        <f>IF(ISBLANK(Data[[#This Row],[Customer Rating]]),"No Rating",IF(Data[[#This Row],[Customer Rating]]&gt;=9,"Promoter",IF(Data[[#This Row],[Customer Rating]]&gt;=7,"Passive","Detractor")))</f>
        <v>Detractor</v>
      </c>
    </row>
    <row r="519" spans="1:17" ht="14.25" customHeight="1" x14ac:dyDescent="0.3">
      <c r="A519" s="1" t="s">
        <v>545</v>
      </c>
      <c r="B519" s="1" t="s">
        <v>19</v>
      </c>
      <c r="C519" s="1" t="s">
        <v>30</v>
      </c>
      <c r="D519" s="1" t="str">
        <f>IF(Data[[#This Row],[Cancellation Status]]="No", "High Potential", "Normal")</f>
        <v>High Potential</v>
      </c>
      <c r="E519" s="2">
        <v>45958</v>
      </c>
      <c r="F519" s="2">
        <v>45959</v>
      </c>
      <c r="G519" s="2">
        <v>45961</v>
      </c>
      <c r="H519" s="2">
        <v>45967</v>
      </c>
      <c r="I519" s="1" t="s">
        <v>17</v>
      </c>
      <c r="K519" s="2">
        <v>45989</v>
      </c>
      <c r="L519" s="88">
        <f>IF(OR(Data[[#This Row],[Service Follow-up Date]]="",Data[[#This Row],[Delivery Date]]=""),"",INT(Data[[#This Row],[Service Follow-up Date]]-Data[[#This Row],[Delivery Date]]))</f>
        <v>22</v>
      </c>
      <c r="M519" s="1">
        <v>1</v>
      </c>
      <c r="N519" s="1">
        <v>2</v>
      </c>
      <c r="O519" s="1">
        <v>6</v>
      </c>
      <c r="P519" s="1">
        <v>1</v>
      </c>
      <c r="Q519" t="str">
        <f>IF(ISBLANK(Data[[#This Row],[Customer Rating]]),"No Rating",IF(Data[[#This Row],[Customer Rating]]&gt;=9,"Promoter",IF(Data[[#This Row],[Customer Rating]]&gt;=7,"Passive","Detractor")))</f>
        <v>Detractor</v>
      </c>
    </row>
    <row r="520" spans="1:17" ht="14.25" customHeight="1" x14ac:dyDescent="0.3">
      <c r="A520" s="1" t="s">
        <v>546</v>
      </c>
      <c r="B520" s="1" t="s">
        <v>32</v>
      </c>
      <c r="C520" s="1" t="s">
        <v>30</v>
      </c>
      <c r="D520" s="1" t="str">
        <f>IF(Data[[#This Row],[Cancellation Status]]="No", "High Potential", "Normal")</f>
        <v>High Potential</v>
      </c>
      <c r="E520" s="2">
        <v>45958</v>
      </c>
      <c r="F520" s="2">
        <v>45962</v>
      </c>
      <c r="G520" s="2">
        <v>45967</v>
      </c>
      <c r="H520" s="2">
        <v>45972</v>
      </c>
      <c r="I520" s="1" t="s">
        <v>17</v>
      </c>
      <c r="K520" s="2">
        <v>45983</v>
      </c>
      <c r="L520" s="88">
        <f>IF(OR(Data[[#This Row],[Service Follow-up Date]]="",Data[[#This Row],[Delivery Date]]=""),"",INT(Data[[#This Row],[Service Follow-up Date]]-Data[[#This Row],[Delivery Date]]))</f>
        <v>11</v>
      </c>
      <c r="M520" s="1">
        <v>4</v>
      </c>
      <c r="N520" s="1">
        <v>5</v>
      </c>
      <c r="O520" s="1">
        <v>5</v>
      </c>
      <c r="P520" s="1">
        <v>10</v>
      </c>
      <c r="Q520" t="str">
        <f>IF(ISBLANK(Data[[#This Row],[Customer Rating]]),"No Rating",IF(Data[[#This Row],[Customer Rating]]&gt;=9,"Promoter",IF(Data[[#This Row],[Customer Rating]]&gt;=7,"Passive","Detractor")))</f>
        <v>Promoter</v>
      </c>
    </row>
    <row r="521" spans="1:17" ht="14.25" customHeight="1" x14ac:dyDescent="0.3">
      <c r="A521" s="1" t="s">
        <v>547</v>
      </c>
      <c r="B521" s="1" t="s">
        <v>19</v>
      </c>
      <c r="C521" s="1" t="s">
        <v>16</v>
      </c>
      <c r="D521" s="1" t="str">
        <f>IF(Data[[#This Row],[Cancellation Status]]="No", "High Potential", "Normal")</f>
        <v>High Potential</v>
      </c>
      <c r="E521" s="2">
        <v>45945</v>
      </c>
      <c r="F521" s="2">
        <v>45950</v>
      </c>
      <c r="G521" s="2">
        <v>45952</v>
      </c>
      <c r="H521" s="2">
        <v>45957</v>
      </c>
      <c r="I521" s="1" t="s">
        <v>17</v>
      </c>
      <c r="K521" s="2">
        <v>45972</v>
      </c>
      <c r="L521" s="88">
        <f>IF(OR(Data[[#This Row],[Service Follow-up Date]]="",Data[[#This Row],[Delivery Date]]=""),"",INT(Data[[#This Row],[Service Follow-up Date]]-Data[[#This Row],[Delivery Date]]))</f>
        <v>15</v>
      </c>
      <c r="M521" s="1">
        <v>5</v>
      </c>
      <c r="N521" s="1">
        <v>2</v>
      </c>
      <c r="O521" s="1">
        <v>5</v>
      </c>
      <c r="P521" s="1">
        <v>6</v>
      </c>
      <c r="Q521" t="str">
        <f>IF(ISBLANK(Data[[#This Row],[Customer Rating]]),"No Rating",IF(Data[[#This Row],[Customer Rating]]&gt;=9,"Promoter",IF(Data[[#This Row],[Customer Rating]]&gt;=7,"Passive","Detractor")))</f>
        <v>Detractor</v>
      </c>
    </row>
    <row r="522" spans="1:17" ht="14.25" customHeight="1" x14ac:dyDescent="0.3">
      <c r="A522" s="1" t="s">
        <v>548</v>
      </c>
      <c r="B522" s="1" t="s">
        <v>19</v>
      </c>
      <c r="C522" s="1" t="s">
        <v>16</v>
      </c>
      <c r="D522" s="1" t="str">
        <f>IF(Data[[#This Row],[Cancellation Status]]="No", "High Potential", "Normal")</f>
        <v>High Potential</v>
      </c>
      <c r="E522" s="2">
        <v>45934</v>
      </c>
      <c r="F522" s="2">
        <v>45939</v>
      </c>
      <c r="G522" s="2">
        <v>45943</v>
      </c>
      <c r="H522" s="2">
        <v>45950</v>
      </c>
      <c r="I522" s="1" t="s">
        <v>17</v>
      </c>
      <c r="K522" s="2">
        <v>45978</v>
      </c>
      <c r="L522" s="88">
        <f>IF(OR(Data[[#This Row],[Service Follow-up Date]]="",Data[[#This Row],[Delivery Date]]=""),"",INT(Data[[#This Row],[Service Follow-up Date]]-Data[[#This Row],[Delivery Date]]))</f>
        <v>28</v>
      </c>
      <c r="M522" s="1">
        <v>5</v>
      </c>
      <c r="N522" s="1">
        <v>4</v>
      </c>
      <c r="O522" s="1">
        <v>7</v>
      </c>
      <c r="P522" s="1">
        <v>7</v>
      </c>
      <c r="Q522" t="str">
        <f>IF(ISBLANK(Data[[#This Row],[Customer Rating]]),"No Rating",IF(Data[[#This Row],[Customer Rating]]&gt;=9,"Promoter",IF(Data[[#This Row],[Customer Rating]]&gt;=7,"Passive","Detractor")))</f>
        <v>Passive</v>
      </c>
    </row>
    <row r="523" spans="1:17" ht="14.25" customHeight="1" x14ac:dyDescent="0.3">
      <c r="A523" s="1" t="s">
        <v>549</v>
      </c>
      <c r="B523" s="1" t="s">
        <v>19</v>
      </c>
      <c r="C523" s="1" t="s">
        <v>16</v>
      </c>
      <c r="D523" s="1" t="str">
        <f>IF(Data[[#This Row],[Cancellation Status]]="No", "High Potential", "Normal")</f>
        <v>High Potential</v>
      </c>
      <c r="E523" s="2">
        <v>45947</v>
      </c>
      <c r="F523" s="2">
        <v>45948</v>
      </c>
      <c r="G523" s="2">
        <v>45950</v>
      </c>
      <c r="H523" s="2">
        <v>45955</v>
      </c>
      <c r="I523" s="1" t="s">
        <v>17</v>
      </c>
      <c r="K523" s="2">
        <v>45971</v>
      </c>
      <c r="L523" s="88">
        <f>IF(OR(Data[[#This Row],[Service Follow-up Date]]="",Data[[#This Row],[Delivery Date]]=""),"",INT(Data[[#This Row],[Service Follow-up Date]]-Data[[#This Row],[Delivery Date]]))</f>
        <v>16</v>
      </c>
      <c r="M523" s="1">
        <v>1</v>
      </c>
      <c r="N523" s="1">
        <v>2</v>
      </c>
      <c r="O523" s="1">
        <v>5</v>
      </c>
      <c r="P523" s="1">
        <v>4</v>
      </c>
      <c r="Q523" t="str">
        <f>IF(ISBLANK(Data[[#This Row],[Customer Rating]]),"No Rating",IF(Data[[#This Row],[Customer Rating]]&gt;=9,"Promoter",IF(Data[[#This Row],[Customer Rating]]&gt;=7,"Passive","Detractor")))</f>
        <v>Detractor</v>
      </c>
    </row>
    <row r="524" spans="1:17" ht="14.25" customHeight="1" x14ac:dyDescent="0.3">
      <c r="A524" s="1" t="s">
        <v>550</v>
      </c>
      <c r="B524" s="1" t="s">
        <v>15</v>
      </c>
      <c r="C524" s="1" t="s">
        <v>22</v>
      </c>
      <c r="D524" s="1" t="str">
        <f>IF(Data[[#This Row],[Cancellation Status]]="No", "High Potential", "Normal")</f>
        <v>Normal</v>
      </c>
      <c r="E524" s="2">
        <v>45960</v>
      </c>
      <c r="I524" s="1" t="s">
        <v>23</v>
      </c>
      <c r="J524" s="1" t="s">
        <v>101</v>
      </c>
      <c r="L524" s="88" t="str">
        <f>IF(OR(Data[[#This Row],[Service Follow-up Date]]="",Data[[#This Row],[Delivery Date]]=""),"",INT(Data[[#This Row],[Service Follow-up Date]]-Data[[#This Row],[Delivery Date]]))</f>
        <v/>
      </c>
      <c r="Q524" t="str">
        <f>IF(ISBLANK(Data[[#This Row],[Customer Rating]]),"No Rating",IF(Data[[#This Row],[Customer Rating]]&gt;=9,"Promoter",IF(Data[[#This Row],[Customer Rating]]&gt;=7,"Passive","Detractor")))</f>
        <v>No Rating</v>
      </c>
    </row>
    <row r="525" spans="1:17" ht="14.25" customHeight="1" x14ac:dyDescent="0.3">
      <c r="A525" s="1" t="s">
        <v>551</v>
      </c>
      <c r="B525" s="1" t="s">
        <v>21</v>
      </c>
      <c r="C525" s="1" t="s">
        <v>16</v>
      </c>
      <c r="D525" s="1" t="str">
        <f>IF(Data[[#This Row],[Cancellation Status]]="No", "High Potential", "Normal")</f>
        <v>High Potential</v>
      </c>
      <c r="E525" s="2">
        <v>45945</v>
      </c>
      <c r="F525" s="2">
        <v>45950</v>
      </c>
      <c r="G525" s="2">
        <v>45955</v>
      </c>
      <c r="H525" s="2">
        <v>45957</v>
      </c>
      <c r="I525" s="1" t="s">
        <v>17</v>
      </c>
      <c r="K525" s="2">
        <v>45974</v>
      </c>
      <c r="L525" s="88">
        <f>IF(OR(Data[[#This Row],[Service Follow-up Date]]="",Data[[#This Row],[Delivery Date]]=""),"",INT(Data[[#This Row],[Service Follow-up Date]]-Data[[#This Row],[Delivery Date]]))</f>
        <v>17</v>
      </c>
      <c r="M525" s="1">
        <v>5</v>
      </c>
      <c r="N525" s="1">
        <v>5</v>
      </c>
      <c r="O525" s="1">
        <v>2</v>
      </c>
      <c r="P525" s="1">
        <v>4</v>
      </c>
      <c r="Q525" t="str">
        <f>IF(ISBLANK(Data[[#This Row],[Customer Rating]]),"No Rating",IF(Data[[#This Row],[Customer Rating]]&gt;=9,"Promoter",IF(Data[[#This Row],[Customer Rating]]&gt;=7,"Passive","Detractor")))</f>
        <v>Detractor</v>
      </c>
    </row>
    <row r="526" spans="1:17" ht="14.25" customHeight="1" x14ac:dyDescent="0.3">
      <c r="A526" s="1" t="s">
        <v>552</v>
      </c>
      <c r="B526" s="1" t="s">
        <v>19</v>
      </c>
      <c r="C526" s="1" t="s">
        <v>16</v>
      </c>
      <c r="D526" s="1" t="str">
        <f>IF(Data[[#This Row],[Cancellation Status]]="No", "High Potential", "Normal")</f>
        <v>High Potential</v>
      </c>
      <c r="E526" s="2">
        <v>45931</v>
      </c>
      <c r="F526" s="2">
        <v>45936</v>
      </c>
      <c r="G526" s="2">
        <v>45939</v>
      </c>
      <c r="H526" s="2">
        <v>45946</v>
      </c>
      <c r="I526" s="1" t="s">
        <v>17</v>
      </c>
      <c r="K526" s="2">
        <v>45976</v>
      </c>
      <c r="L526" s="88">
        <f>IF(OR(Data[[#This Row],[Service Follow-up Date]]="",Data[[#This Row],[Delivery Date]]=""),"",INT(Data[[#This Row],[Service Follow-up Date]]-Data[[#This Row],[Delivery Date]]))</f>
        <v>30</v>
      </c>
      <c r="M526" s="1">
        <v>5</v>
      </c>
      <c r="N526" s="1">
        <v>3</v>
      </c>
      <c r="O526" s="1">
        <v>7</v>
      </c>
      <c r="P526" s="1">
        <v>8</v>
      </c>
      <c r="Q526" t="str">
        <f>IF(ISBLANK(Data[[#This Row],[Customer Rating]]),"No Rating",IF(Data[[#This Row],[Customer Rating]]&gt;=9,"Promoter",IF(Data[[#This Row],[Customer Rating]]&gt;=7,"Passive","Detractor")))</f>
        <v>Passive</v>
      </c>
    </row>
    <row r="527" spans="1:17" ht="14.25" customHeight="1" x14ac:dyDescent="0.3">
      <c r="A527" s="1" t="s">
        <v>553</v>
      </c>
      <c r="B527" s="1" t="s">
        <v>15</v>
      </c>
      <c r="C527" s="1" t="s">
        <v>30</v>
      </c>
      <c r="D527" s="1" t="str">
        <f>IF(Data[[#This Row],[Cancellation Status]]="No", "High Potential", "Normal")</f>
        <v>High Potential</v>
      </c>
      <c r="E527" s="2">
        <v>45954</v>
      </c>
      <c r="F527" s="2">
        <v>45956</v>
      </c>
      <c r="G527" s="2">
        <v>45959</v>
      </c>
      <c r="H527" s="2">
        <v>45965</v>
      </c>
      <c r="I527" s="1" t="s">
        <v>17</v>
      </c>
      <c r="K527" s="2">
        <v>45982</v>
      </c>
      <c r="L527" s="88">
        <f>IF(OR(Data[[#This Row],[Service Follow-up Date]]="",Data[[#This Row],[Delivery Date]]=""),"",INT(Data[[#This Row],[Service Follow-up Date]]-Data[[#This Row],[Delivery Date]]))</f>
        <v>17</v>
      </c>
      <c r="M527" s="1">
        <v>2</v>
      </c>
      <c r="N527" s="1">
        <v>3</v>
      </c>
      <c r="O527" s="1">
        <v>6</v>
      </c>
      <c r="P527" s="1">
        <v>8</v>
      </c>
      <c r="Q527" t="str">
        <f>IF(ISBLANK(Data[[#This Row],[Customer Rating]]),"No Rating",IF(Data[[#This Row],[Customer Rating]]&gt;=9,"Promoter",IF(Data[[#This Row],[Customer Rating]]&gt;=7,"Passive","Detractor")))</f>
        <v>Passive</v>
      </c>
    </row>
    <row r="528" spans="1:17" ht="14.25" customHeight="1" x14ac:dyDescent="0.3">
      <c r="A528" s="1" t="s">
        <v>554</v>
      </c>
      <c r="B528" s="1" t="s">
        <v>19</v>
      </c>
      <c r="C528" s="1" t="s">
        <v>16</v>
      </c>
      <c r="D528" s="1" t="str">
        <f>IF(Data[[#This Row],[Cancellation Status]]="No", "High Potential", "Normal")</f>
        <v>High Potential</v>
      </c>
      <c r="E528" s="2">
        <v>45935</v>
      </c>
      <c r="F528" s="2">
        <v>45937</v>
      </c>
      <c r="G528" s="2">
        <v>45941</v>
      </c>
      <c r="H528" s="2">
        <v>45947</v>
      </c>
      <c r="I528" s="1" t="s">
        <v>17</v>
      </c>
      <c r="K528" s="2">
        <v>45963</v>
      </c>
      <c r="L528" s="88">
        <f>IF(OR(Data[[#This Row],[Service Follow-up Date]]="",Data[[#This Row],[Delivery Date]]=""),"",INT(Data[[#This Row],[Service Follow-up Date]]-Data[[#This Row],[Delivery Date]]))</f>
        <v>16</v>
      </c>
      <c r="M528" s="1">
        <v>2</v>
      </c>
      <c r="N528" s="1">
        <v>4</v>
      </c>
      <c r="O528" s="1">
        <v>6</v>
      </c>
      <c r="P528" s="1">
        <v>6</v>
      </c>
      <c r="Q528" t="str">
        <f>IF(ISBLANK(Data[[#This Row],[Customer Rating]]),"No Rating",IF(Data[[#This Row],[Customer Rating]]&gt;=9,"Promoter",IF(Data[[#This Row],[Customer Rating]]&gt;=7,"Passive","Detractor")))</f>
        <v>Detractor</v>
      </c>
    </row>
    <row r="529" spans="1:17" ht="14.25" customHeight="1" x14ac:dyDescent="0.3">
      <c r="A529" s="1" t="s">
        <v>555</v>
      </c>
      <c r="B529" s="1" t="s">
        <v>19</v>
      </c>
      <c r="C529" s="1" t="s">
        <v>16</v>
      </c>
      <c r="D529" s="1" t="str">
        <f>IF(Data[[#This Row],[Cancellation Status]]="No", "High Potential", "Normal")</f>
        <v>High Potential</v>
      </c>
      <c r="E529" s="2">
        <v>45944</v>
      </c>
      <c r="F529" s="2">
        <v>45947</v>
      </c>
      <c r="G529" s="2">
        <v>45951</v>
      </c>
      <c r="H529" s="2">
        <v>45957</v>
      </c>
      <c r="I529" s="1" t="s">
        <v>17</v>
      </c>
      <c r="K529" s="2">
        <v>45975</v>
      </c>
      <c r="L529" s="88">
        <f>IF(OR(Data[[#This Row],[Service Follow-up Date]]="",Data[[#This Row],[Delivery Date]]=""),"",INT(Data[[#This Row],[Service Follow-up Date]]-Data[[#This Row],[Delivery Date]]))</f>
        <v>18</v>
      </c>
      <c r="M529" s="1">
        <v>3</v>
      </c>
      <c r="N529" s="1">
        <v>4</v>
      </c>
      <c r="O529" s="1">
        <v>6</v>
      </c>
      <c r="P529" s="1">
        <v>4</v>
      </c>
      <c r="Q529" t="str">
        <f>IF(ISBLANK(Data[[#This Row],[Customer Rating]]),"No Rating",IF(Data[[#This Row],[Customer Rating]]&gt;=9,"Promoter",IF(Data[[#This Row],[Customer Rating]]&gt;=7,"Passive","Detractor")))</f>
        <v>Detractor</v>
      </c>
    </row>
    <row r="530" spans="1:17" ht="14.25" customHeight="1" x14ac:dyDescent="0.3">
      <c r="A530" s="1" t="s">
        <v>556</v>
      </c>
      <c r="B530" s="1" t="s">
        <v>15</v>
      </c>
      <c r="C530" s="1" t="s">
        <v>22</v>
      </c>
      <c r="D530" s="1" t="str">
        <f>IF(Data[[#This Row],[Cancellation Status]]="No", "High Potential", "Normal")</f>
        <v>Normal</v>
      </c>
      <c r="E530" s="2">
        <v>45958</v>
      </c>
      <c r="I530" s="1" t="s">
        <v>23</v>
      </c>
      <c r="J530" s="1" t="s">
        <v>63</v>
      </c>
      <c r="L530" s="88" t="str">
        <f>IF(OR(Data[[#This Row],[Service Follow-up Date]]="",Data[[#This Row],[Delivery Date]]=""),"",INT(Data[[#This Row],[Service Follow-up Date]]-Data[[#This Row],[Delivery Date]]))</f>
        <v/>
      </c>
      <c r="Q530" t="str">
        <f>IF(ISBLANK(Data[[#This Row],[Customer Rating]]),"No Rating",IF(Data[[#This Row],[Customer Rating]]&gt;=9,"Promoter",IF(Data[[#This Row],[Customer Rating]]&gt;=7,"Passive","Detractor")))</f>
        <v>No Rating</v>
      </c>
    </row>
    <row r="531" spans="1:17" ht="14.25" customHeight="1" x14ac:dyDescent="0.3">
      <c r="A531" s="1" t="s">
        <v>557</v>
      </c>
      <c r="B531" s="1" t="s">
        <v>21</v>
      </c>
      <c r="C531" s="1" t="s">
        <v>22</v>
      </c>
      <c r="D531" s="1" t="str">
        <f>IF(Data[[#This Row],[Cancellation Status]]="No", "High Potential", "Normal")</f>
        <v>Normal</v>
      </c>
      <c r="E531" s="2">
        <v>45951</v>
      </c>
      <c r="I531" s="1" t="s">
        <v>23</v>
      </c>
      <c r="J531" s="1" t="s">
        <v>26</v>
      </c>
      <c r="L531" s="88" t="str">
        <f>IF(OR(Data[[#This Row],[Service Follow-up Date]]="",Data[[#This Row],[Delivery Date]]=""),"",INT(Data[[#This Row],[Service Follow-up Date]]-Data[[#This Row],[Delivery Date]]))</f>
        <v/>
      </c>
      <c r="Q531" t="str">
        <f>IF(ISBLANK(Data[[#This Row],[Customer Rating]]),"No Rating",IF(Data[[#This Row],[Customer Rating]]&gt;=9,"Promoter",IF(Data[[#This Row],[Customer Rating]]&gt;=7,"Passive","Detractor")))</f>
        <v>No Rating</v>
      </c>
    </row>
    <row r="532" spans="1:17" ht="14.25" customHeight="1" x14ac:dyDescent="0.3">
      <c r="A532" s="1" t="s">
        <v>558</v>
      </c>
      <c r="B532" s="1" t="s">
        <v>21</v>
      </c>
      <c r="C532" s="1" t="s">
        <v>16</v>
      </c>
      <c r="D532" s="1" t="str">
        <f>IF(Data[[#This Row],[Cancellation Status]]="No", "High Potential", "Normal")</f>
        <v>High Potential</v>
      </c>
      <c r="E532" s="2">
        <v>45935</v>
      </c>
      <c r="F532" s="2">
        <v>45939</v>
      </c>
      <c r="G532" s="2">
        <v>45944</v>
      </c>
      <c r="H532" s="2">
        <v>45947</v>
      </c>
      <c r="I532" s="1" t="s">
        <v>17</v>
      </c>
      <c r="K532" s="2">
        <v>45977</v>
      </c>
      <c r="L532" s="88">
        <f>IF(OR(Data[[#This Row],[Service Follow-up Date]]="",Data[[#This Row],[Delivery Date]]=""),"",INT(Data[[#This Row],[Service Follow-up Date]]-Data[[#This Row],[Delivery Date]]))</f>
        <v>30</v>
      </c>
      <c r="M532" s="1">
        <v>4</v>
      </c>
      <c r="N532" s="1">
        <v>5</v>
      </c>
      <c r="O532" s="1">
        <v>3</v>
      </c>
      <c r="P532" s="1">
        <v>2</v>
      </c>
      <c r="Q532" t="str">
        <f>IF(ISBLANK(Data[[#This Row],[Customer Rating]]),"No Rating",IF(Data[[#This Row],[Customer Rating]]&gt;=9,"Promoter",IF(Data[[#This Row],[Customer Rating]]&gt;=7,"Passive","Detractor")))</f>
        <v>Detractor</v>
      </c>
    </row>
    <row r="533" spans="1:17" ht="14.25" customHeight="1" x14ac:dyDescent="0.3">
      <c r="A533" s="1" t="s">
        <v>559</v>
      </c>
      <c r="B533" s="1" t="s">
        <v>32</v>
      </c>
      <c r="C533" s="1" t="s">
        <v>30</v>
      </c>
      <c r="D533" s="1" t="str">
        <f>IF(Data[[#This Row],[Cancellation Status]]="No", "High Potential", "Normal")</f>
        <v>High Potential</v>
      </c>
      <c r="E533" s="2">
        <v>45933</v>
      </c>
      <c r="F533" s="2">
        <v>45934</v>
      </c>
      <c r="G533" s="2">
        <v>45937</v>
      </c>
      <c r="H533" s="2">
        <v>45941</v>
      </c>
      <c r="I533" s="1" t="s">
        <v>17</v>
      </c>
      <c r="K533" s="2">
        <v>45964</v>
      </c>
      <c r="L533" s="88">
        <f>IF(OR(Data[[#This Row],[Service Follow-up Date]]="",Data[[#This Row],[Delivery Date]]=""),"",INT(Data[[#This Row],[Service Follow-up Date]]-Data[[#This Row],[Delivery Date]]))</f>
        <v>23</v>
      </c>
      <c r="M533" s="1">
        <v>1</v>
      </c>
      <c r="N533" s="1">
        <v>3</v>
      </c>
      <c r="O533" s="1">
        <v>4</v>
      </c>
      <c r="P533" s="1">
        <v>2</v>
      </c>
      <c r="Q533" t="str">
        <f>IF(ISBLANK(Data[[#This Row],[Customer Rating]]),"No Rating",IF(Data[[#This Row],[Customer Rating]]&gt;=9,"Promoter",IF(Data[[#This Row],[Customer Rating]]&gt;=7,"Passive","Detractor")))</f>
        <v>Detractor</v>
      </c>
    </row>
    <row r="534" spans="1:17" ht="14.25" customHeight="1" x14ac:dyDescent="0.3">
      <c r="A534" s="1" t="s">
        <v>560</v>
      </c>
      <c r="B534" s="1" t="s">
        <v>15</v>
      </c>
      <c r="C534" s="1" t="s">
        <v>22</v>
      </c>
      <c r="D534" s="1" t="str">
        <f>IF(Data[[#This Row],[Cancellation Status]]="No", "High Potential", "Normal")</f>
        <v>Normal</v>
      </c>
      <c r="E534" s="2">
        <v>45946</v>
      </c>
      <c r="I534" s="1" t="s">
        <v>23</v>
      </c>
      <c r="J534" s="1" t="s">
        <v>26</v>
      </c>
      <c r="L534" s="88" t="str">
        <f>IF(OR(Data[[#This Row],[Service Follow-up Date]]="",Data[[#This Row],[Delivery Date]]=""),"",INT(Data[[#This Row],[Service Follow-up Date]]-Data[[#This Row],[Delivery Date]]))</f>
        <v/>
      </c>
      <c r="Q534" t="str">
        <f>IF(ISBLANK(Data[[#This Row],[Customer Rating]]),"No Rating",IF(Data[[#This Row],[Customer Rating]]&gt;=9,"Promoter",IF(Data[[#This Row],[Customer Rating]]&gt;=7,"Passive","Detractor")))</f>
        <v>No Rating</v>
      </c>
    </row>
    <row r="535" spans="1:17" ht="14.25" customHeight="1" x14ac:dyDescent="0.3">
      <c r="A535" s="1" t="s">
        <v>561</v>
      </c>
      <c r="B535" s="1" t="s">
        <v>32</v>
      </c>
      <c r="C535" s="1" t="s">
        <v>16</v>
      </c>
      <c r="D535" s="1" t="str">
        <f>IF(Data[[#This Row],[Cancellation Status]]="No", "High Potential", "Normal")</f>
        <v>High Potential</v>
      </c>
      <c r="E535" s="2">
        <v>45956</v>
      </c>
      <c r="F535" s="2">
        <v>45961</v>
      </c>
      <c r="G535" s="2">
        <v>45964</v>
      </c>
      <c r="H535" s="2">
        <v>45966</v>
      </c>
      <c r="I535" s="1" t="s">
        <v>17</v>
      </c>
      <c r="K535" s="2">
        <v>45992</v>
      </c>
      <c r="L535" s="88">
        <f>IF(OR(Data[[#This Row],[Service Follow-up Date]]="",Data[[#This Row],[Delivery Date]]=""),"",INT(Data[[#This Row],[Service Follow-up Date]]-Data[[#This Row],[Delivery Date]]))</f>
        <v>26</v>
      </c>
      <c r="M535" s="1">
        <v>5</v>
      </c>
      <c r="N535" s="1">
        <v>3</v>
      </c>
      <c r="O535" s="1">
        <v>2</v>
      </c>
      <c r="P535" s="1">
        <v>1</v>
      </c>
      <c r="Q535" t="str">
        <f>IF(ISBLANK(Data[[#This Row],[Customer Rating]]),"No Rating",IF(Data[[#This Row],[Customer Rating]]&gt;=9,"Promoter",IF(Data[[#This Row],[Customer Rating]]&gt;=7,"Passive","Detractor")))</f>
        <v>Detractor</v>
      </c>
    </row>
    <row r="536" spans="1:17" ht="14.25" customHeight="1" x14ac:dyDescent="0.3">
      <c r="A536" s="1" t="s">
        <v>562</v>
      </c>
      <c r="B536" s="1" t="s">
        <v>32</v>
      </c>
      <c r="C536" s="1" t="s">
        <v>30</v>
      </c>
      <c r="D536" s="1" t="str">
        <f>IF(Data[[#This Row],[Cancellation Status]]="No", "High Potential", "Normal")</f>
        <v>High Potential</v>
      </c>
      <c r="E536" s="2">
        <v>45939</v>
      </c>
      <c r="F536" s="2">
        <v>45942</v>
      </c>
      <c r="G536" s="2">
        <v>45945</v>
      </c>
      <c r="H536" s="2">
        <v>45949</v>
      </c>
      <c r="I536" s="1" t="s">
        <v>17</v>
      </c>
      <c r="K536" s="2">
        <v>45959</v>
      </c>
      <c r="L536" s="88">
        <f>IF(OR(Data[[#This Row],[Service Follow-up Date]]="",Data[[#This Row],[Delivery Date]]=""),"",INT(Data[[#This Row],[Service Follow-up Date]]-Data[[#This Row],[Delivery Date]]))</f>
        <v>10</v>
      </c>
      <c r="M536" s="1">
        <v>3</v>
      </c>
      <c r="N536" s="1">
        <v>3</v>
      </c>
      <c r="O536" s="1">
        <v>4</v>
      </c>
      <c r="P536" s="1">
        <v>0</v>
      </c>
      <c r="Q536" t="str">
        <f>IF(ISBLANK(Data[[#This Row],[Customer Rating]]),"No Rating",IF(Data[[#This Row],[Customer Rating]]&gt;=9,"Promoter",IF(Data[[#This Row],[Customer Rating]]&gt;=7,"Passive","Detractor")))</f>
        <v>Detractor</v>
      </c>
    </row>
    <row r="537" spans="1:17" ht="14.25" customHeight="1" x14ac:dyDescent="0.3">
      <c r="A537" s="1" t="s">
        <v>563</v>
      </c>
      <c r="B537" s="1" t="s">
        <v>32</v>
      </c>
      <c r="C537" s="1" t="s">
        <v>30</v>
      </c>
      <c r="D537" s="1" t="str">
        <f>IF(Data[[#This Row],[Cancellation Status]]="No", "High Potential", "Normal")</f>
        <v>Normal</v>
      </c>
      <c r="E537" s="2">
        <v>45941</v>
      </c>
      <c r="F537" s="2">
        <v>45943</v>
      </c>
      <c r="G537" s="2">
        <v>45946</v>
      </c>
      <c r="H537" s="2">
        <v>45948</v>
      </c>
      <c r="I537" s="1" t="s">
        <v>23</v>
      </c>
      <c r="J537" s="1" t="s">
        <v>63</v>
      </c>
      <c r="L537" s="88" t="str">
        <f>IF(OR(Data[[#This Row],[Service Follow-up Date]]="",Data[[#This Row],[Delivery Date]]=""),"",INT(Data[[#This Row],[Service Follow-up Date]]-Data[[#This Row],[Delivery Date]]))</f>
        <v/>
      </c>
      <c r="M537" s="1">
        <v>2</v>
      </c>
      <c r="N537" s="1">
        <v>3</v>
      </c>
      <c r="O537" s="1">
        <v>2</v>
      </c>
      <c r="Q537" t="str">
        <f>IF(ISBLANK(Data[[#This Row],[Customer Rating]]),"No Rating",IF(Data[[#This Row],[Customer Rating]]&gt;=9,"Promoter",IF(Data[[#This Row],[Customer Rating]]&gt;=7,"Passive","Detractor")))</f>
        <v>No Rating</v>
      </c>
    </row>
    <row r="538" spans="1:17" ht="14.25" customHeight="1" x14ac:dyDescent="0.3">
      <c r="A538" s="1" t="s">
        <v>564</v>
      </c>
      <c r="B538" s="1" t="s">
        <v>21</v>
      </c>
      <c r="C538" s="1" t="s">
        <v>16</v>
      </c>
      <c r="D538" s="1" t="str">
        <f>IF(Data[[#This Row],[Cancellation Status]]="No", "High Potential", "Normal")</f>
        <v>High Potential</v>
      </c>
      <c r="E538" s="2">
        <v>45950</v>
      </c>
      <c r="F538" s="2">
        <v>45955</v>
      </c>
      <c r="G538" s="2">
        <v>45960</v>
      </c>
      <c r="H538" s="2">
        <v>45966</v>
      </c>
      <c r="I538" s="1" t="s">
        <v>17</v>
      </c>
      <c r="K538" s="2">
        <v>45976</v>
      </c>
      <c r="L538" s="88">
        <f>IF(OR(Data[[#This Row],[Service Follow-up Date]]="",Data[[#This Row],[Delivery Date]]=""),"",INT(Data[[#This Row],[Service Follow-up Date]]-Data[[#This Row],[Delivery Date]]))</f>
        <v>10</v>
      </c>
      <c r="M538" s="1">
        <v>5</v>
      </c>
      <c r="N538" s="1">
        <v>5</v>
      </c>
      <c r="O538" s="1">
        <v>6</v>
      </c>
      <c r="P538" s="1">
        <v>0</v>
      </c>
      <c r="Q538" t="str">
        <f>IF(ISBLANK(Data[[#This Row],[Customer Rating]]),"No Rating",IF(Data[[#This Row],[Customer Rating]]&gt;=9,"Promoter",IF(Data[[#This Row],[Customer Rating]]&gt;=7,"Passive","Detractor")))</f>
        <v>Detractor</v>
      </c>
    </row>
    <row r="539" spans="1:17" ht="14.25" customHeight="1" x14ac:dyDescent="0.3">
      <c r="A539" s="1" t="s">
        <v>565</v>
      </c>
      <c r="B539" s="1" t="s">
        <v>15</v>
      </c>
      <c r="C539" s="1" t="s">
        <v>30</v>
      </c>
      <c r="D539" s="1" t="str">
        <f>IF(Data[[#This Row],[Cancellation Status]]="No", "High Potential", "Normal")</f>
        <v>High Potential</v>
      </c>
      <c r="E539" s="2">
        <v>45953</v>
      </c>
      <c r="F539" s="2">
        <v>45957</v>
      </c>
      <c r="G539" s="2">
        <v>45961</v>
      </c>
      <c r="H539" s="2">
        <v>45964</v>
      </c>
      <c r="I539" s="1" t="s">
        <v>17</v>
      </c>
      <c r="K539" s="2">
        <v>45989</v>
      </c>
      <c r="L539" s="88">
        <f>IF(OR(Data[[#This Row],[Service Follow-up Date]]="",Data[[#This Row],[Delivery Date]]=""),"",INT(Data[[#This Row],[Service Follow-up Date]]-Data[[#This Row],[Delivery Date]]))</f>
        <v>25</v>
      </c>
      <c r="M539" s="1">
        <v>4</v>
      </c>
      <c r="N539" s="1">
        <v>4</v>
      </c>
      <c r="O539" s="1">
        <v>3</v>
      </c>
      <c r="P539" s="1">
        <v>3</v>
      </c>
      <c r="Q539" t="str">
        <f>IF(ISBLANK(Data[[#This Row],[Customer Rating]]),"No Rating",IF(Data[[#This Row],[Customer Rating]]&gt;=9,"Promoter",IF(Data[[#This Row],[Customer Rating]]&gt;=7,"Passive","Detractor")))</f>
        <v>Detractor</v>
      </c>
    </row>
    <row r="540" spans="1:17" ht="14.25" customHeight="1" x14ac:dyDescent="0.3">
      <c r="A540" s="1" t="s">
        <v>566</v>
      </c>
      <c r="B540" s="1" t="s">
        <v>32</v>
      </c>
      <c r="C540" s="1" t="s">
        <v>22</v>
      </c>
      <c r="D540" s="1" t="str">
        <f>IF(Data[[#This Row],[Cancellation Status]]="No", "High Potential", "Normal")</f>
        <v>Normal</v>
      </c>
      <c r="E540" s="2">
        <v>45943</v>
      </c>
      <c r="I540" s="1" t="s">
        <v>23</v>
      </c>
      <c r="J540" s="1" t="s">
        <v>26</v>
      </c>
      <c r="L540" s="88" t="str">
        <f>IF(OR(Data[[#This Row],[Service Follow-up Date]]="",Data[[#This Row],[Delivery Date]]=""),"",INT(Data[[#This Row],[Service Follow-up Date]]-Data[[#This Row],[Delivery Date]]))</f>
        <v/>
      </c>
      <c r="Q540" t="str">
        <f>IF(ISBLANK(Data[[#This Row],[Customer Rating]]),"No Rating",IF(Data[[#This Row],[Customer Rating]]&gt;=9,"Promoter",IF(Data[[#This Row],[Customer Rating]]&gt;=7,"Passive","Detractor")))</f>
        <v>No Rating</v>
      </c>
    </row>
    <row r="541" spans="1:17" ht="14.25" customHeight="1" x14ac:dyDescent="0.3">
      <c r="A541" s="1" t="s">
        <v>567</v>
      </c>
      <c r="B541" s="1" t="s">
        <v>15</v>
      </c>
      <c r="C541" s="1" t="s">
        <v>16</v>
      </c>
      <c r="D541" s="1" t="str">
        <f>IF(Data[[#This Row],[Cancellation Status]]="No", "High Potential", "Normal")</f>
        <v>Normal</v>
      </c>
      <c r="E541" s="2">
        <v>45951</v>
      </c>
      <c r="F541" s="2">
        <v>45953</v>
      </c>
      <c r="G541" s="2">
        <v>45957</v>
      </c>
      <c r="H541" s="2">
        <v>45960</v>
      </c>
      <c r="I541" s="1" t="s">
        <v>23</v>
      </c>
      <c r="J541" s="1" t="s">
        <v>101</v>
      </c>
      <c r="L541" s="88" t="str">
        <f>IF(OR(Data[[#This Row],[Service Follow-up Date]]="",Data[[#This Row],[Delivery Date]]=""),"",INT(Data[[#This Row],[Service Follow-up Date]]-Data[[#This Row],[Delivery Date]]))</f>
        <v/>
      </c>
      <c r="M541" s="1">
        <v>2</v>
      </c>
      <c r="N541" s="1">
        <v>4</v>
      </c>
      <c r="O541" s="1">
        <v>3</v>
      </c>
      <c r="Q541" t="str">
        <f>IF(ISBLANK(Data[[#This Row],[Customer Rating]]),"No Rating",IF(Data[[#This Row],[Customer Rating]]&gt;=9,"Promoter",IF(Data[[#This Row],[Customer Rating]]&gt;=7,"Passive","Detractor")))</f>
        <v>No Rating</v>
      </c>
    </row>
    <row r="542" spans="1:17" ht="14.25" customHeight="1" x14ac:dyDescent="0.3">
      <c r="A542" s="1" t="s">
        <v>568</v>
      </c>
      <c r="B542" s="1" t="s">
        <v>15</v>
      </c>
      <c r="C542" s="1" t="s">
        <v>30</v>
      </c>
      <c r="D542" s="1" t="str">
        <f>IF(Data[[#This Row],[Cancellation Status]]="No", "High Potential", "Normal")</f>
        <v>High Potential</v>
      </c>
      <c r="E542" s="2">
        <v>45933</v>
      </c>
      <c r="F542" s="2">
        <v>45934</v>
      </c>
      <c r="G542" s="2">
        <v>45935</v>
      </c>
      <c r="H542" s="2">
        <v>45941</v>
      </c>
      <c r="I542" s="1" t="s">
        <v>17</v>
      </c>
      <c r="K542" s="2">
        <v>45955</v>
      </c>
      <c r="L542" s="88">
        <f>IF(OR(Data[[#This Row],[Service Follow-up Date]]="",Data[[#This Row],[Delivery Date]]=""),"",INT(Data[[#This Row],[Service Follow-up Date]]-Data[[#This Row],[Delivery Date]]))</f>
        <v>14</v>
      </c>
      <c r="M542" s="1">
        <v>1</v>
      </c>
      <c r="N542" s="1">
        <v>1</v>
      </c>
      <c r="O542" s="1">
        <v>6</v>
      </c>
      <c r="P542" s="1">
        <v>9</v>
      </c>
      <c r="Q542" t="str">
        <f>IF(ISBLANK(Data[[#This Row],[Customer Rating]]),"No Rating",IF(Data[[#This Row],[Customer Rating]]&gt;=9,"Promoter",IF(Data[[#This Row],[Customer Rating]]&gt;=7,"Passive","Detractor")))</f>
        <v>Promoter</v>
      </c>
    </row>
    <row r="543" spans="1:17" ht="14.25" customHeight="1" x14ac:dyDescent="0.3">
      <c r="A543" s="1" t="s">
        <v>569</v>
      </c>
      <c r="B543" s="1" t="s">
        <v>21</v>
      </c>
      <c r="C543" s="1" t="s">
        <v>22</v>
      </c>
      <c r="D543" s="1" t="str">
        <f>IF(Data[[#This Row],[Cancellation Status]]="No", "High Potential", "Normal")</f>
        <v>Normal</v>
      </c>
      <c r="E543" s="2">
        <v>45958</v>
      </c>
      <c r="I543" s="1" t="s">
        <v>23</v>
      </c>
      <c r="J543" s="1" t="s">
        <v>101</v>
      </c>
      <c r="L543" s="88" t="str">
        <f>IF(OR(Data[[#This Row],[Service Follow-up Date]]="",Data[[#This Row],[Delivery Date]]=""),"",INT(Data[[#This Row],[Service Follow-up Date]]-Data[[#This Row],[Delivery Date]]))</f>
        <v/>
      </c>
      <c r="Q543" t="str">
        <f>IF(ISBLANK(Data[[#This Row],[Customer Rating]]),"No Rating",IF(Data[[#This Row],[Customer Rating]]&gt;=9,"Promoter",IF(Data[[#This Row],[Customer Rating]]&gt;=7,"Passive","Detractor")))</f>
        <v>No Rating</v>
      </c>
    </row>
    <row r="544" spans="1:17" ht="14.25" customHeight="1" x14ac:dyDescent="0.3">
      <c r="A544" s="1" t="s">
        <v>570</v>
      </c>
      <c r="B544" s="1" t="s">
        <v>32</v>
      </c>
      <c r="C544" s="1" t="s">
        <v>16</v>
      </c>
      <c r="D544" s="1" t="str">
        <f>IF(Data[[#This Row],[Cancellation Status]]="No", "High Potential", "Normal")</f>
        <v>High Potential</v>
      </c>
      <c r="E544" s="2">
        <v>45941</v>
      </c>
      <c r="F544" s="2">
        <v>45946</v>
      </c>
      <c r="G544" s="2">
        <v>45950</v>
      </c>
      <c r="H544" s="2">
        <v>45954</v>
      </c>
      <c r="I544" s="1" t="s">
        <v>17</v>
      </c>
      <c r="K544" s="2">
        <v>45984</v>
      </c>
      <c r="L544" s="88">
        <f>IF(OR(Data[[#This Row],[Service Follow-up Date]]="",Data[[#This Row],[Delivery Date]]=""),"",INT(Data[[#This Row],[Service Follow-up Date]]-Data[[#This Row],[Delivery Date]]))</f>
        <v>30</v>
      </c>
      <c r="M544" s="1">
        <v>5</v>
      </c>
      <c r="N544" s="1">
        <v>4</v>
      </c>
      <c r="O544" s="1">
        <v>4</v>
      </c>
      <c r="P544" s="1">
        <v>9</v>
      </c>
      <c r="Q544" t="str">
        <f>IF(ISBLANK(Data[[#This Row],[Customer Rating]]),"No Rating",IF(Data[[#This Row],[Customer Rating]]&gt;=9,"Promoter",IF(Data[[#This Row],[Customer Rating]]&gt;=7,"Passive","Detractor")))</f>
        <v>Promoter</v>
      </c>
    </row>
    <row r="545" spans="1:17" ht="14.25" customHeight="1" x14ac:dyDescent="0.3">
      <c r="A545" s="1" t="s">
        <v>571</v>
      </c>
      <c r="B545" s="1" t="s">
        <v>32</v>
      </c>
      <c r="C545" s="1" t="s">
        <v>16</v>
      </c>
      <c r="D545" s="1" t="str">
        <f>IF(Data[[#This Row],[Cancellation Status]]="No", "High Potential", "Normal")</f>
        <v>High Potential</v>
      </c>
      <c r="E545" s="2">
        <v>45958</v>
      </c>
      <c r="F545" s="2">
        <v>45961</v>
      </c>
      <c r="G545" s="2">
        <v>45964</v>
      </c>
      <c r="H545" s="2">
        <v>45969</v>
      </c>
      <c r="I545" s="1" t="s">
        <v>17</v>
      </c>
      <c r="K545" s="2">
        <v>45984</v>
      </c>
      <c r="L545" s="88">
        <f>IF(OR(Data[[#This Row],[Service Follow-up Date]]="",Data[[#This Row],[Delivery Date]]=""),"",INT(Data[[#This Row],[Service Follow-up Date]]-Data[[#This Row],[Delivery Date]]))</f>
        <v>15</v>
      </c>
      <c r="M545" s="1">
        <v>3</v>
      </c>
      <c r="N545" s="1">
        <v>3</v>
      </c>
      <c r="O545" s="1">
        <v>5</v>
      </c>
      <c r="P545" s="1">
        <v>4</v>
      </c>
      <c r="Q545" t="str">
        <f>IF(ISBLANK(Data[[#This Row],[Customer Rating]]),"No Rating",IF(Data[[#This Row],[Customer Rating]]&gt;=9,"Promoter",IF(Data[[#This Row],[Customer Rating]]&gt;=7,"Passive","Detractor")))</f>
        <v>Detractor</v>
      </c>
    </row>
    <row r="546" spans="1:17" ht="14.25" customHeight="1" x14ac:dyDescent="0.3">
      <c r="A546" s="1" t="s">
        <v>572</v>
      </c>
      <c r="B546" s="1" t="s">
        <v>15</v>
      </c>
      <c r="C546" s="1" t="s">
        <v>30</v>
      </c>
      <c r="D546" s="1" t="str">
        <f>IF(Data[[#This Row],[Cancellation Status]]="No", "High Potential", "Normal")</f>
        <v>High Potential</v>
      </c>
      <c r="E546" s="2">
        <v>45952</v>
      </c>
      <c r="F546" s="2">
        <v>45953</v>
      </c>
      <c r="G546" s="2">
        <v>45955</v>
      </c>
      <c r="H546" s="2">
        <v>45961</v>
      </c>
      <c r="I546" s="1" t="s">
        <v>17</v>
      </c>
      <c r="K546" s="2">
        <v>45990</v>
      </c>
      <c r="L546" s="88">
        <f>IF(OR(Data[[#This Row],[Service Follow-up Date]]="",Data[[#This Row],[Delivery Date]]=""),"",INT(Data[[#This Row],[Service Follow-up Date]]-Data[[#This Row],[Delivery Date]]))</f>
        <v>29</v>
      </c>
      <c r="M546" s="1">
        <v>1</v>
      </c>
      <c r="N546" s="1">
        <v>2</v>
      </c>
      <c r="O546" s="1">
        <v>6</v>
      </c>
      <c r="P546" s="1">
        <v>1</v>
      </c>
      <c r="Q546" t="str">
        <f>IF(ISBLANK(Data[[#This Row],[Customer Rating]]),"No Rating",IF(Data[[#This Row],[Customer Rating]]&gt;=9,"Promoter",IF(Data[[#This Row],[Customer Rating]]&gt;=7,"Passive","Detractor")))</f>
        <v>Detractor</v>
      </c>
    </row>
    <row r="547" spans="1:17" ht="14.25" customHeight="1" x14ac:dyDescent="0.3">
      <c r="A547" s="1" t="s">
        <v>573</v>
      </c>
      <c r="B547" s="1" t="s">
        <v>19</v>
      </c>
      <c r="C547" s="1" t="s">
        <v>30</v>
      </c>
      <c r="D547" s="1" t="str">
        <f>IF(Data[[#This Row],[Cancellation Status]]="No", "High Potential", "Normal")</f>
        <v>High Potential</v>
      </c>
      <c r="E547" s="2">
        <v>45958</v>
      </c>
      <c r="F547" s="2">
        <v>45963</v>
      </c>
      <c r="G547" s="2">
        <v>45966</v>
      </c>
      <c r="H547" s="2">
        <v>45973</v>
      </c>
      <c r="I547" s="1" t="s">
        <v>17</v>
      </c>
      <c r="K547" s="2">
        <v>45983</v>
      </c>
      <c r="L547" s="88">
        <f>IF(OR(Data[[#This Row],[Service Follow-up Date]]="",Data[[#This Row],[Delivery Date]]=""),"",INT(Data[[#This Row],[Service Follow-up Date]]-Data[[#This Row],[Delivery Date]]))</f>
        <v>10</v>
      </c>
      <c r="M547" s="1">
        <v>5</v>
      </c>
      <c r="N547" s="1">
        <v>3</v>
      </c>
      <c r="O547" s="1">
        <v>7</v>
      </c>
      <c r="P547" s="1">
        <v>6</v>
      </c>
      <c r="Q547" t="str">
        <f>IF(ISBLANK(Data[[#This Row],[Customer Rating]]),"No Rating",IF(Data[[#This Row],[Customer Rating]]&gt;=9,"Promoter",IF(Data[[#This Row],[Customer Rating]]&gt;=7,"Passive","Detractor")))</f>
        <v>Detractor</v>
      </c>
    </row>
    <row r="548" spans="1:17" ht="14.25" customHeight="1" x14ac:dyDescent="0.3">
      <c r="A548" s="1" t="s">
        <v>574</v>
      </c>
      <c r="B548" s="1" t="s">
        <v>21</v>
      </c>
      <c r="C548" s="1" t="s">
        <v>16</v>
      </c>
      <c r="D548" s="1" t="str">
        <f>IF(Data[[#This Row],[Cancellation Status]]="No", "High Potential", "Normal")</f>
        <v>High Potential</v>
      </c>
      <c r="E548" s="2">
        <v>45948</v>
      </c>
      <c r="F548" s="2">
        <v>45953</v>
      </c>
      <c r="G548" s="2">
        <v>45956</v>
      </c>
      <c r="H548" s="2">
        <v>45963</v>
      </c>
      <c r="I548" s="1" t="s">
        <v>17</v>
      </c>
      <c r="K548" s="2">
        <v>45980</v>
      </c>
      <c r="L548" s="88">
        <f>IF(OR(Data[[#This Row],[Service Follow-up Date]]="",Data[[#This Row],[Delivery Date]]=""),"",INT(Data[[#This Row],[Service Follow-up Date]]-Data[[#This Row],[Delivery Date]]))</f>
        <v>17</v>
      </c>
      <c r="M548" s="1">
        <v>5</v>
      </c>
      <c r="N548" s="1">
        <v>3</v>
      </c>
      <c r="O548" s="1">
        <v>7</v>
      </c>
      <c r="P548" s="1">
        <v>3</v>
      </c>
      <c r="Q548" t="str">
        <f>IF(ISBLANK(Data[[#This Row],[Customer Rating]]),"No Rating",IF(Data[[#This Row],[Customer Rating]]&gt;=9,"Promoter",IF(Data[[#This Row],[Customer Rating]]&gt;=7,"Passive","Detractor")))</f>
        <v>Detractor</v>
      </c>
    </row>
    <row r="549" spans="1:17" ht="14.25" customHeight="1" x14ac:dyDescent="0.3">
      <c r="A549" s="1" t="s">
        <v>575</v>
      </c>
      <c r="B549" s="1" t="s">
        <v>21</v>
      </c>
      <c r="C549" s="1" t="s">
        <v>16</v>
      </c>
      <c r="D549" s="1" t="str">
        <f>IF(Data[[#This Row],[Cancellation Status]]="No", "High Potential", "Normal")</f>
        <v>High Potential</v>
      </c>
      <c r="E549" s="2">
        <v>45943</v>
      </c>
      <c r="F549" s="2">
        <v>45948</v>
      </c>
      <c r="G549" s="2">
        <v>45952</v>
      </c>
      <c r="H549" s="2">
        <v>45959</v>
      </c>
      <c r="I549" s="1" t="s">
        <v>17</v>
      </c>
      <c r="K549" s="2">
        <v>45977</v>
      </c>
      <c r="L549" s="88">
        <f>IF(OR(Data[[#This Row],[Service Follow-up Date]]="",Data[[#This Row],[Delivery Date]]=""),"",INT(Data[[#This Row],[Service Follow-up Date]]-Data[[#This Row],[Delivery Date]]))</f>
        <v>18</v>
      </c>
      <c r="M549" s="1">
        <v>5</v>
      </c>
      <c r="N549" s="1">
        <v>4</v>
      </c>
      <c r="O549" s="1">
        <v>7</v>
      </c>
      <c r="P549" s="1">
        <v>4</v>
      </c>
      <c r="Q549" t="str">
        <f>IF(ISBLANK(Data[[#This Row],[Customer Rating]]),"No Rating",IF(Data[[#This Row],[Customer Rating]]&gt;=9,"Promoter",IF(Data[[#This Row],[Customer Rating]]&gt;=7,"Passive","Detractor")))</f>
        <v>Detractor</v>
      </c>
    </row>
    <row r="550" spans="1:17" ht="14.25" customHeight="1" x14ac:dyDescent="0.3">
      <c r="A550" s="1" t="s">
        <v>576</v>
      </c>
      <c r="B550" s="1" t="s">
        <v>21</v>
      </c>
      <c r="C550" s="1" t="s">
        <v>16</v>
      </c>
      <c r="D550" s="1" t="str">
        <f>IF(Data[[#This Row],[Cancellation Status]]="No", "High Potential", "Normal")</f>
        <v>High Potential</v>
      </c>
      <c r="E550" s="2">
        <v>45961</v>
      </c>
      <c r="F550" s="2">
        <v>45966</v>
      </c>
      <c r="G550" s="2">
        <v>45967</v>
      </c>
      <c r="H550" s="2">
        <v>45974</v>
      </c>
      <c r="I550" s="1" t="s">
        <v>17</v>
      </c>
      <c r="K550" s="2">
        <v>46003</v>
      </c>
      <c r="L550" s="88">
        <f>IF(OR(Data[[#This Row],[Service Follow-up Date]]="",Data[[#This Row],[Delivery Date]]=""),"",INT(Data[[#This Row],[Service Follow-up Date]]-Data[[#This Row],[Delivery Date]]))</f>
        <v>29</v>
      </c>
      <c r="M550" s="1">
        <v>5</v>
      </c>
      <c r="N550" s="1">
        <v>1</v>
      </c>
      <c r="O550" s="1">
        <v>7</v>
      </c>
      <c r="P550" s="1">
        <v>6</v>
      </c>
      <c r="Q550" t="str">
        <f>IF(ISBLANK(Data[[#This Row],[Customer Rating]]),"No Rating",IF(Data[[#This Row],[Customer Rating]]&gt;=9,"Promoter",IF(Data[[#This Row],[Customer Rating]]&gt;=7,"Passive","Detractor")))</f>
        <v>Detractor</v>
      </c>
    </row>
    <row r="551" spans="1:17" ht="14.25" customHeight="1" x14ac:dyDescent="0.3">
      <c r="A551" s="1" t="s">
        <v>577</v>
      </c>
      <c r="B551" s="1" t="s">
        <v>21</v>
      </c>
      <c r="C551" s="1" t="s">
        <v>16</v>
      </c>
      <c r="D551" s="1" t="str">
        <f>IF(Data[[#This Row],[Cancellation Status]]="No", "High Potential", "Normal")</f>
        <v>High Potential</v>
      </c>
      <c r="E551" s="2">
        <v>45941</v>
      </c>
      <c r="F551" s="2">
        <v>45946</v>
      </c>
      <c r="G551" s="2">
        <v>45951</v>
      </c>
      <c r="H551" s="2">
        <v>45953</v>
      </c>
      <c r="I551" s="1" t="s">
        <v>17</v>
      </c>
      <c r="K551" s="2">
        <v>45972</v>
      </c>
      <c r="L551" s="88">
        <f>IF(OR(Data[[#This Row],[Service Follow-up Date]]="",Data[[#This Row],[Delivery Date]]=""),"",INT(Data[[#This Row],[Service Follow-up Date]]-Data[[#This Row],[Delivery Date]]))</f>
        <v>19</v>
      </c>
      <c r="M551" s="1">
        <v>5</v>
      </c>
      <c r="N551" s="1">
        <v>5</v>
      </c>
      <c r="O551" s="1">
        <v>2</v>
      </c>
      <c r="P551" s="1">
        <v>5</v>
      </c>
      <c r="Q551" t="str">
        <f>IF(ISBLANK(Data[[#This Row],[Customer Rating]]),"No Rating",IF(Data[[#This Row],[Customer Rating]]&gt;=9,"Promoter",IF(Data[[#This Row],[Customer Rating]]&gt;=7,"Passive","Detractor")))</f>
        <v>Detractor</v>
      </c>
    </row>
    <row r="552" spans="1:17" ht="14.25" customHeight="1" x14ac:dyDescent="0.3">
      <c r="A552" s="1" t="s">
        <v>578</v>
      </c>
      <c r="B552" s="1" t="s">
        <v>32</v>
      </c>
      <c r="C552" s="1" t="s">
        <v>16</v>
      </c>
      <c r="D552" s="1" t="str">
        <f>IF(Data[[#This Row],[Cancellation Status]]="No", "High Potential", "Normal")</f>
        <v>High Potential</v>
      </c>
      <c r="E552" s="2">
        <v>45951</v>
      </c>
      <c r="F552" s="2">
        <v>45952</v>
      </c>
      <c r="G552" s="2">
        <v>45954</v>
      </c>
      <c r="H552" s="2">
        <v>45958</v>
      </c>
      <c r="I552" s="1" t="s">
        <v>17</v>
      </c>
      <c r="K552" s="2">
        <v>45988</v>
      </c>
      <c r="L552" s="88">
        <f>IF(OR(Data[[#This Row],[Service Follow-up Date]]="",Data[[#This Row],[Delivery Date]]=""),"",INT(Data[[#This Row],[Service Follow-up Date]]-Data[[#This Row],[Delivery Date]]))</f>
        <v>30</v>
      </c>
      <c r="M552" s="1">
        <v>1</v>
      </c>
      <c r="N552" s="1">
        <v>2</v>
      </c>
      <c r="O552" s="1">
        <v>4</v>
      </c>
      <c r="P552" s="1">
        <v>3</v>
      </c>
      <c r="Q552" t="str">
        <f>IF(ISBLANK(Data[[#This Row],[Customer Rating]]),"No Rating",IF(Data[[#This Row],[Customer Rating]]&gt;=9,"Promoter",IF(Data[[#This Row],[Customer Rating]]&gt;=7,"Passive","Detractor")))</f>
        <v>Detractor</v>
      </c>
    </row>
    <row r="553" spans="1:17" ht="14.25" customHeight="1" x14ac:dyDescent="0.3">
      <c r="A553" s="1" t="s">
        <v>579</v>
      </c>
      <c r="B553" s="1" t="s">
        <v>32</v>
      </c>
      <c r="C553" s="1" t="s">
        <v>30</v>
      </c>
      <c r="D553" s="1" t="str">
        <f>IF(Data[[#This Row],[Cancellation Status]]="No", "High Potential", "Normal")</f>
        <v>High Potential</v>
      </c>
      <c r="E553" s="2">
        <v>45953</v>
      </c>
      <c r="F553" s="2">
        <v>45957</v>
      </c>
      <c r="G553" s="2">
        <v>45959</v>
      </c>
      <c r="H553" s="2">
        <v>45966</v>
      </c>
      <c r="I553" s="1" t="s">
        <v>17</v>
      </c>
      <c r="K553" s="2">
        <v>45984</v>
      </c>
      <c r="L553" s="88">
        <f>IF(OR(Data[[#This Row],[Service Follow-up Date]]="",Data[[#This Row],[Delivery Date]]=""),"",INT(Data[[#This Row],[Service Follow-up Date]]-Data[[#This Row],[Delivery Date]]))</f>
        <v>18</v>
      </c>
      <c r="M553" s="1">
        <v>4</v>
      </c>
      <c r="N553" s="1">
        <v>2</v>
      </c>
      <c r="O553" s="1">
        <v>7</v>
      </c>
      <c r="P553" s="1">
        <v>3</v>
      </c>
      <c r="Q553" t="str">
        <f>IF(ISBLANK(Data[[#This Row],[Customer Rating]]),"No Rating",IF(Data[[#This Row],[Customer Rating]]&gt;=9,"Promoter",IF(Data[[#This Row],[Customer Rating]]&gt;=7,"Passive","Detractor")))</f>
        <v>Detractor</v>
      </c>
    </row>
    <row r="554" spans="1:17" ht="14.25" customHeight="1" x14ac:dyDescent="0.3">
      <c r="A554" s="1" t="s">
        <v>580</v>
      </c>
      <c r="B554" s="1" t="s">
        <v>19</v>
      </c>
      <c r="C554" s="1" t="s">
        <v>16</v>
      </c>
      <c r="D554" s="1" t="str">
        <f>IF(Data[[#This Row],[Cancellation Status]]="No", "High Potential", "Normal")</f>
        <v>High Potential</v>
      </c>
      <c r="E554" s="2">
        <v>45959</v>
      </c>
      <c r="F554" s="2">
        <v>45963</v>
      </c>
      <c r="G554" s="2">
        <v>45964</v>
      </c>
      <c r="H554" s="2">
        <v>45969</v>
      </c>
      <c r="I554" s="1" t="s">
        <v>17</v>
      </c>
      <c r="K554" s="2">
        <v>45992</v>
      </c>
      <c r="L554" s="88">
        <f>IF(OR(Data[[#This Row],[Service Follow-up Date]]="",Data[[#This Row],[Delivery Date]]=""),"",INT(Data[[#This Row],[Service Follow-up Date]]-Data[[#This Row],[Delivery Date]]))</f>
        <v>23</v>
      </c>
      <c r="M554" s="1">
        <v>4</v>
      </c>
      <c r="N554" s="1">
        <v>1</v>
      </c>
      <c r="O554" s="1">
        <v>5</v>
      </c>
      <c r="P554" s="1">
        <v>9</v>
      </c>
      <c r="Q554" t="str">
        <f>IF(ISBLANK(Data[[#This Row],[Customer Rating]]),"No Rating",IF(Data[[#This Row],[Customer Rating]]&gt;=9,"Promoter",IF(Data[[#This Row],[Customer Rating]]&gt;=7,"Passive","Detractor")))</f>
        <v>Promoter</v>
      </c>
    </row>
    <row r="555" spans="1:17" ht="14.25" customHeight="1" x14ac:dyDescent="0.3">
      <c r="A555" s="1" t="s">
        <v>581</v>
      </c>
      <c r="B555" s="1" t="s">
        <v>21</v>
      </c>
      <c r="C555" s="1" t="s">
        <v>22</v>
      </c>
      <c r="D555" s="1" t="str">
        <f>IF(Data[[#This Row],[Cancellation Status]]="No", "High Potential", "Normal")</f>
        <v>Normal</v>
      </c>
      <c r="E555" s="2">
        <v>45955</v>
      </c>
      <c r="I555" s="1" t="s">
        <v>23</v>
      </c>
      <c r="J555" s="1" t="s">
        <v>63</v>
      </c>
      <c r="L555" s="88" t="str">
        <f>IF(OR(Data[[#This Row],[Service Follow-up Date]]="",Data[[#This Row],[Delivery Date]]=""),"",INT(Data[[#This Row],[Service Follow-up Date]]-Data[[#This Row],[Delivery Date]]))</f>
        <v/>
      </c>
      <c r="Q555" t="str">
        <f>IF(ISBLANK(Data[[#This Row],[Customer Rating]]),"No Rating",IF(Data[[#This Row],[Customer Rating]]&gt;=9,"Promoter",IF(Data[[#This Row],[Customer Rating]]&gt;=7,"Passive","Detractor")))</f>
        <v>No Rating</v>
      </c>
    </row>
    <row r="556" spans="1:17" ht="14.25" customHeight="1" x14ac:dyDescent="0.3">
      <c r="A556" s="1" t="s">
        <v>582</v>
      </c>
      <c r="B556" s="1" t="s">
        <v>21</v>
      </c>
      <c r="C556" s="1" t="s">
        <v>16</v>
      </c>
      <c r="D556" s="1" t="str">
        <f>IF(Data[[#This Row],[Cancellation Status]]="No", "High Potential", "Normal")</f>
        <v>High Potential</v>
      </c>
      <c r="E556" s="2">
        <v>45946</v>
      </c>
      <c r="F556" s="2">
        <v>45947</v>
      </c>
      <c r="G556" s="2">
        <v>45950</v>
      </c>
      <c r="H556" s="2">
        <v>45957</v>
      </c>
      <c r="I556" s="1" t="s">
        <v>17</v>
      </c>
      <c r="K556" s="2">
        <v>45979</v>
      </c>
      <c r="L556" s="88">
        <f>IF(OR(Data[[#This Row],[Service Follow-up Date]]="",Data[[#This Row],[Delivery Date]]=""),"",INT(Data[[#This Row],[Service Follow-up Date]]-Data[[#This Row],[Delivery Date]]))</f>
        <v>22</v>
      </c>
      <c r="M556" s="1">
        <v>1</v>
      </c>
      <c r="N556" s="1">
        <v>3</v>
      </c>
      <c r="O556" s="1">
        <v>7</v>
      </c>
      <c r="P556" s="1">
        <v>2</v>
      </c>
      <c r="Q556" t="str">
        <f>IF(ISBLANK(Data[[#This Row],[Customer Rating]]),"No Rating",IF(Data[[#This Row],[Customer Rating]]&gt;=9,"Promoter",IF(Data[[#This Row],[Customer Rating]]&gt;=7,"Passive","Detractor")))</f>
        <v>Detractor</v>
      </c>
    </row>
    <row r="557" spans="1:17" ht="14.25" customHeight="1" x14ac:dyDescent="0.3">
      <c r="A557" s="1" t="s">
        <v>583</v>
      </c>
      <c r="B557" s="1" t="s">
        <v>15</v>
      </c>
      <c r="C557" s="1" t="s">
        <v>16</v>
      </c>
      <c r="D557" s="1" t="str">
        <f>IF(Data[[#This Row],[Cancellation Status]]="No", "High Potential", "Normal")</f>
        <v>High Potential</v>
      </c>
      <c r="E557" s="2">
        <v>45958</v>
      </c>
      <c r="F557" s="2">
        <v>45962</v>
      </c>
      <c r="G557" s="2">
        <v>45967</v>
      </c>
      <c r="H557" s="2">
        <v>45970</v>
      </c>
      <c r="I557" s="1" t="s">
        <v>17</v>
      </c>
      <c r="K557" s="2">
        <v>45991</v>
      </c>
      <c r="L557" s="88">
        <f>IF(OR(Data[[#This Row],[Service Follow-up Date]]="",Data[[#This Row],[Delivery Date]]=""),"",INT(Data[[#This Row],[Service Follow-up Date]]-Data[[#This Row],[Delivery Date]]))</f>
        <v>21</v>
      </c>
      <c r="M557" s="1">
        <v>4</v>
      </c>
      <c r="N557" s="1">
        <v>5</v>
      </c>
      <c r="O557" s="1">
        <v>3</v>
      </c>
      <c r="P557" s="1">
        <v>8</v>
      </c>
      <c r="Q557" t="str">
        <f>IF(ISBLANK(Data[[#This Row],[Customer Rating]]),"No Rating",IF(Data[[#This Row],[Customer Rating]]&gt;=9,"Promoter",IF(Data[[#This Row],[Customer Rating]]&gt;=7,"Passive","Detractor")))</f>
        <v>Passive</v>
      </c>
    </row>
    <row r="558" spans="1:17" ht="14.25" customHeight="1" x14ac:dyDescent="0.3">
      <c r="A558" s="1" t="s">
        <v>584</v>
      </c>
      <c r="B558" s="1" t="s">
        <v>32</v>
      </c>
      <c r="C558" s="1" t="s">
        <v>30</v>
      </c>
      <c r="D558" s="1" t="str">
        <f>IF(Data[[#This Row],[Cancellation Status]]="No", "High Potential", "Normal")</f>
        <v>High Potential</v>
      </c>
      <c r="E558" s="2">
        <v>45948</v>
      </c>
      <c r="F558" s="2">
        <v>45951</v>
      </c>
      <c r="G558" s="2">
        <v>45956</v>
      </c>
      <c r="H558" s="2">
        <v>45958</v>
      </c>
      <c r="I558" s="1" t="s">
        <v>17</v>
      </c>
      <c r="K558" s="2">
        <v>45982</v>
      </c>
      <c r="L558" s="88">
        <f>IF(OR(Data[[#This Row],[Service Follow-up Date]]="",Data[[#This Row],[Delivery Date]]=""),"",INT(Data[[#This Row],[Service Follow-up Date]]-Data[[#This Row],[Delivery Date]]))</f>
        <v>24</v>
      </c>
      <c r="M558" s="1">
        <v>3</v>
      </c>
      <c r="N558" s="1">
        <v>5</v>
      </c>
      <c r="O558" s="1">
        <v>2</v>
      </c>
      <c r="P558" s="1">
        <v>1</v>
      </c>
      <c r="Q558" t="str">
        <f>IF(ISBLANK(Data[[#This Row],[Customer Rating]]),"No Rating",IF(Data[[#This Row],[Customer Rating]]&gt;=9,"Promoter",IF(Data[[#This Row],[Customer Rating]]&gt;=7,"Passive","Detractor")))</f>
        <v>Detractor</v>
      </c>
    </row>
    <row r="559" spans="1:17" ht="14.25" customHeight="1" x14ac:dyDescent="0.3">
      <c r="A559" s="1" t="s">
        <v>585</v>
      </c>
      <c r="B559" s="1" t="s">
        <v>21</v>
      </c>
      <c r="C559" s="1" t="s">
        <v>16</v>
      </c>
      <c r="D559" s="1" t="str">
        <f>IF(Data[[#This Row],[Cancellation Status]]="No", "High Potential", "Normal")</f>
        <v>High Potential</v>
      </c>
      <c r="E559" s="2">
        <v>45932</v>
      </c>
      <c r="F559" s="2">
        <v>45935</v>
      </c>
      <c r="G559" s="2">
        <v>45940</v>
      </c>
      <c r="H559" s="2">
        <v>45943</v>
      </c>
      <c r="I559" s="1" t="s">
        <v>17</v>
      </c>
      <c r="K559" s="2">
        <v>45961</v>
      </c>
      <c r="L559" s="88">
        <f>IF(OR(Data[[#This Row],[Service Follow-up Date]]="",Data[[#This Row],[Delivery Date]]=""),"",INT(Data[[#This Row],[Service Follow-up Date]]-Data[[#This Row],[Delivery Date]]))</f>
        <v>18</v>
      </c>
      <c r="M559" s="1">
        <v>3</v>
      </c>
      <c r="N559" s="1">
        <v>5</v>
      </c>
      <c r="O559" s="1">
        <v>3</v>
      </c>
      <c r="P559" s="1">
        <v>2</v>
      </c>
      <c r="Q559" t="str">
        <f>IF(ISBLANK(Data[[#This Row],[Customer Rating]]),"No Rating",IF(Data[[#This Row],[Customer Rating]]&gt;=9,"Promoter",IF(Data[[#This Row],[Customer Rating]]&gt;=7,"Passive","Detractor")))</f>
        <v>Detractor</v>
      </c>
    </row>
    <row r="560" spans="1:17" ht="14.25" customHeight="1" x14ac:dyDescent="0.3">
      <c r="A560" s="1" t="s">
        <v>586</v>
      </c>
      <c r="B560" s="1" t="s">
        <v>19</v>
      </c>
      <c r="C560" s="1" t="s">
        <v>16</v>
      </c>
      <c r="D560" s="1" t="str">
        <f>IF(Data[[#This Row],[Cancellation Status]]="No", "High Potential", "Normal")</f>
        <v>High Potential</v>
      </c>
      <c r="E560" s="2">
        <v>45950</v>
      </c>
      <c r="F560" s="2">
        <v>45951</v>
      </c>
      <c r="G560" s="2">
        <v>45955</v>
      </c>
      <c r="H560" s="2">
        <v>45957</v>
      </c>
      <c r="I560" s="1" t="s">
        <v>17</v>
      </c>
      <c r="K560" s="2">
        <v>45973</v>
      </c>
      <c r="L560" s="88">
        <f>IF(OR(Data[[#This Row],[Service Follow-up Date]]="",Data[[#This Row],[Delivery Date]]=""),"",INT(Data[[#This Row],[Service Follow-up Date]]-Data[[#This Row],[Delivery Date]]))</f>
        <v>16</v>
      </c>
      <c r="M560" s="1">
        <v>1</v>
      </c>
      <c r="N560" s="1">
        <v>4</v>
      </c>
      <c r="O560" s="1">
        <v>2</v>
      </c>
      <c r="P560" s="1">
        <v>6</v>
      </c>
      <c r="Q560" t="str">
        <f>IF(ISBLANK(Data[[#This Row],[Customer Rating]]),"No Rating",IF(Data[[#This Row],[Customer Rating]]&gt;=9,"Promoter",IF(Data[[#This Row],[Customer Rating]]&gt;=7,"Passive","Detractor")))</f>
        <v>Detractor</v>
      </c>
    </row>
    <row r="561" spans="1:17" ht="14.25" customHeight="1" x14ac:dyDescent="0.3">
      <c r="A561" s="1" t="s">
        <v>587</v>
      </c>
      <c r="B561" s="1" t="s">
        <v>19</v>
      </c>
      <c r="C561" s="1" t="s">
        <v>22</v>
      </c>
      <c r="D561" s="1" t="str">
        <f>IF(Data[[#This Row],[Cancellation Status]]="No", "High Potential", "Normal")</f>
        <v>Normal</v>
      </c>
      <c r="E561" s="2">
        <v>45933</v>
      </c>
      <c r="I561" s="1" t="s">
        <v>23</v>
      </c>
      <c r="J561" s="1" t="s">
        <v>26</v>
      </c>
      <c r="L561" s="88" t="str">
        <f>IF(OR(Data[[#This Row],[Service Follow-up Date]]="",Data[[#This Row],[Delivery Date]]=""),"",INT(Data[[#This Row],[Service Follow-up Date]]-Data[[#This Row],[Delivery Date]]))</f>
        <v/>
      </c>
      <c r="Q561" t="str">
        <f>IF(ISBLANK(Data[[#This Row],[Customer Rating]]),"No Rating",IF(Data[[#This Row],[Customer Rating]]&gt;=9,"Promoter",IF(Data[[#This Row],[Customer Rating]]&gt;=7,"Passive","Detractor")))</f>
        <v>No Rating</v>
      </c>
    </row>
    <row r="562" spans="1:17" ht="14.25" customHeight="1" x14ac:dyDescent="0.3">
      <c r="A562" s="1" t="s">
        <v>588</v>
      </c>
      <c r="B562" s="1" t="s">
        <v>32</v>
      </c>
      <c r="C562" s="1" t="s">
        <v>16</v>
      </c>
      <c r="D562" s="1" t="str">
        <f>IF(Data[[#This Row],[Cancellation Status]]="No", "High Potential", "Normal")</f>
        <v>High Potential</v>
      </c>
      <c r="E562" s="2">
        <v>45938</v>
      </c>
      <c r="F562" s="2">
        <v>45941</v>
      </c>
      <c r="G562" s="2">
        <v>45944</v>
      </c>
      <c r="H562" s="2">
        <v>45949</v>
      </c>
      <c r="I562" s="1" t="s">
        <v>17</v>
      </c>
      <c r="K562" s="2">
        <v>45973</v>
      </c>
      <c r="L562" s="88">
        <f>IF(OR(Data[[#This Row],[Service Follow-up Date]]="",Data[[#This Row],[Delivery Date]]=""),"",INT(Data[[#This Row],[Service Follow-up Date]]-Data[[#This Row],[Delivery Date]]))</f>
        <v>24</v>
      </c>
      <c r="M562" s="1">
        <v>3</v>
      </c>
      <c r="N562" s="1">
        <v>3</v>
      </c>
      <c r="O562" s="1">
        <v>5</v>
      </c>
      <c r="P562" s="1">
        <v>6</v>
      </c>
      <c r="Q562" t="str">
        <f>IF(ISBLANK(Data[[#This Row],[Customer Rating]]),"No Rating",IF(Data[[#This Row],[Customer Rating]]&gt;=9,"Promoter",IF(Data[[#This Row],[Customer Rating]]&gt;=7,"Passive","Detractor")))</f>
        <v>Detractor</v>
      </c>
    </row>
    <row r="563" spans="1:17" ht="14.25" customHeight="1" x14ac:dyDescent="0.3">
      <c r="A563" s="1" t="s">
        <v>589</v>
      </c>
      <c r="B563" s="1" t="s">
        <v>19</v>
      </c>
      <c r="C563" s="1" t="s">
        <v>22</v>
      </c>
      <c r="D563" s="1" t="str">
        <f>IF(Data[[#This Row],[Cancellation Status]]="No", "High Potential", "Normal")</f>
        <v>Normal</v>
      </c>
      <c r="E563" s="2">
        <v>45951</v>
      </c>
      <c r="I563" s="1" t="s">
        <v>23</v>
      </c>
      <c r="J563" s="1" t="s">
        <v>101</v>
      </c>
      <c r="L563" s="88" t="str">
        <f>IF(OR(Data[[#This Row],[Service Follow-up Date]]="",Data[[#This Row],[Delivery Date]]=""),"",INT(Data[[#This Row],[Service Follow-up Date]]-Data[[#This Row],[Delivery Date]]))</f>
        <v/>
      </c>
      <c r="Q563" t="str">
        <f>IF(ISBLANK(Data[[#This Row],[Customer Rating]]),"No Rating",IF(Data[[#This Row],[Customer Rating]]&gt;=9,"Promoter",IF(Data[[#This Row],[Customer Rating]]&gt;=7,"Passive","Detractor")))</f>
        <v>No Rating</v>
      </c>
    </row>
    <row r="564" spans="1:17" ht="14.25" customHeight="1" x14ac:dyDescent="0.3">
      <c r="A564" s="1" t="s">
        <v>590</v>
      </c>
      <c r="B564" s="1" t="s">
        <v>19</v>
      </c>
      <c r="C564" s="1" t="s">
        <v>16</v>
      </c>
      <c r="D564" s="1" t="str">
        <f>IF(Data[[#This Row],[Cancellation Status]]="No", "High Potential", "Normal")</f>
        <v>High Potential</v>
      </c>
      <c r="E564" s="2">
        <v>45952</v>
      </c>
      <c r="F564" s="2">
        <v>45953</v>
      </c>
      <c r="G564" s="2">
        <v>45955</v>
      </c>
      <c r="H564" s="2">
        <v>45957</v>
      </c>
      <c r="I564" s="1" t="s">
        <v>17</v>
      </c>
      <c r="K564" s="2">
        <v>45976</v>
      </c>
      <c r="L564" s="88">
        <f>IF(OR(Data[[#This Row],[Service Follow-up Date]]="",Data[[#This Row],[Delivery Date]]=""),"",INT(Data[[#This Row],[Service Follow-up Date]]-Data[[#This Row],[Delivery Date]]))</f>
        <v>19</v>
      </c>
      <c r="M564" s="1">
        <v>1</v>
      </c>
      <c r="N564" s="1">
        <v>2</v>
      </c>
      <c r="O564" s="1">
        <v>2</v>
      </c>
      <c r="P564" s="1">
        <v>1</v>
      </c>
      <c r="Q564" t="str">
        <f>IF(ISBLANK(Data[[#This Row],[Customer Rating]]),"No Rating",IF(Data[[#This Row],[Customer Rating]]&gt;=9,"Promoter",IF(Data[[#This Row],[Customer Rating]]&gt;=7,"Passive","Detractor")))</f>
        <v>Detractor</v>
      </c>
    </row>
    <row r="565" spans="1:17" ht="14.25" customHeight="1" x14ac:dyDescent="0.3">
      <c r="A565" s="1" t="s">
        <v>591</v>
      </c>
      <c r="B565" s="1" t="s">
        <v>32</v>
      </c>
      <c r="C565" s="1" t="s">
        <v>30</v>
      </c>
      <c r="D565" s="1" t="str">
        <f>IF(Data[[#This Row],[Cancellation Status]]="No", "High Potential", "Normal")</f>
        <v>High Potential</v>
      </c>
      <c r="E565" s="2">
        <v>45960</v>
      </c>
      <c r="F565" s="2">
        <v>45963</v>
      </c>
      <c r="G565" s="2">
        <v>45965</v>
      </c>
      <c r="H565" s="2">
        <v>45970</v>
      </c>
      <c r="I565" s="1" t="s">
        <v>17</v>
      </c>
      <c r="K565" s="2">
        <v>45996</v>
      </c>
      <c r="L565" s="88">
        <f>IF(OR(Data[[#This Row],[Service Follow-up Date]]="",Data[[#This Row],[Delivery Date]]=""),"",INT(Data[[#This Row],[Service Follow-up Date]]-Data[[#This Row],[Delivery Date]]))</f>
        <v>26</v>
      </c>
      <c r="M565" s="1">
        <v>3</v>
      </c>
      <c r="N565" s="1">
        <v>2</v>
      </c>
      <c r="O565" s="1">
        <v>5</v>
      </c>
      <c r="P565" s="1">
        <v>3</v>
      </c>
      <c r="Q565" t="str">
        <f>IF(ISBLANK(Data[[#This Row],[Customer Rating]]),"No Rating",IF(Data[[#This Row],[Customer Rating]]&gt;=9,"Promoter",IF(Data[[#This Row],[Customer Rating]]&gt;=7,"Passive","Detractor")))</f>
        <v>Detractor</v>
      </c>
    </row>
    <row r="566" spans="1:17" ht="14.25" customHeight="1" x14ac:dyDescent="0.3">
      <c r="A566" s="1" t="s">
        <v>592</v>
      </c>
      <c r="B566" s="1" t="s">
        <v>21</v>
      </c>
      <c r="C566" s="1" t="s">
        <v>16</v>
      </c>
      <c r="D566" s="1" t="str">
        <f>IF(Data[[#This Row],[Cancellation Status]]="No", "High Potential", "Normal")</f>
        <v>High Potential</v>
      </c>
      <c r="E566" s="2">
        <v>45940</v>
      </c>
      <c r="F566" s="2">
        <v>45942</v>
      </c>
      <c r="G566" s="2">
        <v>45945</v>
      </c>
      <c r="H566" s="2">
        <v>45951</v>
      </c>
      <c r="I566" s="1" t="s">
        <v>17</v>
      </c>
      <c r="K566" s="2">
        <v>45980</v>
      </c>
      <c r="L566" s="88">
        <f>IF(OR(Data[[#This Row],[Service Follow-up Date]]="",Data[[#This Row],[Delivery Date]]=""),"",INT(Data[[#This Row],[Service Follow-up Date]]-Data[[#This Row],[Delivery Date]]))</f>
        <v>29</v>
      </c>
      <c r="M566" s="1">
        <v>2</v>
      </c>
      <c r="N566" s="1">
        <v>3</v>
      </c>
      <c r="O566" s="1">
        <v>6</v>
      </c>
      <c r="P566" s="1">
        <v>4</v>
      </c>
      <c r="Q566" t="str">
        <f>IF(ISBLANK(Data[[#This Row],[Customer Rating]]),"No Rating",IF(Data[[#This Row],[Customer Rating]]&gt;=9,"Promoter",IF(Data[[#This Row],[Customer Rating]]&gt;=7,"Passive","Detractor")))</f>
        <v>Detractor</v>
      </c>
    </row>
    <row r="567" spans="1:17" ht="14.25" customHeight="1" x14ac:dyDescent="0.3">
      <c r="A567" s="1" t="s">
        <v>593</v>
      </c>
      <c r="B567" s="1" t="s">
        <v>21</v>
      </c>
      <c r="C567" s="1" t="s">
        <v>30</v>
      </c>
      <c r="D567" s="1" t="str">
        <f>IF(Data[[#This Row],[Cancellation Status]]="No", "High Potential", "Normal")</f>
        <v>High Potential</v>
      </c>
      <c r="E567" s="2">
        <v>45938</v>
      </c>
      <c r="F567" s="2">
        <v>45939</v>
      </c>
      <c r="G567" s="2">
        <v>45941</v>
      </c>
      <c r="H567" s="2">
        <v>45947</v>
      </c>
      <c r="I567" s="1" t="s">
        <v>17</v>
      </c>
      <c r="K567" s="2">
        <v>45969</v>
      </c>
      <c r="L567" s="88">
        <f>IF(OR(Data[[#This Row],[Service Follow-up Date]]="",Data[[#This Row],[Delivery Date]]=""),"",INT(Data[[#This Row],[Service Follow-up Date]]-Data[[#This Row],[Delivery Date]]))</f>
        <v>22</v>
      </c>
      <c r="M567" s="1">
        <v>1</v>
      </c>
      <c r="N567" s="1">
        <v>2</v>
      </c>
      <c r="O567" s="1">
        <v>6</v>
      </c>
      <c r="P567" s="1">
        <v>5</v>
      </c>
      <c r="Q567" t="str">
        <f>IF(ISBLANK(Data[[#This Row],[Customer Rating]]),"No Rating",IF(Data[[#This Row],[Customer Rating]]&gt;=9,"Promoter",IF(Data[[#This Row],[Customer Rating]]&gt;=7,"Passive","Detractor")))</f>
        <v>Detractor</v>
      </c>
    </row>
    <row r="568" spans="1:17" ht="14.25" customHeight="1" x14ac:dyDescent="0.3">
      <c r="A568" s="1" t="s">
        <v>594</v>
      </c>
      <c r="B568" s="1" t="s">
        <v>19</v>
      </c>
      <c r="C568" s="1" t="s">
        <v>30</v>
      </c>
      <c r="D568" s="1" t="str">
        <f>IF(Data[[#This Row],[Cancellation Status]]="No", "High Potential", "Normal")</f>
        <v>High Potential</v>
      </c>
      <c r="E568" s="2">
        <v>45954</v>
      </c>
      <c r="F568" s="2">
        <v>45959</v>
      </c>
      <c r="G568" s="2">
        <v>45963</v>
      </c>
      <c r="H568" s="2">
        <v>45965</v>
      </c>
      <c r="I568" s="1" t="s">
        <v>17</v>
      </c>
      <c r="K568" s="2">
        <v>45993</v>
      </c>
      <c r="L568" s="88">
        <f>IF(OR(Data[[#This Row],[Service Follow-up Date]]="",Data[[#This Row],[Delivery Date]]=""),"",INT(Data[[#This Row],[Service Follow-up Date]]-Data[[#This Row],[Delivery Date]]))</f>
        <v>28</v>
      </c>
      <c r="M568" s="1">
        <v>5</v>
      </c>
      <c r="N568" s="1">
        <v>4</v>
      </c>
      <c r="O568" s="1">
        <v>2</v>
      </c>
      <c r="P568" s="1">
        <v>3</v>
      </c>
      <c r="Q568" t="str">
        <f>IF(ISBLANK(Data[[#This Row],[Customer Rating]]),"No Rating",IF(Data[[#This Row],[Customer Rating]]&gt;=9,"Promoter",IF(Data[[#This Row],[Customer Rating]]&gt;=7,"Passive","Detractor")))</f>
        <v>Detractor</v>
      </c>
    </row>
    <row r="569" spans="1:17" ht="14.25" customHeight="1" x14ac:dyDescent="0.3">
      <c r="A569" s="1" t="s">
        <v>595</v>
      </c>
      <c r="B569" s="1" t="s">
        <v>19</v>
      </c>
      <c r="C569" s="1" t="s">
        <v>22</v>
      </c>
      <c r="D569" s="1" t="str">
        <f>IF(Data[[#This Row],[Cancellation Status]]="No", "High Potential", "Normal")</f>
        <v>Normal</v>
      </c>
      <c r="E569" s="2">
        <v>45933</v>
      </c>
      <c r="I569" s="1" t="s">
        <v>23</v>
      </c>
      <c r="J569" s="1" t="s">
        <v>101</v>
      </c>
      <c r="L569" s="88" t="str">
        <f>IF(OR(Data[[#This Row],[Service Follow-up Date]]="",Data[[#This Row],[Delivery Date]]=""),"",INT(Data[[#This Row],[Service Follow-up Date]]-Data[[#This Row],[Delivery Date]]))</f>
        <v/>
      </c>
      <c r="Q569" t="str">
        <f>IF(ISBLANK(Data[[#This Row],[Customer Rating]]),"No Rating",IF(Data[[#This Row],[Customer Rating]]&gt;=9,"Promoter",IF(Data[[#This Row],[Customer Rating]]&gt;=7,"Passive","Detractor")))</f>
        <v>No Rating</v>
      </c>
    </row>
    <row r="570" spans="1:17" ht="14.25" customHeight="1" x14ac:dyDescent="0.3">
      <c r="A570" s="1" t="s">
        <v>596</v>
      </c>
      <c r="B570" s="1" t="s">
        <v>21</v>
      </c>
      <c r="C570" s="1" t="s">
        <v>16</v>
      </c>
      <c r="D570" s="1" t="str">
        <f>IF(Data[[#This Row],[Cancellation Status]]="No", "High Potential", "Normal")</f>
        <v>High Potential</v>
      </c>
      <c r="E570" s="2">
        <v>45944</v>
      </c>
      <c r="F570" s="2">
        <v>45947</v>
      </c>
      <c r="G570" s="2">
        <v>45952</v>
      </c>
      <c r="H570" s="2">
        <v>45956</v>
      </c>
      <c r="I570" s="1" t="s">
        <v>17</v>
      </c>
      <c r="K570" s="2">
        <v>45969</v>
      </c>
      <c r="L570" s="88">
        <f>IF(OR(Data[[#This Row],[Service Follow-up Date]]="",Data[[#This Row],[Delivery Date]]=""),"",INT(Data[[#This Row],[Service Follow-up Date]]-Data[[#This Row],[Delivery Date]]))</f>
        <v>13</v>
      </c>
      <c r="M570" s="1">
        <v>3</v>
      </c>
      <c r="N570" s="1">
        <v>5</v>
      </c>
      <c r="O570" s="1">
        <v>4</v>
      </c>
      <c r="P570" s="1">
        <v>9</v>
      </c>
      <c r="Q570" t="str">
        <f>IF(ISBLANK(Data[[#This Row],[Customer Rating]]),"No Rating",IF(Data[[#This Row],[Customer Rating]]&gt;=9,"Promoter",IF(Data[[#This Row],[Customer Rating]]&gt;=7,"Passive","Detractor")))</f>
        <v>Promoter</v>
      </c>
    </row>
    <row r="571" spans="1:17" ht="14.25" customHeight="1" x14ac:dyDescent="0.3">
      <c r="A571" s="1" t="s">
        <v>597</v>
      </c>
      <c r="B571" s="1" t="s">
        <v>32</v>
      </c>
      <c r="C571" s="1" t="s">
        <v>16</v>
      </c>
      <c r="D571" s="1" t="str">
        <f>IF(Data[[#This Row],[Cancellation Status]]="No", "High Potential", "Normal")</f>
        <v>High Potential</v>
      </c>
      <c r="E571" s="2">
        <v>45934</v>
      </c>
      <c r="F571" s="2">
        <v>45936</v>
      </c>
      <c r="G571" s="2">
        <v>45938</v>
      </c>
      <c r="H571" s="2">
        <v>45945</v>
      </c>
      <c r="I571" s="1" t="s">
        <v>17</v>
      </c>
      <c r="K571" s="2">
        <v>45955</v>
      </c>
      <c r="L571" s="88">
        <f>IF(OR(Data[[#This Row],[Service Follow-up Date]]="",Data[[#This Row],[Delivery Date]]=""),"",INT(Data[[#This Row],[Service Follow-up Date]]-Data[[#This Row],[Delivery Date]]))</f>
        <v>10</v>
      </c>
      <c r="M571" s="1">
        <v>2</v>
      </c>
      <c r="N571" s="1">
        <v>2</v>
      </c>
      <c r="O571" s="1">
        <v>7</v>
      </c>
      <c r="P571" s="1">
        <v>4</v>
      </c>
      <c r="Q571" t="str">
        <f>IF(ISBLANK(Data[[#This Row],[Customer Rating]]),"No Rating",IF(Data[[#This Row],[Customer Rating]]&gt;=9,"Promoter",IF(Data[[#This Row],[Customer Rating]]&gt;=7,"Passive","Detractor")))</f>
        <v>Detractor</v>
      </c>
    </row>
    <row r="572" spans="1:17" ht="14.25" customHeight="1" x14ac:dyDescent="0.3">
      <c r="A572" s="1" t="s">
        <v>598</v>
      </c>
      <c r="B572" s="1" t="s">
        <v>19</v>
      </c>
      <c r="C572" s="1" t="s">
        <v>30</v>
      </c>
      <c r="D572" s="1" t="str">
        <f>IF(Data[[#This Row],[Cancellation Status]]="No", "High Potential", "Normal")</f>
        <v>High Potential</v>
      </c>
      <c r="E572" s="2">
        <v>45955</v>
      </c>
      <c r="F572" s="2">
        <v>45956</v>
      </c>
      <c r="G572" s="2">
        <v>45960</v>
      </c>
      <c r="H572" s="2">
        <v>45967</v>
      </c>
      <c r="I572" s="1" t="s">
        <v>17</v>
      </c>
      <c r="K572" s="2">
        <v>45993</v>
      </c>
      <c r="L572" s="88">
        <f>IF(OR(Data[[#This Row],[Service Follow-up Date]]="",Data[[#This Row],[Delivery Date]]=""),"",INT(Data[[#This Row],[Service Follow-up Date]]-Data[[#This Row],[Delivery Date]]))</f>
        <v>26</v>
      </c>
      <c r="M572" s="1">
        <v>1</v>
      </c>
      <c r="N572" s="1">
        <v>4</v>
      </c>
      <c r="O572" s="1">
        <v>7</v>
      </c>
      <c r="P572" s="1">
        <v>9</v>
      </c>
      <c r="Q572" t="str">
        <f>IF(ISBLANK(Data[[#This Row],[Customer Rating]]),"No Rating",IF(Data[[#This Row],[Customer Rating]]&gt;=9,"Promoter",IF(Data[[#This Row],[Customer Rating]]&gt;=7,"Passive","Detractor")))</f>
        <v>Promoter</v>
      </c>
    </row>
    <row r="573" spans="1:17" ht="14.25" customHeight="1" x14ac:dyDescent="0.3">
      <c r="A573" s="1" t="s">
        <v>599</v>
      </c>
      <c r="B573" s="1" t="s">
        <v>15</v>
      </c>
      <c r="C573" s="1" t="s">
        <v>16</v>
      </c>
      <c r="D573" s="1" t="str">
        <f>IF(Data[[#This Row],[Cancellation Status]]="No", "High Potential", "Normal")</f>
        <v>High Potential</v>
      </c>
      <c r="E573" s="2">
        <v>45951</v>
      </c>
      <c r="F573" s="2">
        <v>45954</v>
      </c>
      <c r="G573" s="2">
        <v>45959</v>
      </c>
      <c r="H573" s="2">
        <v>45966</v>
      </c>
      <c r="I573" s="1" t="s">
        <v>17</v>
      </c>
      <c r="K573" s="2">
        <v>45987</v>
      </c>
      <c r="L573" s="88">
        <f>IF(OR(Data[[#This Row],[Service Follow-up Date]]="",Data[[#This Row],[Delivery Date]]=""),"",INT(Data[[#This Row],[Service Follow-up Date]]-Data[[#This Row],[Delivery Date]]))</f>
        <v>21</v>
      </c>
      <c r="M573" s="1">
        <v>3</v>
      </c>
      <c r="N573" s="1">
        <v>5</v>
      </c>
      <c r="O573" s="1">
        <v>7</v>
      </c>
      <c r="P573" s="1">
        <v>2</v>
      </c>
      <c r="Q573" t="str">
        <f>IF(ISBLANK(Data[[#This Row],[Customer Rating]]),"No Rating",IF(Data[[#This Row],[Customer Rating]]&gt;=9,"Promoter",IF(Data[[#This Row],[Customer Rating]]&gt;=7,"Passive","Detractor")))</f>
        <v>Detractor</v>
      </c>
    </row>
    <row r="574" spans="1:17" ht="14.25" customHeight="1" x14ac:dyDescent="0.3">
      <c r="A574" s="1" t="s">
        <v>600</v>
      </c>
      <c r="B574" s="1" t="s">
        <v>32</v>
      </c>
      <c r="C574" s="1" t="s">
        <v>30</v>
      </c>
      <c r="D574" s="1" t="str">
        <f>IF(Data[[#This Row],[Cancellation Status]]="No", "High Potential", "Normal")</f>
        <v>High Potential</v>
      </c>
      <c r="E574" s="2">
        <v>45953</v>
      </c>
      <c r="F574" s="2">
        <v>45958</v>
      </c>
      <c r="G574" s="2">
        <v>45961</v>
      </c>
      <c r="H574" s="2">
        <v>45968</v>
      </c>
      <c r="I574" s="1" t="s">
        <v>17</v>
      </c>
      <c r="K574" s="2">
        <v>45995</v>
      </c>
      <c r="L574" s="88">
        <f>IF(OR(Data[[#This Row],[Service Follow-up Date]]="",Data[[#This Row],[Delivery Date]]=""),"",INT(Data[[#This Row],[Service Follow-up Date]]-Data[[#This Row],[Delivery Date]]))</f>
        <v>27</v>
      </c>
      <c r="M574" s="1">
        <v>5</v>
      </c>
      <c r="N574" s="1">
        <v>3</v>
      </c>
      <c r="O574" s="1">
        <v>7</v>
      </c>
      <c r="P574" s="1">
        <v>1</v>
      </c>
      <c r="Q574" t="str">
        <f>IF(ISBLANK(Data[[#This Row],[Customer Rating]]),"No Rating",IF(Data[[#This Row],[Customer Rating]]&gt;=9,"Promoter",IF(Data[[#This Row],[Customer Rating]]&gt;=7,"Passive","Detractor")))</f>
        <v>Detractor</v>
      </c>
    </row>
    <row r="575" spans="1:17" ht="14.25" customHeight="1" x14ac:dyDescent="0.3">
      <c r="A575" s="1" t="s">
        <v>601</v>
      </c>
      <c r="B575" s="1" t="s">
        <v>19</v>
      </c>
      <c r="C575" s="1" t="s">
        <v>30</v>
      </c>
      <c r="D575" s="1" t="str">
        <f>IF(Data[[#This Row],[Cancellation Status]]="No", "High Potential", "Normal")</f>
        <v>High Potential</v>
      </c>
      <c r="E575" s="2">
        <v>45958</v>
      </c>
      <c r="F575" s="2">
        <v>45961</v>
      </c>
      <c r="G575" s="2">
        <v>45964</v>
      </c>
      <c r="H575" s="2">
        <v>45967</v>
      </c>
      <c r="I575" s="1" t="s">
        <v>17</v>
      </c>
      <c r="K575" s="2">
        <v>45997</v>
      </c>
      <c r="L575" s="88">
        <f>IF(OR(Data[[#This Row],[Service Follow-up Date]]="",Data[[#This Row],[Delivery Date]]=""),"",INT(Data[[#This Row],[Service Follow-up Date]]-Data[[#This Row],[Delivery Date]]))</f>
        <v>30</v>
      </c>
      <c r="M575" s="1">
        <v>3</v>
      </c>
      <c r="N575" s="1">
        <v>3</v>
      </c>
      <c r="O575" s="1">
        <v>3</v>
      </c>
      <c r="P575" s="1">
        <v>7</v>
      </c>
      <c r="Q575" t="str">
        <f>IF(ISBLANK(Data[[#This Row],[Customer Rating]]),"No Rating",IF(Data[[#This Row],[Customer Rating]]&gt;=9,"Promoter",IF(Data[[#This Row],[Customer Rating]]&gt;=7,"Passive","Detractor")))</f>
        <v>Passive</v>
      </c>
    </row>
    <row r="576" spans="1:17" ht="14.25" customHeight="1" x14ac:dyDescent="0.3">
      <c r="A576" s="1" t="s">
        <v>602</v>
      </c>
      <c r="B576" s="1" t="s">
        <v>19</v>
      </c>
      <c r="C576" s="1" t="s">
        <v>16</v>
      </c>
      <c r="D576" s="1" t="str">
        <f>IF(Data[[#This Row],[Cancellation Status]]="No", "High Potential", "Normal")</f>
        <v>High Potential</v>
      </c>
      <c r="E576" s="2">
        <v>45934</v>
      </c>
      <c r="F576" s="2">
        <v>45936</v>
      </c>
      <c r="G576" s="2">
        <v>45940</v>
      </c>
      <c r="H576" s="2">
        <v>45942</v>
      </c>
      <c r="I576" s="1" t="s">
        <v>17</v>
      </c>
      <c r="K576" s="2">
        <v>45971</v>
      </c>
      <c r="L576" s="88">
        <f>IF(OR(Data[[#This Row],[Service Follow-up Date]]="",Data[[#This Row],[Delivery Date]]=""),"",INT(Data[[#This Row],[Service Follow-up Date]]-Data[[#This Row],[Delivery Date]]))</f>
        <v>29</v>
      </c>
      <c r="M576" s="1">
        <v>2</v>
      </c>
      <c r="N576" s="1">
        <v>4</v>
      </c>
      <c r="O576" s="1">
        <v>2</v>
      </c>
      <c r="P576" s="1">
        <v>0</v>
      </c>
      <c r="Q576" t="str">
        <f>IF(ISBLANK(Data[[#This Row],[Customer Rating]]),"No Rating",IF(Data[[#This Row],[Customer Rating]]&gt;=9,"Promoter",IF(Data[[#This Row],[Customer Rating]]&gt;=7,"Passive","Detractor")))</f>
        <v>Detractor</v>
      </c>
    </row>
    <row r="577" spans="1:17" ht="14.25" customHeight="1" x14ac:dyDescent="0.3">
      <c r="A577" s="1" t="s">
        <v>603</v>
      </c>
      <c r="B577" s="1" t="s">
        <v>15</v>
      </c>
      <c r="C577" s="1" t="s">
        <v>30</v>
      </c>
      <c r="D577" s="1" t="str">
        <f>IF(Data[[#This Row],[Cancellation Status]]="No", "High Potential", "Normal")</f>
        <v>High Potential</v>
      </c>
      <c r="E577" s="2">
        <v>45945</v>
      </c>
      <c r="F577" s="2">
        <v>45949</v>
      </c>
      <c r="G577" s="2">
        <v>45953</v>
      </c>
      <c r="H577" s="2">
        <v>45955</v>
      </c>
      <c r="I577" s="1" t="s">
        <v>17</v>
      </c>
      <c r="K577" s="2">
        <v>45984</v>
      </c>
      <c r="L577" s="88">
        <f>IF(OR(Data[[#This Row],[Service Follow-up Date]]="",Data[[#This Row],[Delivery Date]]=""),"",INT(Data[[#This Row],[Service Follow-up Date]]-Data[[#This Row],[Delivery Date]]))</f>
        <v>29</v>
      </c>
      <c r="M577" s="1">
        <v>4</v>
      </c>
      <c r="N577" s="1">
        <v>4</v>
      </c>
      <c r="O577" s="1">
        <v>2</v>
      </c>
      <c r="P577" s="1">
        <v>10</v>
      </c>
      <c r="Q577" t="str">
        <f>IF(ISBLANK(Data[[#This Row],[Customer Rating]]),"No Rating",IF(Data[[#This Row],[Customer Rating]]&gt;=9,"Promoter",IF(Data[[#This Row],[Customer Rating]]&gt;=7,"Passive","Detractor")))</f>
        <v>Promoter</v>
      </c>
    </row>
    <row r="578" spans="1:17" ht="14.25" customHeight="1" x14ac:dyDescent="0.3">
      <c r="A578" s="1" t="s">
        <v>604</v>
      </c>
      <c r="B578" s="1" t="s">
        <v>15</v>
      </c>
      <c r="C578" s="1" t="s">
        <v>16</v>
      </c>
      <c r="D578" s="1" t="str">
        <f>IF(Data[[#This Row],[Cancellation Status]]="No", "High Potential", "Normal")</f>
        <v>High Potential</v>
      </c>
      <c r="E578" s="2">
        <v>45936</v>
      </c>
      <c r="F578" s="2">
        <v>45940</v>
      </c>
      <c r="G578" s="2">
        <v>45944</v>
      </c>
      <c r="H578" s="2">
        <v>45951</v>
      </c>
      <c r="I578" s="1" t="s">
        <v>17</v>
      </c>
      <c r="K578" s="2">
        <v>45970</v>
      </c>
      <c r="L578" s="88">
        <f>IF(OR(Data[[#This Row],[Service Follow-up Date]]="",Data[[#This Row],[Delivery Date]]=""),"",INT(Data[[#This Row],[Service Follow-up Date]]-Data[[#This Row],[Delivery Date]]))</f>
        <v>19</v>
      </c>
      <c r="M578" s="1">
        <v>4</v>
      </c>
      <c r="N578" s="1">
        <v>4</v>
      </c>
      <c r="O578" s="1">
        <v>7</v>
      </c>
      <c r="P578" s="1">
        <v>7</v>
      </c>
      <c r="Q578" t="str">
        <f>IF(ISBLANK(Data[[#This Row],[Customer Rating]]),"No Rating",IF(Data[[#This Row],[Customer Rating]]&gt;=9,"Promoter",IF(Data[[#This Row],[Customer Rating]]&gt;=7,"Passive","Detractor")))</f>
        <v>Passive</v>
      </c>
    </row>
    <row r="579" spans="1:17" ht="14.25" customHeight="1" x14ac:dyDescent="0.3">
      <c r="A579" s="1" t="s">
        <v>605</v>
      </c>
      <c r="B579" s="1" t="s">
        <v>21</v>
      </c>
      <c r="C579" s="1" t="s">
        <v>30</v>
      </c>
      <c r="D579" s="1" t="str">
        <f>IF(Data[[#This Row],[Cancellation Status]]="No", "High Potential", "Normal")</f>
        <v>High Potential</v>
      </c>
      <c r="E579" s="2">
        <v>45953</v>
      </c>
      <c r="F579" s="2">
        <v>45955</v>
      </c>
      <c r="G579" s="2">
        <v>45957</v>
      </c>
      <c r="H579" s="2">
        <v>45960</v>
      </c>
      <c r="I579" s="1" t="s">
        <v>17</v>
      </c>
      <c r="K579" s="2">
        <v>45979</v>
      </c>
      <c r="L579" s="88">
        <f>IF(OR(Data[[#This Row],[Service Follow-up Date]]="",Data[[#This Row],[Delivery Date]]=""),"",INT(Data[[#This Row],[Service Follow-up Date]]-Data[[#This Row],[Delivery Date]]))</f>
        <v>19</v>
      </c>
      <c r="M579" s="1">
        <v>2</v>
      </c>
      <c r="N579" s="1">
        <v>2</v>
      </c>
      <c r="O579" s="1">
        <v>3</v>
      </c>
      <c r="P579" s="1">
        <v>3</v>
      </c>
      <c r="Q579" t="str">
        <f>IF(ISBLANK(Data[[#This Row],[Customer Rating]]),"No Rating",IF(Data[[#This Row],[Customer Rating]]&gt;=9,"Promoter",IF(Data[[#This Row],[Customer Rating]]&gt;=7,"Passive","Detractor")))</f>
        <v>Detractor</v>
      </c>
    </row>
    <row r="580" spans="1:17" ht="14.25" customHeight="1" x14ac:dyDescent="0.3">
      <c r="A580" s="1" t="s">
        <v>606</v>
      </c>
      <c r="B580" s="1" t="s">
        <v>32</v>
      </c>
      <c r="C580" s="1" t="s">
        <v>30</v>
      </c>
      <c r="D580" s="1" t="str">
        <f>IF(Data[[#This Row],[Cancellation Status]]="No", "High Potential", "Normal")</f>
        <v>High Potential</v>
      </c>
      <c r="E580" s="2">
        <v>45940</v>
      </c>
      <c r="F580" s="2">
        <v>45942</v>
      </c>
      <c r="G580" s="2">
        <v>45945</v>
      </c>
      <c r="H580" s="2">
        <v>45952</v>
      </c>
      <c r="I580" s="1" t="s">
        <v>17</v>
      </c>
      <c r="K580" s="2">
        <v>45965</v>
      </c>
      <c r="L580" s="88">
        <f>IF(OR(Data[[#This Row],[Service Follow-up Date]]="",Data[[#This Row],[Delivery Date]]=""),"",INT(Data[[#This Row],[Service Follow-up Date]]-Data[[#This Row],[Delivery Date]]))</f>
        <v>13</v>
      </c>
      <c r="M580" s="1">
        <v>2</v>
      </c>
      <c r="N580" s="1">
        <v>3</v>
      </c>
      <c r="O580" s="1">
        <v>7</v>
      </c>
      <c r="P580" s="1">
        <v>6</v>
      </c>
      <c r="Q580" t="str">
        <f>IF(ISBLANK(Data[[#This Row],[Customer Rating]]),"No Rating",IF(Data[[#This Row],[Customer Rating]]&gt;=9,"Promoter",IF(Data[[#This Row],[Customer Rating]]&gt;=7,"Passive","Detractor")))</f>
        <v>Detractor</v>
      </c>
    </row>
    <row r="581" spans="1:17" ht="14.25" customHeight="1" x14ac:dyDescent="0.3">
      <c r="A581" s="1" t="s">
        <v>607</v>
      </c>
      <c r="B581" s="1" t="s">
        <v>32</v>
      </c>
      <c r="C581" s="1" t="s">
        <v>30</v>
      </c>
      <c r="D581" s="1" t="str">
        <f>IF(Data[[#This Row],[Cancellation Status]]="No", "High Potential", "Normal")</f>
        <v>High Potential</v>
      </c>
      <c r="E581" s="2">
        <v>45959</v>
      </c>
      <c r="F581" s="2">
        <v>45960</v>
      </c>
      <c r="G581" s="2">
        <v>45962</v>
      </c>
      <c r="H581" s="2">
        <v>45964</v>
      </c>
      <c r="I581" s="1" t="s">
        <v>17</v>
      </c>
      <c r="K581" s="2">
        <v>45989</v>
      </c>
      <c r="L581" s="88">
        <f>IF(OR(Data[[#This Row],[Service Follow-up Date]]="",Data[[#This Row],[Delivery Date]]=""),"",INT(Data[[#This Row],[Service Follow-up Date]]-Data[[#This Row],[Delivery Date]]))</f>
        <v>25</v>
      </c>
      <c r="M581" s="1">
        <v>1</v>
      </c>
      <c r="N581" s="1">
        <v>2</v>
      </c>
      <c r="O581" s="1">
        <v>2</v>
      </c>
      <c r="P581" s="1">
        <v>9</v>
      </c>
      <c r="Q581" t="str">
        <f>IF(ISBLANK(Data[[#This Row],[Customer Rating]]),"No Rating",IF(Data[[#This Row],[Customer Rating]]&gt;=9,"Promoter",IF(Data[[#This Row],[Customer Rating]]&gt;=7,"Passive","Detractor")))</f>
        <v>Promoter</v>
      </c>
    </row>
    <row r="582" spans="1:17" ht="14.25" customHeight="1" x14ac:dyDescent="0.3">
      <c r="A582" s="1" t="s">
        <v>608</v>
      </c>
      <c r="B582" s="1" t="s">
        <v>21</v>
      </c>
      <c r="C582" s="1" t="s">
        <v>16</v>
      </c>
      <c r="D582" s="1" t="str">
        <f>IF(Data[[#This Row],[Cancellation Status]]="No", "High Potential", "Normal")</f>
        <v>High Potential</v>
      </c>
      <c r="E582" s="2">
        <v>45931</v>
      </c>
      <c r="F582" s="2">
        <v>45935</v>
      </c>
      <c r="G582" s="2">
        <v>45937</v>
      </c>
      <c r="H582" s="2">
        <v>45940</v>
      </c>
      <c r="I582" s="1" t="s">
        <v>17</v>
      </c>
      <c r="K582" s="2">
        <v>45952</v>
      </c>
      <c r="L582" s="88">
        <f>IF(OR(Data[[#This Row],[Service Follow-up Date]]="",Data[[#This Row],[Delivery Date]]=""),"",INT(Data[[#This Row],[Service Follow-up Date]]-Data[[#This Row],[Delivery Date]]))</f>
        <v>12</v>
      </c>
      <c r="M582" s="1">
        <v>4</v>
      </c>
      <c r="N582" s="1">
        <v>2</v>
      </c>
      <c r="O582" s="1">
        <v>3</v>
      </c>
      <c r="P582" s="1">
        <v>6</v>
      </c>
      <c r="Q582" t="str">
        <f>IF(ISBLANK(Data[[#This Row],[Customer Rating]]),"No Rating",IF(Data[[#This Row],[Customer Rating]]&gt;=9,"Promoter",IF(Data[[#This Row],[Customer Rating]]&gt;=7,"Passive","Detractor")))</f>
        <v>Detractor</v>
      </c>
    </row>
    <row r="583" spans="1:17" ht="14.25" customHeight="1" x14ac:dyDescent="0.3">
      <c r="A583" s="1" t="s">
        <v>609</v>
      </c>
      <c r="B583" s="1" t="s">
        <v>32</v>
      </c>
      <c r="C583" s="1" t="s">
        <v>16</v>
      </c>
      <c r="D583" s="1" t="str">
        <f>IF(Data[[#This Row],[Cancellation Status]]="No", "High Potential", "Normal")</f>
        <v>High Potential</v>
      </c>
      <c r="E583" s="2">
        <v>45932</v>
      </c>
      <c r="F583" s="2">
        <v>45933</v>
      </c>
      <c r="G583" s="2">
        <v>45938</v>
      </c>
      <c r="H583" s="2">
        <v>45943</v>
      </c>
      <c r="I583" s="1" t="s">
        <v>17</v>
      </c>
      <c r="K583" s="2">
        <v>45963</v>
      </c>
      <c r="L583" s="88">
        <f>IF(OR(Data[[#This Row],[Service Follow-up Date]]="",Data[[#This Row],[Delivery Date]]=""),"",INT(Data[[#This Row],[Service Follow-up Date]]-Data[[#This Row],[Delivery Date]]))</f>
        <v>20</v>
      </c>
      <c r="M583" s="1">
        <v>1</v>
      </c>
      <c r="N583" s="1">
        <v>5</v>
      </c>
      <c r="O583" s="1">
        <v>5</v>
      </c>
      <c r="P583" s="1">
        <v>3</v>
      </c>
      <c r="Q583" t="str">
        <f>IF(ISBLANK(Data[[#This Row],[Customer Rating]]),"No Rating",IF(Data[[#This Row],[Customer Rating]]&gt;=9,"Promoter",IF(Data[[#This Row],[Customer Rating]]&gt;=7,"Passive","Detractor")))</f>
        <v>Detractor</v>
      </c>
    </row>
    <row r="584" spans="1:17" ht="14.25" customHeight="1" x14ac:dyDescent="0.3">
      <c r="A584" s="1" t="s">
        <v>610</v>
      </c>
      <c r="B584" s="1" t="s">
        <v>32</v>
      </c>
      <c r="C584" s="1" t="s">
        <v>16</v>
      </c>
      <c r="D584" s="1" t="str">
        <f>IF(Data[[#This Row],[Cancellation Status]]="No", "High Potential", "Normal")</f>
        <v>High Potential</v>
      </c>
      <c r="E584" s="2">
        <v>45941</v>
      </c>
      <c r="F584" s="2">
        <v>45944</v>
      </c>
      <c r="G584" s="2">
        <v>45948</v>
      </c>
      <c r="H584" s="2">
        <v>45952</v>
      </c>
      <c r="I584" s="1" t="s">
        <v>17</v>
      </c>
      <c r="K584" s="2">
        <v>45970</v>
      </c>
      <c r="L584" s="88">
        <f>IF(OR(Data[[#This Row],[Service Follow-up Date]]="",Data[[#This Row],[Delivery Date]]=""),"",INT(Data[[#This Row],[Service Follow-up Date]]-Data[[#This Row],[Delivery Date]]))</f>
        <v>18</v>
      </c>
      <c r="M584" s="1">
        <v>3</v>
      </c>
      <c r="N584" s="1">
        <v>4</v>
      </c>
      <c r="O584" s="1">
        <v>4</v>
      </c>
      <c r="P584" s="1">
        <v>1</v>
      </c>
      <c r="Q584" t="str">
        <f>IF(ISBLANK(Data[[#This Row],[Customer Rating]]),"No Rating",IF(Data[[#This Row],[Customer Rating]]&gt;=9,"Promoter",IF(Data[[#This Row],[Customer Rating]]&gt;=7,"Passive","Detractor")))</f>
        <v>Detractor</v>
      </c>
    </row>
    <row r="585" spans="1:17" ht="14.25" customHeight="1" x14ac:dyDescent="0.3">
      <c r="A585" s="1" t="s">
        <v>611</v>
      </c>
      <c r="B585" s="1" t="s">
        <v>32</v>
      </c>
      <c r="C585" s="1" t="s">
        <v>16</v>
      </c>
      <c r="D585" s="1" t="str">
        <f>IF(Data[[#This Row],[Cancellation Status]]="No", "High Potential", "Normal")</f>
        <v>High Potential</v>
      </c>
      <c r="E585" s="2">
        <v>45956</v>
      </c>
      <c r="F585" s="2">
        <v>45958</v>
      </c>
      <c r="G585" s="2">
        <v>45960</v>
      </c>
      <c r="H585" s="2">
        <v>45966</v>
      </c>
      <c r="I585" s="1" t="s">
        <v>17</v>
      </c>
      <c r="K585" s="2">
        <v>45996</v>
      </c>
      <c r="L585" s="88">
        <f>IF(OR(Data[[#This Row],[Service Follow-up Date]]="",Data[[#This Row],[Delivery Date]]=""),"",INT(Data[[#This Row],[Service Follow-up Date]]-Data[[#This Row],[Delivery Date]]))</f>
        <v>30</v>
      </c>
      <c r="M585" s="1">
        <v>2</v>
      </c>
      <c r="N585" s="1">
        <v>2</v>
      </c>
      <c r="O585" s="1">
        <v>6</v>
      </c>
      <c r="P585" s="1">
        <v>5</v>
      </c>
      <c r="Q585" t="str">
        <f>IF(ISBLANK(Data[[#This Row],[Customer Rating]]),"No Rating",IF(Data[[#This Row],[Customer Rating]]&gt;=9,"Promoter",IF(Data[[#This Row],[Customer Rating]]&gt;=7,"Passive","Detractor")))</f>
        <v>Detractor</v>
      </c>
    </row>
    <row r="586" spans="1:17" ht="14.25" customHeight="1" x14ac:dyDescent="0.3">
      <c r="A586" s="1" t="s">
        <v>612</v>
      </c>
      <c r="B586" s="1" t="s">
        <v>32</v>
      </c>
      <c r="C586" s="1" t="s">
        <v>16</v>
      </c>
      <c r="D586" s="1" t="str">
        <f>IF(Data[[#This Row],[Cancellation Status]]="No", "High Potential", "Normal")</f>
        <v>Normal</v>
      </c>
      <c r="E586" s="2">
        <v>45932</v>
      </c>
      <c r="F586" s="2">
        <v>45933</v>
      </c>
      <c r="G586" s="2">
        <v>45938</v>
      </c>
      <c r="H586" s="2">
        <v>45944</v>
      </c>
      <c r="I586" s="1" t="s">
        <v>23</v>
      </c>
      <c r="J586" s="1" t="s">
        <v>33</v>
      </c>
      <c r="L586" s="88" t="str">
        <f>IF(OR(Data[[#This Row],[Service Follow-up Date]]="",Data[[#This Row],[Delivery Date]]=""),"",INT(Data[[#This Row],[Service Follow-up Date]]-Data[[#This Row],[Delivery Date]]))</f>
        <v/>
      </c>
      <c r="M586" s="1">
        <v>1</v>
      </c>
      <c r="N586" s="1">
        <v>5</v>
      </c>
      <c r="O586" s="1">
        <v>6</v>
      </c>
      <c r="Q586" t="str">
        <f>IF(ISBLANK(Data[[#This Row],[Customer Rating]]),"No Rating",IF(Data[[#This Row],[Customer Rating]]&gt;=9,"Promoter",IF(Data[[#This Row],[Customer Rating]]&gt;=7,"Passive","Detractor")))</f>
        <v>No Rating</v>
      </c>
    </row>
    <row r="587" spans="1:17" ht="14.25" customHeight="1" x14ac:dyDescent="0.3">
      <c r="A587" s="1" t="s">
        <v>613</v>
      </c>
      <c r="B587" s="1" t="s">
        <v>32</v>
      </c>
      <c r="C587" s="1" t="s">
        <v>30</v>
      </c>
      <c r="D587" s="1" t="str">
        <f>IF(Data[[#This Row],[Cancellation Status]]="No", "High Potential", "Normal")</f>
        <v>High Potential</v>
      </c>
      <c r="E587" s="2">
        <v>45940</v>
      </c>
      <c r="F587" s="2">
        <v>45942</v>
      </c>
      <c r="G587" s="2">
        <v>45943</v>
      </c>
      <c r="H587" s="2">
        <v>45950</v>
      </c>
      <c r="I587" s="1" t="s">
        <v>17</v>
      </c>
      <c r="K587" s="2">
        <v>45970</v>
      </c>
      <c r="L587" s="88">
        <f>IF(OR(Data[[#This Row],[Service Follow-up Date]]="",Data[[#This Row],[Delivery Date]]=""),"",INT(Data[[#This Row],[Service Follow-up Date]]-Data[[#This Row],[Delivery Date]]))</f>
        <v>20</v>
      </c>
      <c r="M587" s="1">
        <v>2</v>
      </c>
      <c r="N587" s="1">
        <v>1</v>
      </c>
      <c r="O587" s="1">
        <v>7</v>
      </c>
      <c r="P587" s="1">
        <v>5</v>
      </c>
      <c r="Q587" t="str">
        <f>IF(ISBLANK(Data[[#This Row],[Customer Rating]]),"No Rating",IF(Data[[#This Row],[Customer Rating]]&gt;=9,"Promoter",IF(Data[[#This Row],[Customer Rating]]&gt;=7,"Passive","Detractor")))</f>
        <v>Detractor</v>
      </c>
    </row>
    <row r="588" spans="1:17" ht="14.25" customHeight="1" x14ac:dyDescent="0.3">
      <c r="A588" s="1" t="s">
        <v>614</v>
      </c>
      <c r="B588" s="1" t="s">
        <v>15</v>
      </c>
      <c r="C588" s="1" t="s">
        <v>16</v>
      </c>
      <c r="D588" s="1" t="str">
        <f>IF(Data[[#This Row],[Cancellation Status]]="No", "High Potential", "Normal")</f>
        <v>High Potential</v>
      </c>
      <c r="E588" s="2">
        <v>45942</v>
      </c>
      <c r="F588" s="2">
        <v>45943</v>
      </c>
      <c r="G588" s="2">
        <v>45948</v>
      </c>
      <c r="H588" s="2">
        <v>45952</v>
      </c>
      <c r="I588" s="1" t="s">
        <v>17</v>
      </c>
      <c r="K588" s="2">
        <v>45970</v>
      </c>
      <c r="L588" s="88">
        <f>IF(OR(Data[[#This Row],[Service Follow-up Date]]="",Data[[#This Row],[Delivery Date]]=""),"",INT(Data[[#This Row],[Service Follow-up Date]]-Data[[#This Row],[Delivery Date]]))</f>
        <v>18</v>
      </c>
      <c r="M588" s="1">
        <v>1</v>
      </c>
      <c r="N588" s="1">
        <v>5</v>
      </c>
      <c r="O588" s="1">
        <v>4</v>
      </c>
      <c r="P588" s="1">
        <v>8</v>
      </c>
      <c r="Q588" t="str">
        <f>IF(ISBLANK(Data[[#This Row],[Customer Rating]]),"No Rating",IF(Data[[#This Row],[Customer Rating]]&gt;=9,"Promoter",IF(Data[[#This Row],[Customer Rating]]&gt;=7,"Passive","Detractor")))</f>
        <v>Passive</v>
      </c>
    </row>
    <row r="589" spans="1:17" ht="14.25" customHeight="1" x14ac:dyDescent="0.3">
      <c r="A589" s="1" t="s">
        <v>615</v>
      </c>
      <c r="B589" s="1" t="s">
        <v>32</v>
      </c>
      <c r="C589" s="1" t="s">
        <v>22</v>
      </c>
      <c r="D589" s="1" t="str">
        <f>IF(Data[[#This Row],[Cancellation Status]]="No", "High Potential", "Normal")</f>
        <v>Normal</v>
      </c>
      <c r="E589" s="2">
        <v>45942</v>
      </c>
      <c r="I589" s="1" t="s">
        <v>23</v>
      </c>
      <c r="J589" s="1" t="s">
        <v>33</v>
      </c>
      <c r="L589" s="88" t="str">
        <f>IF(OR(Data[[#This Row],[Service Follow-up Date]]="",Data[[#This Row],[Delivery Date]]=""),"",INT(Data[[#This Row],[Service Follow-up Date]]-Data[[#This Row],[Delivery Date]]))</f>
        <v/>
      </c>
      <c r="Q589" t="str">
        <f>IF(ISBLANK(Data[[#This Row],[Customer Rating]]),"No Rating",IF(Data[[#This Row],[Customer Rating]]&gt;=9,"Promoter",IF(Data[[#This Row],[Customer Rating]]&gt;=7,"Passive","Detractor")))</f>
        <v>No Rating</v>
      </c>
    </row>
    <row r="590" spans="1:17" ht="14.25" customHeight="1" x14ac:dyDescent="0.3">
      <c r="A590" s="1" t="s">
        <v>616</v>
      </c>
      <c r="B590" s="1" t="s">
        <v>15</v>
      </c>
      <c r="C590" s="1" t="s">
        <v>16</v>
      </c>
      <c r="D590" s="1" t="str">
        <f>IF(Data[[#This Row],[Cancellation Status]]="No", "High Potential", "Normal")</f>
        <v>Normal</v>
      </c>
      <c r="E590" s="2">
        <v>45944</v>
      </c>
      <c r="F590" s="2">
        <v>45947</v>
      </c>
      <c r="G590" s="2">
        <v>45948</v>
      </c>
      <c r="H590" s="2">
        <v>45951</v>
      </c>
      <c r="I590" s="1" t="s">
        <v>23</v>
      </c>
      <c r="J590" s="1" t="s">
        <v>101</v>
      </c>
      <c r="L590" s="88" t="str">
        <f>IF(OR(Data[[#This Row],[Service Follow-up Date]]="",Data[[#This Row],[Delivery Date]]=""),"",INT(Data[[#This Row],[Service Follow-up Date]]-Data[[#This Row],[Delivery Date]]))</f>
        <v/>
      </c>
      <c r="M590" s="1">
        <v>3</v>
      </c>
      <c r="N590" s="1">
        <v>1</v>
      </c>
      <c r="O590" s="1">
        <v>3</v>
      </c>
      <c r="Q590" t="str">
        <f>IF(ISBLANK(Data[[#This Row],[Customer Rating]]),"No Rating",IF(Data[[#This Row],[Customer Rating]]&gt;=9,"Promoter",IF(Data[[#This Row],[Customer Rating]]&gt;=7,"Passive","Detractor")))</f>
        <v>No Rating</v>
      </c>
    </row>
    <row r="591" spans="1:17" ht="14.25" customHeight="1" x14ac:dyDescent="0.3">
      <c r="A591" s="1" t="s">
        <v>617</v>
      </c>
      <c r="B591" s="1" t="s">
        <v>32</v>
      </c>
      <c r="C591" s="1" t="s">
        <v>16</v>
      </c>
      <c r="D591" s="1" t="str">
        <f>IF(Data[[#This Row],[Cancellation Status]]="No", "High Potential", "Normal")</f>
        <v>High Potential</v>
      </c>
      <c r="E591" s="2">
        <v>45935</v>
      </c>
      <c r="F591" s="2">
        <v>45938</v>
      </c>
      <c r="G591" s="2">
        <v>45939</v>
      </c>
      <c r="H591" s="2">
        <v>45943</v>
      </c>
      <c r="I591" s="1" t="s">
        <v>17</v>
      </c>
      <c r="K591" s="2">
        <v>45961</v>
      </c>
      <c r="L591" s="88">
        <f>IF(OR(Data[[#This Row],[Service Follow-up Date]]="",Data[[#This Row],[Delivery Date]]=""),"",INT(Data[[#This Row],[Service Follow-up Date]]-Data[[#This Row],[Delivery Date]]))</f>
        <v>18</v>
      </c>
      <c r="M591" s="1">
        <v>3</v>
      </c>
      <c r="N591" s="1">
        <v>1</v>
      </c>
      <c r="O591" s="1">
        <v>4</v>
      </c>
      <c r="P591" s="1">
        <v>9</v>
      </c>
      <c r="Q591" t="str">
        <f>IF(ISBLANK(Data[[#This Row],[Customer Rating]]),"No Rating",IF(Data[[#This Row],[Customer Rating]]&gt;=9,"Promoter",IF(Data[[#This Row],[Customer Rating]]&gt;=7,"Passive","Detractor")))</f>
        <v>Promoter</v>
      </c>
    </row>
    <row r="592" spans="1:17" ht="14.25" customHeight="1" x14ac:dyDescent="0.3">
      <c r="A592" s="1" t="s">
        <v>618</v>
      </c>
      <c r="B592" s="1" t="s">
        <v>21</v>
      </c>
      <c r="C592" s="1" t="s">
        <v>22</v>
      </c>
      <c r="D592" s="1" t="str">
        <f>IF(Data[[#This Row],[Cancellation Status]]="No", "High Potential", "Normal")</f>
        <v>Normal</v>
      </c>
      <c r="E592" s="2">
        <v>45938</v>
      </c>
      <c r="I592" s="1" t="s">
        <v>23</v>
      </c>
      <c r="J592" s="1" t="s">
        <v>63</v>
      </c>
      <c r="L592" s="88" t="str">
        <f>IF(OR(Data[[#This Row],[Service Follow-up Date]]="",Data[[#This Row],[Delivery Date]]=""),"",INT(Data[[#This Row],[Service Follow-up Date]]-Data[[#This Row],[Delivery Date]]))</f>
        <v/>
      </c>
      <c r="Q592" t="str">
        <f>IF(ISBLANK(Data[[#This Row],[Customer Rating]]),"No Rating",IF(Data[[#This Row],[Customer Rating]]&gt;=9,"Promoter",IF(Data[[#This Row],[Customer Rating]]&gt;=7,"Passive","Detractor")))</f>
        <v>No Rating</v>
      </c>
    </row>
    <row r="593" spans="1:17" ht="14.25" customHeight="1" x14ac:dyDescent="0.3">
      <c r="A593" s="1" t="s">
        <v>619</v>
      </c>
      <c r="B593" s="1" t="s">
        <v>19</v>
      </c>
      <c r="C593" s="1" t="s">
        <v>16</v>
      </c>
      <c r="D593" s="1" t="str">
        <f>IF(Data[[#This Row],[Cancellation Status]]="No", "High Potential", "Normal")</f>
        <v>High Potential</v>
      </c>
      <c r="E593" s="2">
        <v>45947</v>
      </c>
      <c r="F593" s="2">
        <v>45952</v>
      </c>
      <c r="G593" s="2">
        <v>45953</v>
      </c>
      <c r="H593" s="2">
        <v>45956</v>
      </c>
      <c r="I593" s="1" t="s">
        <v>17</v>
      </c>
      <c r="K593" s="2">
        <v>45986</v>
      </c>
      <c r="L593" s="88">
        <f>IF(OR(Data[[#This Row],[Service Follow-up Date]]="",Data[[#This Row],[Delivery Date]]=""),"",INT(Data[[#This Row],[Service Follow-up Date]]-Data[[#This Row],[Delivery Date]]))</f>
        <v>30</v>
      </c>
      <c r="M593" s="1">
        <v>5</v>
      </c>
      <c r="N593" s="1">
        <v>1</v>
      </c>
      <c r="O593" s="1">
        <v>3</v>
      </c>
      <c r="P593" s="1">
        <v>0</v>
      </c>
      <c r="Q593" t="str">
        <f>IF(ISBLANK(Data[[#This Row],[Customer Rating]]),"No Rating",IF(Data[[#This Row],[Customer Rating]]&gt;=9,"Promoter",IF(Data[[#This Row],[Customer Rating]]&gt;=7,"Passive","Detractor")))</f>
        <v>Detractor</v>
      </c>
    </row>
    <row r="594" spans="1:17" ht="14.25" customHeight="1" x14ac:dyDescent="0.3">
      <c r="A594" s="1" t="s">
        <v>620</v>
      </c>
      <c r="B594" s="1" t="s">
        <v>15</v>
      </c>
      <c r="C594" s="1" t="s">
        <v>30</v>
      </c>
      <c r="D594" s="1" t="str">
        <f>IF(Data[[#This Row],[Cancellation Status]]="No", "High Potential", "Normal")</f>
        <v>Normal</v>
      </c>
      <c r="E594" s="2">
        <v>45944</v>
      </c>
      <c r="F594" s="2">
        <v>45948</v>
      </c>
      <c r="G594" s="2">
        <v>45949</v>
      </c>
      <c r="H594" s="2">
        <v>45956</v>
      </c>
      <c r="I594" s="1" t="s">
        <v>23</v>
      </c>
      <c r="J594" s="1" t="s">
        <v>24</v>
      </c>
      <c r="L594" s="88" t="str">
        <f>IF(OR(Data[[#This Row],[Service Follow-up Date]]="",Data[[#This Row],[Delivery Date]]=""),"",INT(Data[[#This Row],[Service Follow-up Date]]-Data[[#This Row],[Delivery Date]]))</f>
        <v/>
      </c>
      <c r="M594" s="1">
        <v>4</v>
      </c>
      <c r="N594" s="1">
        <v>1</v>
      </c>
      <c r="O594" s="1">
        <v>7</v>
      </c>
      <c r="Q594" t="str">
        <f>IF(ISBLANK(Data[[#This Row],[Customer Rating]]),"No Rating",IF(Data[[#This Row],[Customer Rating]]&gt;=9,"Promoter",IF(Data[[#This Row],[Customer Rating]]&gt;=7,"Passive","Detractor")))</f>
        <v>No Rating</v>
      </c>
    </row>
    <row r="595" spans="1:17" ht="14.25" customHeight="1" x14ac:dyDescent="0.3">
      <c r="A595" s="1" t="s">
        <v>621</v>
      </c>
      <c r="B595" s="1" t="s">
        <v>32</v>
      </c>
      <c r="C595" s="1" t="s">
        <v>16</v>
      </c>
      <c r="D595" s="1" t="str">
        <f>IF(Data[[#This Row],[Cancellation Status]]="No", "High Potential", "Normal")</f>
        <v>High Potential</v>
      </c>
      <c r="E595" s="2">
        <v>45949</v>
      </c>
      <c r="F595" s="2">
        <v>45954</v>
      </c>
      <c r="G595" s="2">
        <v>45958</v>
      </c>
      <c r="H595" s="2">
        <v>45962</v>
      </c>
      <c r="I595" s="1" t="s">
        <v>17</v>
      </c>
      <c r="K595" s="2">
        <v>45992</v>
      </c>
      <c r="L595" s="88">
        <f>IF(OR(Data[[#This Row],[Service Follow-up Date]]="",Data[[#This Row],[Delivery Date]]=""),"",INT(Data[[#This Row],[Service Follow-up Date]]-Data[[#This Row],[Delivery Date]]))</f>
        <v>30</v>
      </c>
      <c r="M595" s="1">
        <v>5</v>
      </c>
      <c r="N595" s="1">
        <v>4</v>
      </c>
      <c r="O595" s="1">
        <v>4</v>
      </c>
      <c r="P595" s="1">
        <v>7</v>
      </c>
      <c r="Q595" t="str">
        <f>IF(ISBLANK(Data[[#This Row],[Customer Rating]]),"No Rating",IF(Data[[#This Row],[Customer Rating]]&gt;=9,"Promoter",IF(Data[[#This Row],[Customer Rating]]&gt;=7,"Passive","Detractor")))</f>
        <v>Passive</v>
      </c>
    </row>
    <row r="596" spans="1:17" ht="14.25" customHeight="1" x14ac:dyDescent="0.3">
      <c r="A596" s="1" t="s">
        <v>622</v>
      </c>
      <c r="B596" s="1" t="s">
        <v>21</v>
      </c>
      <c r="C596" s="1" t="s">
        <v>16</v>
      </c>
      <c r="D596" s="1" t="str">
        <f>IF(Data[[#This Row],[Cancellation Status]]="No", "High Potential", "Normal")</f>
        <v>High Potential</v>
      </c>
      <c r="E596" s="2">
        <v>45952</v>
      </c>
      <c r="F596" s="2">
        <v>45956</v>
      </c>
      <c r="G596" s="2">
        <v>45958</v>
      </c>
      <c r="H596" s="2">
        <v>45965</v>
      </c>
      <c r="I596" s="1" t="s">
        <v>17</v>
      </c>
      <c r="K596" s="2">
        <v>45984</v>
      </c>
      <c r="L596" s="88">
        <f>IF(OR(Data[[#This Row],[Service Follow-up Date]]="",Data[[#This Row],[Delivery Date]]=""),"",INT(Data[[#This Row],[Service Follow-up Date]]-Data[[#This Row],[Delivery Date]]))</f>
        <v>19</v>
      </c>
      <c r="M596" s="1">
        <v>4</v>
      </c>
      <c r="N596" s="1">
        <v>2</v>
      </c>
      <c r="O596" s="1">
        <v>7</v>
      </c>
      <c r="P596" s="1">
        <v>2</v>
      </c>
      <c r="Q596" t="str">
        <f>IF(ISBLANK(Data[[#This Row],[Customer Rating]]),"No Rating",IF(Data[[#This Row],[Customer Rating]]&gt;=9,"Promoter",IF(Data[[#This Row],[Customer Rating]]&gt;=7,"Passive","Detractor")))</f>
        <v>Detractor</v>
      </c>
    </row>
    <row r="597" spans="1:17" ht="14.25" customHeight="1" x14ac:dyDescent="0.3">
      <c r="A597" s="1" t="s">
        <v>623</v>
      </c>
      <c r="B597" s="1" t="s">
        <v>19</v>
      </c>
      <c r="C597" s="1" t="s">
        <v>16</v>
      </c>
      <c r="D597" s="1" t="str">
        <f>IF(Data[[#This Row],[Cancellation Status]]="No", "High Potential", "Normal")</f>
        <v>High Potential</v>
      </c>
      <c r="E597" s="2">
        <v>45956</v>
      </c>
      <c r="F597" s="2">
        <v>45959</v>
      </c>
      <c r="G597" s="2">
        <v>45961</v>
      </c>
      <c r="H597" s="2">
        <v>45963</v>
      </c>
      <c r="I597" s="1" t="s">
        <v>17</v>
      </c>
      <c r="K597" s="2">
        <v>45979</v>
      </c>
      <c r="L597" s="88">
        <f>IF(OR(Data[[#This Row],[Service Follow-up Date]]="",Data[[#This Row],[Delivery Date]]=""),"",INT(Data[[#This Row],[Service Follow-up Date]]-Data[[#This Row],[Delivery Date]]))</f>
        <v>16</v>
      </c>
      <c r="M597" s="1">
        <v>3</v>
      </c>
      <c r="N597" s="1">
        <v>2</v>
      </c>
      <c r="O597" s="1">
        <v>2</v>
      </c>
      <c r="P597" s="1">
        <v>8</v>
      </c>
      <c r="Q597" t="str">
        <f>IF(ISBLANK(Data[[#This Row],[Customer Rating]]),"No Rating",IF(Data[[#This Row],[Customer Rating]]&gt;=9,"Promoter",IF(Data[[#This Row],[Customer Rating]]&gt;=7,"Passive","Detractor")))</f>
        <v>Passive</v>
      </c>
    </row>
    <row r="598" spans="1:17" ht="14.25" customHeight="1" x14ac:dyDescent="0.3">
      <c r="A598" s="1" t="s">
        <v>624</v>
      </c>
      <c r="B598" s="1" t="s">
        <v>15</v>
      </c>
      <c r="C598" s="1" t="s">
        <v>16</v>
      </c>
      <c r="D598" s="1" t="str">
        <f>IF(Data[[#This Row],[Cancellation Status]]="No", "High Potential", "Normal")</f>
        <v>Normal</v>
      </c>
      <c r="E598" s="2">
        <v>45936</v>
      </c>
      <c r="F598" s="2">
        <v>45937</v>
      </c>
      <c r="G598" s="2">
        <v>45938</v>
      </c>
      <c r="H598" s="2">
        <v>45940</v>
      </c>
      <c r="I598" s="1" t="s">
        <v>23</v>
      </c>
      <c r="J598" s="1" t="s">
        <v>24</v>
      </c>
      <c r="L598" s="88" t="str">
        <f>IF(OR(Data[[#This Row],[Service Follow-up Date]]="",Data[[#This Row],[Delivery Date]]=""),"",INT(Data[[#This Row],[Service Follow-up Date]]-Data[[#This Row],[Delivery Date]]))</f>
        <v/>
      </c>
      <c r="M598" s="1">
        <v>1</v>
      </c>
      <c r="N598" s="1">
        <v>1</v>
      </c>
      <c r="O598" s="1">
        <v>2</v>
      </c>
      <c r="Q598" t="str">
        <f>IF(ISBLANK(Data[[#This Row],[Customer Rating]]),"No Rating",IF(Data[[#This Row],[Customer Rating]]&gt;=9,"Promoter",IF(Data[[#This Row],[Customer Rating]]&gt;=7,"Passive","Detractor")))</f>
        <v>No Rating</v>
      </c>
    </row>
    <row r="599" spans="1:17" ht="14.25" customHeight="1" x14ac:dyDescent="0.3">
      <c r="A599" s="1" t="s">
        <v>625</v>
      </c>
      <c r="B599" s="1" t="s">
        <v>19</v>
      </c>
      <c r="C599" s="1" t="s">
        <v>16</v>
      </c>
      <c r="D599" s="1" t="str">
        <f>IF(Data[[#This Row],[Cancellation Status]]="No", "High Potential", "Normal")</f>
        <v>High Potential</v>
      </c>
      <c r="E599" s="2">
        <v>45936</v>
      </c>
      <c r="F599" s="2">
        <v>45938</v>
      </c>
      <c r="G599" s="2">
        <v>45940</v>
      </c>
      <c r="H599" s="2">
        <v>45944</v>
      </c>
      <c r="I599" s="1" t="s">
        <v>17</v>
      </c>
      <c r="K599" s="2">
        <v>45958</v>
      </c>
      <c r="L599" s="88">
        <f>IF(OR(Data[[#This Row],[Service Follow-up Date]]="",Data[[#This Row],[Delivery Date]]=""),"",INT(Data[[#This Row],[Service Follow-up Date]]-Data[[#This Row],[Delivery Date]]))</f>
        <v>14</v>
      </c>
      <c r="M599" s="1">
        <v>2</v>
      </c>
      <c r="N599" s="1">
        <v>2</v>
      </c>
      <c r="O599" s="1">
        <v>4</v>
      </c>
      <c r="P599" s="1">
        <v>3</v>
      </c>
      <c r="Q599" t="str">
        <f>IF(ISBLANK(Data[[#This Row],[Customer Rating]]),"No Rating",IF(Data[[#This Row],[Customer Rating]]&gt;=9,"Promoter",IF(Data[[#This Row],[Customer Rating]]&gt;=7,"Passive","Detractor")))</f>
        <v>Detractor</v>
      </c>
    </row>
    <row r="600" spans="1:17" ht="14.25" customHeight="1" x14ac:dyDescent="0.3">
      <c r="A600" s="1" t="s">
        <v>626</v>
      </c>
      <c r="B600" s="1" t="s">
        <v>21</v>
      </c>
      <c r="C600" s="1" t="s">
        <v>16</v>
      </c>
      <c r="D600" s="1" t="str">
        <f>IF(Data[[#This Row],[Cancellation Status]]="No", "High Potential", "Normal")</f>
        <v>High Potential</v>
      </c>
      <c r="E600" s="2">
        <v>45936</v>
      </c>
      <c r="F600" s="2">
        <v>45939</v>
      </c>
      <c r="G600" s="2">
        <v>45940</v>
      </c>
      <c r="H600" s="2">
        <v>45945</v>
      </c>
      <c r="I600" s="1" t="s">
        <v>17</v>
      </c>
      <c r="K600" s="2">
        <v>45971</v>
      </c>
      <c r="L600" s="88">
        <f>IF(OR(Data[[#This Row],[Service Follow-up Date]]="",Data[[#This Row],[Delivery Date]]=""),"",INT(Data[[#This Row],[Service Follow-up Date]]-Data[[#This Row],[Delivery Date]]))</f>
        <v>26</v>
      </c>
      <c r="M600" s="1">
        <v>3</v>
      </c>
      <c r="N600" s="1">
        <v>1</v>
      </c>
      <c r="O600" s="1">
        <v>5</v>
      </c>
      <c r="P600" s="1">
        <v>1</v>
      </c>
      <c r="Q600" t="str">
        <f>IF(ISBLANK(Data[[#This Row],[Customer Rating]]),"No Rating",IF(Data[[#This Row],[Customer Rating]]&gt;=9,"Promoter",IF(Data[[#This Row],[Customer Rating]]&gt;=7,"Passive","Detractor")))</f>
        <v>Detractor</v>
      </c>
    </row>
    <row r="601" spans="1:17" ht="14.25" customHeight="1" x14ac:dyDescent="0.3">
      <c r="A601" s="1" t="s">
        <v>627</v>
      </c>
      <c r="B601" s="1" t="s">
        <v>15</v>
      </c>
      <c r="C601" s="1" t="s">
        <v>16</v>
      </c>
      <c r="D601" s="1" t="str">
        <f>IF(Data[[#This Row],[Cancellation Status]]="No", "High Potential", "Normal")</f>
        <v>High Potential</v>
      </c>
      <c r="E601" s="2">
        <v>45933</v>
      </c>
      <c r="F601" s="2">
        <v>45936</v>
      </c>
      <c r="G601" s="2">
        <v>45938</v>
      </c>
      <c r="H601" s="2">
        <v>45942</v>
      </c>
      <c r="I601" s="1" t="s">
        <v>17</v>
      </c>
      <c r="K601" s="2">
        <v>45959</v>
      </c>
      <c r="L601" s="88">
        <f>IF(OR(Data[[#This Row],[Service Follow-up Date]]="",Data[[#This Row],[Delivery Date]]=""),"",INT(Data[[#This Row],[Service Follow-up Date]]-Data[[#This Row],[Delivery Date]]))</f>
        <v>17</v>
      </c>
      <c r="M601" s="1">
        <v>3</v>
      </c>
      <c r="N601" s="1">
        <v>2</v>
      </c>
      <c r="O601" s="1">
        <v>4</v>
      </c>
      <c r="P601" s="1">
        <v>4</v>
      </c>
      <c r="Q601" t="str">
        <f>IF(ISBLANK(Data[[#This Row],[Customer Rating]]),"No Rating",IF(Data[[#This Row],[Customer Rating]]&gt;=9,"Promoter",IF(Data[[#This Row],[Customer Rating]]&gt;=7,"Passive","Detractor")))</f>
        <v>Detractor</v>
      </c>
    </row>
    <row r="602" spans="1:17" ht="14.25" customHeight="1" x14ac:dyDescent="0.3">
      <c r="A602" s="1" t="s">
        <v>628</v>
      </c>
      <c r="B602" s="1" t="s">
        <v>19</v>
      </c>
      <c r="C602" s="1" t="s">
        <v>22</v>
      </c>
      <c r="D602" s="1" t="str">
        <f>IF(Data[[#This Row],[Cancellation Status]]="No", "High Potential", "Normal")</f>
        <v>Normal</v>
      </c>
      <c r="E602" s="2">
        <v>45950</v>
      </c>
      <c r="I602" s="1" t="s">
        <v>23</v>
      </c>
      <c r="J602" s="1" t="s">
        <v>101</v>
      </c>
      <c r="L602" s="88" t="str">
        <f>IF(OR(Data[[#This Row],[Service Follow-up Date]]="",Data[[#This Row],[Delivery Date]]=""),"",INT(Data[[#This Row],[Service Follow-up Date]]-Data[[#This Row],[Delivery Date]]))</f>
        <v/>
      </c>
      <c r="Q602" t="str">
        <f>IF(ISBLANK(Data[[#This Row],[Customer Rating]]),"No Rating",IF(Data[[#This Row],[Customer Rating]]&gt;=9,"Promoter",IF(Data[[#This Row],[Customer Rating]]&gt;=7,"Passive","Detractor")))</f>
        <v>No Rating</v>
      </c>
    </row>
    <row r="603" spans="1:17" ht="14.25" customHeight="1" x14ac:dyDescent="0.3">
      <c r="A603" s="1" t="s">
        <v>629</v>
      </c>
      <c r="B603" s="1" t="s">
        <v>32</v>
      </c>
      <c r="C603" s="1" t="s">
        <v>16</v>
      </c>
      <c r="D603" s="1" t="str">
        <f>IF(Data[[#This Row],[Cancellation Status]]="No", "High Potential", "Normal")</f>
        <v>High Potential</v>
      </c>
      <c r="E603" s="2">
        <v>45958</v>
      </c>
      <c r="F603" s="2">
        <v>45959</v>
      </c>
      <c r="G603" s="2">
        <v>45964</v>
      </c>
      <c r="H603" s="2">
        <v>45970</v>
      </c>
      <c r="I603" s="1" t="s">
        <v>17</v>
      </c>
      <c r="K603" s="2">
        <v>45981</v>
      </c>
      <c r="L603" s="88">
        <f>IF(OR(Data[[#This Row],[Service Follow-up Date]]="",Data[[#This Row],[Delivery Date]]=""),"",INT(Data[[#This Row],[Service Follow-up Date]]-Data[[#This Row],[Delivery Date]]))</f>
        <v>11</v>
      </c>
      <c r="M603" s="1">
        <v>1</v>
      </c>
      <c r="N603" s="1">
        <v>5</v>
      </c>
      <c r="O603" s="1">
        <v>6</v>
      </c>
      <c r="P603" s="1">
        <v>3</v>
      </c>
      <c r="Q603" t="str">
        <f>IF(ISBLANK(Data[[#This Row],[Customer Rating]]),"No Rating",IF(Data[[#This Row],[Customer Rating]]&gt;=9,"Promoter",IF(Data[[#This Row],[Customer Rating]]&gt;=7,"Passive","Detractor")))</f>
        <v>Detractor</v>
      </c>
    </row>
    <row r="604" spans="1:17" ht="14.25" customHeight="1" x14ac:dyDescent="0.3">
      <c r="A604" s="1" t="s">
        <v>630</v>
      </c>
      <c r="B604" s="1" t="s">
        <v>15</v>
      </c>
      <c r="C604" s="1" t="s">
        <v>30</v>
      </c>
      <c r="D604" s="1" t="str">
        <f>IF(Data[[#This Row],[Cancellation Status]]="No", "High Potential", "Normal")</f>
        <v>High Potential</v>
      </c>
      <c r="E604" s="2">
        <v>45943</v>
      </c>
      <c r="F604" s="2">
        <v>45946</v>
      </c>
      <c r="G604" s="2">
        <v>45950</v>
      </c>
      <c r="H604" s="2">
        <v>45952</v>
      </c>
      <c r="I604" s="1" t="s">
        <v>17</v>
      </c>
      <c r="K604" s="2">
        <v>45981</v>
      </c>
      <c r="L604" s="88">
        <f>IF(OR(Data[[#This Row],[Service Follow-up Date]]="",Data[[#This Row],[Delivery Date]]=""),"",INT(Data[[#This Row],[Service Follow-up Date]]-Data[[#This Row],[Delivery Date]]))</f>
        <v>29</v>
      </c>
      <c r="M604" s="1">
        <v>3</v>
      </c>
      <c r="N604" s="1">
        <v>4</v>
      </c>
      <c r="O604" s="1">
        <v>2</v>
      </c>
      <c r="P604" s="1">
        <v>8</v>
      </c>
      <c r="Q604" t="str">
        <f>IF(ISBLANK(Data[[#This Row],[Customer Rating]]),"No Rating",IF(Data[[#This Row],[Customer Rating]]&gt;=9,"Promoter",IF(Data[[#This Row],[Customer Rating]]&gt;=7,"Passive","Detractor")))</f>
        <v>Passive</v>
      </c>
    </row>
    <row r="605" spans="1:17" ht="14.25" customHeight="1" x14ac:dyDescent="0.3">
      <c r="A605" s="1" t="s">
        <v>631</v>
      </c>
      <c r="B605" s="1" t="s">
        <v>19</v>
      </c>
      <c r="C605" s="1" t="s">
        <v>16</v>
      </c>
      <c r="D605" s="1" t="str">
        <f>IF(Data[[#This Row],[Cancellation Status]]="No", "High Potential", "Normal")</f>
        <v>High Potential</v>
      </c>
      <c r="E605" s="2">
        <v>45950</v>
      </c>
      <c r="F605" s="2">
        <v>45953</v>
      </c>
      <c r="G605" s="2">
        <v>45956</v>
      </c>
      <c r="H605" s="2">
        <v>45960</v>
      </c>
      <c r="I605" s="1" t="s">
        <v>17</v>
      </c>
      <c r="K605" s="2">
        <v>45982</v>
      </c>
      <c r="L605" s="88">
        <f>IF(OR(Data[[#This Row],[Service Follow-up Date]]="",Data[[#This Row],[Delivery Date]]=""),"",INT(Data[[#This Row],[Service Follow-up Date]]-Data[[#This Row],[Delivery Date]]))</f>
        <v>22</v>
      </c>
      <c r="M605" s="1">
        <v>3</v>
      </c>
      <c r="N605" s="1">
        <v>3</v>
      </c>
      <c r="O605" s="1">
        <v>4</v>
      </c>
      <c r="P605" s="1">
        <v>6</v>
      </c>
      <c r="Q605" t="str">
        <f>IF(ISBLANK(Data[[#This Row],[Customer Rating]]),"No Rating",IF(Data[[#This Row],[Customer Rating]]&gt;=9,"Promoter",IF(Data[[#This Row],[Customer Rating]]&gt;=7,"Passive","Detractor")))</f>
        <v>Detractor</v>
      </c>
    </row>
    <row r="606" spans="1:17" ht="14.25" customHeight="1" x14ac:dyDescent="0.3">
      <c r="A606" s="1" t="s">
        <v>632</v>
      </c>
      <c r="B606" s="1" t="s">
        <v>21</v>
      </c>
      <c r="C606" s="1" t="s">
        <v>30</v>
      </c>
      <c r="D606" s="1" t="str">
        <f>IF(Data[[#This Row],[Cancellation Status]]="No", "High Potential", "Normal")</f>
        <v>High Potential</v>
      </c>
      <c r="E606" s="2">
        <v>45952</v>
      </c>
      <c r="F606" s="2">
        <v>45953</v>
      </c>
      <c r="G606" s="2">
        <v>45954</v>
      </c>
      <c r="H606" s="2">
        <v>45961</v>
      </c>
      <c r="I606" s="1" t="s">
        <v>17</v>
      </c>
      <c r="K606" s="2">
        <v>45981</v>
      </c>
      <c r="L606" s="88">
        <f>IF(OR(Data[[#This Row],[Service Follow-up Date]]="",Data[[#This Row],[Delivery Date]]=""),"",INT(Data[[#This Row],[Service Follow-up Date]]-Data[[#This Row],[Delivery Date]]))</f>
        <v>20</v>
      </c>
      <c r="M606" s="1">
        <v>1</v>
      </c>
      <c r="N606" s="1">
        <v>1</v>
      </c>
      <c r="O606" s="1">
        <v>7</v>
      </c>
      <c r="P606" s="1">
        <v>9</v>
      </c>
      <c r="Q606" t="str">
        <f>IF(ISBLANK(Data[[#This Row],[Customer Rating]]),"No Rating",IF(Data[[#This Row],[Customer Rating]]&gt;=9,"Promoter",IF(Data[[#This Row],[Customer Rating]]&gt;=7,"Passive","Detractor")))</f>
        <v>Promoter</v>
      </c>
    </row>
    <row r="607" spans="1:17" ht="14.25" customHeight="1" x14ac:dyDescent="0.3">
      <c r="A607" s="1" t="s">
        <v>633</v>
      </c>
      <c r="B607" s="1" t="s">
        <v>21</v>
      </c>
      <c r="C607" s="1" t="s">
        <v>16</v>
      </c>
      <c r="D607" s="1" t="str">
        <f>IF(Data[[#This Row],[Cancellation Status]]="No", "High Potential", "Normal")</f>
        <v>High Potential</v>
      </c>
      <c r="E607" s="2">
        <v>45938</v>
      </c>
      <c r="F607" s="2">
        <v>45941</v>
      </c>
      <c r="G607" s="2">
        <v>45946</v>
      </c>
      <c r="H607" s="2">
        <v>45952</v>
      </c>
      <c r="I607" s="1" t="s">
        <v>17</v>
      </c>
      <c r="K607" s="2">
        <v>45966</v>
      </c>
      <c r="L607" s="88">
        <f>IF(OR(Data[[#This Row],[Service Follow-up Date]]="",Data[[#This Row],[Delivery Date]]=""),"",INT(Data[[#This Row],[Service Follow-up Date]]-Data[[#This Row],[Delivery Date]]))</f>
        <v>14</v>
      </c>
      <c r="M607" s="1">
        <v>3</v>
      </c>
      <c r="N607" s="1">
        <v>5</v>
      </c>
      <c r="O607" s="1">
        <v>6</v>
      </c>
      <c r="P607" s="1">
        <v>3</v>
      </c>
      <c r="Q607" t="str">
        <f>IF(ISBLANK(Data[[#This Row],[Customer Rating]]),"No Rating",IF(Data[[#This Row],[Customer Rating]]&gt;=9,"Promoter",IF(Data[[#This Row],[Customer Rating]]&gt;=7,"Passive","Detractor")))</f>
        <v>Detractor</v>
      </c>
    </row>
    <row r="608" spans="1:17" ht="14.25" customHeight="1" x14ac:dyDescent="0.3">
      <c r="A608" s="1" t="s">
        <v>634</v>
      </c>
      <c r="B608" s="1" t="s">
        <v>15</v>
      </c>
      <c r="C608" s="1" t="s">
        <v>16</v>
      </c>
      <c r="D608" s="1" t="str">
        <f>IF(Data[[#This Row],[Cancellation Status]]="No", "High Potential", "Normal")</f>
        <v>High Potential</v>
      </c>
      <c r="E608" s="2">
        <v>45946</v>
      </c>
      <c r="F608" s="2">
        <v>45950</v>
      </c>
      <c r="G608" s="2">
        <v>45955</v>
      </c>
      <c r="H608" s="2">
        <v>45962</v>
      </c>
      <c r="I608" s="1" t="s">
        <v>17</v>
      </c>
      <c r="K608" s="2">
        <v>45972</v>
      </c>
      <c r="L608" s="88">
        <f>IF(OR(Data[[#This Row],[Service Follow-up Date]]="",Data[[#This Row],[Delivery Date]]=""),"",INT(Data[[#This Row],[Service Follow-up Date]]-Data[[#This Row],[Delivery Date]]))</f>
        <v>10</v>
      </c>
      <c r="M608" s="1">
        <v>4</v>
      </c>
      <c r="N608" s="1">
        <v>5</v>
      </c>
      <c r="O608" s="1">
        <v>7</v>
      </c>
      <c r="P608" s="1">
        <v>2</v>
      </c>
      <c r="Q608" t="str">
        <f>IF(ISBLANK(Data[[#This Row],[Customer Rating]]),"No Rating",IF(Data[[#This Row],[Customer Rating]]&gt;=9,"Promoter",IF(Data[[#This Row],[Customer Rating]]&gt;=7,"Passive","Detractor")))</f>
        <v>Detractor</v>
      </c>
    </row>
    <row r="609" spans="1:17" ht="14.25" customHeight="1" x14ac:dyDescent="0.3">
      <c r="A609" s="1" t="s">
        <v>635</v>
      </c>
      <c r="B609" s="1" t="s">
        <v>19</v>
      </c>
      <c r="C609" s="1" t="s">
        <v>30</v>
      </c>
      <c r="D609" s="1" t="str">
        <f>IF(Data[[#This Row],[Cancellation Status]]="No", "High Potential", "Normal")</f>
        <v>High Potential</v>
      </c>
      <c r="E609" s="2">
        <v>45960</v>
      </c>
      <c r="F609" s="2">
        <v>45964</v>
      </c>
      <c r="G609" s="2">
        <v>45968</v>
      </c>
      <c r="H609" s="2">
        <v>45970</v>
      </c>
      <c r="I609" s="1" t="s">
        <v>17</v>
      </c>
      <c r="K609" s="2">
        <v>46000</v>
      </c>
      <c r="L609" s="88">
        <f>IF(OR(Data[[#This Row],[Service Follow-up Date]]="",Data[[#This Row],[Delivery Date]]=""),"",INT(Data[[#This Row],[Service Follow-up Date]]-Data[[#This Row],[Delivery Date]]))</f>
        <v>30</v>
      </c>
      <c r="M609" s="1">
        <v>4</v>
      </c>
      <c r="N609" s="1">
        <v>4</v>
      </c>
      <c r="O609" s="1">
        <v>2</v>
      </c>
      <c r="P609" s="1">
        <v>4</v>
      </c>
      <c r="Q609" t="str">
        <f>IF(ISBLANK(Data[[#This Row],[Customer Rating]]),"No Rating",IF(Data[[#This Row],[Customer Rating]]&gt;=9,"Promoter",IF(Data[[#This Row],[Customer Rating]]&gt;=7,"Passive","Detractor")))</f>
        <v>Detractor</v>
      </c>
    </row>
    <row r="610" spans="1:17" ht="14.25" customHeight="1" x14ac:dyDescent="0.3">
      <c r="A610" s="1" t="s">
        <v>636</v>
      </c>
      <c r="B610" s="1" t="s">
        <v>15</v>
      </c>
      <c r="C610" s="1" t="s">
        <v>16</v>
      </c>
      <c r="D610" s="1" t="str">
        <f>IF(Data[[#This Row],[Cancellation Status]]="No", "High Potential", "Normal")</f>
        <v>High Potential</v>
      </c>
      <c r="E610" s="2">
        <v>45949</v>
      </c>
      <c r="F610" s="2">
        <v>45953</v>
      </c>
      <c r="G610" s="2">
        <v>45957</v>
      </c>
      <c r="H610" s="2">
        <v>45962</v>
      </c>
      <c r="I610" s="1" t="s">
        <v>17</v>
      </c>
      <c r="K610" s="2">
        <v>45987</v>
      </c>
      <c r="L610" s="88">
        <f>IF(OR(Data[[#This Row],[Service Follow-up Date]]="",Data[[#This Row],[Delivery Date]]=""),"",INT(Data[[#This Row],[Service Follow-up Date]]-Data[[#This Row],[Delivery Date]]))</f>
        <v>25</v>
      </c>
      <c r="M610" s="1">
        <v>4</v>
      </c>
      <c r="N610" s="1">
        <v>4</v>
      </c>
      <c r="O610" s="1">
        <v>5</v>
      </c>
      <c r="P610" s="1">
        <v>0</v>
      </c>
      <c r="Q610" t="str">
        <f>IF(ISBLANK(Data[[#This Row],[Customer Rating]]),"No Rating",IF(Data[[#This Row],[Customer Rating]]&gt;=9,"Promoter",IF(Data[[#This Row],[Customer Rating]]&gt;=7,"Passive","Detractor")))</f>
        <v>Detractor</v>
      </c>
    </row>
    <row r="611" spans="1:17" ht="14.25" customHeight="1" x14ac:dyDescent="0.3">
      <c r="A611" s="1" t="s">
        <v>637</v>
      </c>
      <c r="B611" s="1" t="s">
        <v>15</v>
      </c>
      <c r="C611" s="1" t="s">
        <v>30</v>
      </c>
      <c r="D611" s="1" t="str">
        <f>IF(Data[[#This Row],[Cancellation Status]]="No", "High Potential", "Normal")</f>
        <v>High Potential</v>
      </c>
      <c r="E611" s="2">
        <v>45935</v>
      </c>
      <c r="F611" s="2">
        <v>45939</v>
      </c>
      <c r="G611" s="2">
        <v>45940</v>
      </c>
      <c r="H611" s="2">
        <v>45945</v>
      </c>
      <c r="I611" s="1" t="s">
        <v>17</v>
      </c>
      <c r="K611" s="2">
        <v>45964</v>
      </c>
      <c r="L611" s="88">
        <f>IF(OR(Data[[#This Row],[Service Follow-up Date]]="",Data[[#This Row],[Delivery Date]]=""),"",INT(Data[[#This Row],[Service Follow-up Date]]-Data[[#This Row],[Delivery Date]]))</f>
        <v>19</v>
      </c>
      <c r="M611" s="1">
        <v>4</v>
      </c>
      <c r="N611" s="1">
        <v>1</v>
      </c>
      <c r="O611" s="1">
        <v>5</v>
      </c>
      <c r="P611" s="1">
        <v>1</v>
      </c>
      <c r="Q611" t="str">
        <f>IF(ISBLANK(Data[[#This Row],[Customer Rating]]),"No Rating",IF(Data[[#This Row],[Customer Rating]]&gt;=9,"Promoter",IF(Data[[#This Row],[Customer Rating]]&gt;=7,"Passive","Detractor")))</f>
        <v>Detractor</v>
      </c>
    </row>
    <row r="612" spans="1:17" ht="14.25" customHeight="1" x14ac:dyDescent="0.3">
      <c r="A612" s="1" t="s">
        <v>638</v>
      </c>
      <c r="B612" s="1" t="s">
        <v>19</v>
      </c>
      <c r="C612" s="1" t="s">
        <v>30</v>
      </c>
      <c r="D612" s="1" t="str">
        <f>IF(Data[[#This Row],[Cancellation Status]]="No", "High Potential", "Normal")</f>
        <v>High Potential</v>
      </c>
      <c r="E612" s="2">
        <v>45938</v>
      </c>
      <c r="F612" s="2">
        <v>45941</v>
      </c>
      <c r="G612" s="2">
        <v>45942</v>
      </c>
      <c r="H612" s="2">
        <v>45948</v>
      </c>
      <c r="I612" s="1" t="s">
        <v>17</v>
      </c>
      <c r="K612" s="2">
        <v>45966</v>
      </c>
      <c r="L612" s="88">
        <f>IF(OR(Data[[#This Row],[Service Follow-up Date]]="",Data[[#This Row],[Delivery Date]]=""),"",INT(Data[[#This Row],[Service Follow-up Date]]-Data[[#This Row],[Delivery Date]]))</f>
        <v>18</v>
      </c>
      <c r="M612" s="1">
        <v>3</v>
      </c>
      <c r="N612" s="1">
        <v>1</v>
      </c>
      <c r="O612" s="1">
        <v>6</v>
      </c>
      <c r="P612" s="1">
        <v>1</v>
      </c>
      <c r="Q612" t="str">
        <f>IF(ISBLANK(Data[[#This Row],[Customer Rating]]),"No Rating",IF(Data[[#This Row],[Customer Rating]]&gt;=9,"Promoter",IF(Data[[#This Row],[Customer Rating]]&gt;=7,"Passive","Detractor")))</f>
        <v>Detractor</v>
      </c>
    </row>
    <row r="613" spans="1:17" ht="14.25" customHeight="1" x14ac:dyDescent="0.3">
      <c r="A613" s="1" t="s">
        <v>639</v>
      </c>
      <c r="B613" s="1" t="s">
        <v>19</v>
      </c>
      <c r="C613" s="1" t="s">
        <v>16</v>
      </c>
      <c r="D613" s="1" t="str">
        <f>IF(Data[[#This Row],[Cancellation Status]]="No", "High Potential", "Normal")</f>
        <v>High Potential</v>
      </c>
      <c r="E613" s="2">
        <v>45945</v>
      </c>
      <c r="F613" s="2">
        <v>45947</v>
      </c>
      <c r="G613" s="2">
        <v>45952</v>
      </c>
      <c r="H613" s="2">
        <v>45956</v>
      </c>
      <c r="I613" s="1" t="s">
        <v>17</v>
      </c>
      <c r="K613" s="2">
        <v>45979</v>
      </c>
      <c r="L613" s="88">
        <f>IF(OR(Data[[#This Row],[Service Follow-up Date]]="",Data[[#This Row],[Delivery Date]]=""),"",INT(Data[[#This Row],[Service Follow-up Date]]-Data[[#This Row],[Delivery Date]]))</f>
        <v>23</v>
      </c>
      <c r="M613" s="1">
        <v>2</v>
      </c>
      <c r="N613" s="1">
        <v>5</v>
      </c>
      <c r="O613" s="1">
        <v>4</v>
      </c>
      <c r="P613" s="1">
        <v>2</v>
      </c>
      <c r="Q613" t="str">
        <f>IF(ISBLANK(Data[[#This Row],[Customer Rating]]),"No Rating",IF(Data[[#This Row],[Customer Rating]]&gt;=9,"Promoter",IF(Data[[#This Row],[Customer Rating]]&gt;=7,"Passive","Detractor")))</f>
        <v>Detractor</v>
      </c>
    </row>
    <row r="614" spans="1:17" ht="14.25" customHeight="1" x14ac:dyDescent="0.3">
      <c r="A614" s="1" t="s">
        <v>640</v>
      </c>
      <c r="B614" s="1" t="s">
        <v>32</v>
      </c>
      <c r="C614" s="1" t="s">
        <v>16</v>
      </c>
      <c r="D614" s="1" t="str">
        <f>IF(Data[[#This Row],[Cancellation Status]]="No", "High Potential", "Normal")</f>
        <v>High Potential</v>
      </c>
      <c r="E614" s="2">
        <v>45951</v>
      </c>
      <c r="F614" s="2">
        <v>45955</v>
      </c>
      <c r="G614" s="2">
        <v>45960</v>
      </c>
      <c r="H614" s="2">
        <v>45962</v>
      </c>
      <c r="I614" s="1" t="s">
        <v>17</v>
      </c>
      <c r="K614" s="2">
        <v>45984</v>
      </c>
      <c r="L614" s="88">
        <f>IF(OR(Data[[#This Row],[Service Follow-up Date]]="",Data[[#This Row],[Delivery Date]]=""),"",INT(Data[[#This Row],[Service Follow-up Date]]-Data[[#This Row],[Delivery Date]]))</f>
        <v>22</v>
      </c>
      <c r="M614" s="1">
        <v>4</v>
      </c>
      <c r="N614" s="1">
        <v>5</v>
      </c>
      <c r="O614" s="1">
        <v>2</v>
      </c>
      <c r="P614" s="1">
        <v>8</v>
      </c>
      <c r="Q614" t="str">
        <f>IF(ISBLANK(Data[[#This Row],[Customer Rating]]),"No Rating",IF(Data[[#This Row],[Customer Rating]]&gt;=9,"Promoter",IF(Data[[#This Row],[Customer Rating]]&gt;=7,"Passive","Detractor")))</f>
        <v>Passive</v>
      </c>
    </row>
    <row r="615" spans="1:17" ht="14.25" customHeight="1" x14ac:dyDescent="0.3">
      <c r="A615" s="1" t="s">
        <v>641</v>
      </c>
      <c r="B615" s="1" t="s">
        <v>19</v>
      </c>
      <c r="C615" s="1" t="s">
        <v>22</v>
      </c>
      <c r="D615" s="1" t="str">
        <f>IF(Data[[#This Row],[Cancellation Status]]="No", "High Potential", "Normal")</f>
        <v>Normal</v>
      </c>
      <c r="E615" s="2">
        <v>45939</v>
      </c>
      <c r="I615" s="1" t="s">
        <v>23</v>
      </c>
      <c r="J615" s="1" t="s">
        <v>101</v>
      </c>
      <c r="L615" s="88" t="str">
        <f>IF(OR(Data[[#This Row],[Service Follow-up Date]]="",Data[[#This Row],[Delivery Date]]=""),"",INT(Data[[#This Row],[Service Follow-up Date]]-Data[[#This Row],[Delivery Date]]))</f>
        <v/>
      </c>
      <c r="Q615" t="str">
        <f>IF(ISBLANK(Data[[#This Row],[Customer Rating]]),"No Rating",IF(Data[[#This Row],[Customer Rating]]&gt;=9,"Promoter",IF(Data[[#This Row],[Customer Rating]]&gt;=7,"Passive","Detractor")))</f>
        <v>No Rating</v>
      </c>
    </row>
    <row r="616" spans="1:17" ht="14.25" customHeight="1" x14ac:dyDescent="0.3">
      <c r="A616" s="1" t="s">
        <v>642</v>
      </c>
      <c r="B616" s="1" t="s">
        <v>21</v>
      </c>
      <c r="C616" s="1" t="s">
        <v>16</v>
      </c>
      <c r="D616" s="1" t="str">
        <f>IF(Data[[#This Row],[Cancellation Status]]="No", "High Potential", "Normal")</f>
        <v>High Potential</v>
      </c>
      <c r="E616" s="2">
        <v>45945</v>
      </c>
      <c r="F616" s="2">
        <v>45949</v>
      </c>
      <c r="G616" s="2">
        <v>45953</v>
      </c>
      <c r="H616" s="2">
        <v>45958</v>
      </c>
      <c r="I616" s="1" t="s">
        <v>17</v>
      </c>
      <c r="K616" s="2">
        <v>45980</v>
      </c>
      <c r="L616" s="88">
        <f>IF(OR(Data[[#This Row],[Service Follow-up Date]]="",Data[[#This Row],[Delivery Date]]=""),"",INT(Data[[#This Row],[Service Follow-up Date]]-Data[[#This Row],[Delivery Date]]))</f>
        <v>22</v>
      </c>
      <c r="M616" s="1">
        <v>4</v>
      </c>
      <c r="N616" s="1">
        <v>4</v>
      </c>
      <c r="O616" s="1">
        <v>5</v>
      </c>
      <c r="P616" s="1">
        <v>6</v>
      </c>
      <c r="Q616" t="str">
        <f>IF(ISBLANK(Data[[#This Row],[Customer Rating]]),"No Rating",IF(Data[[#This Row],[Customer Rating]]&gt;=9,"Promoter",IF(Data[[#This Row],[Customer Rating]]&gt;=7,"Passive","Detractor")))</f>
        <v>Detractor</v>
      </c>
    </row>
    <row r="617" spans="1:17" ht="14.25" customHeight="1" x14ac:dyDescent="0.3">
      <c r="A617" s="1" t="s">
        <v>643</v>
      </c>
      <c r="B617" s="1" t="s">
        <v>15</v>
      </c>
      <c r="C617" s="1" t="s">
        <v>16</v>
      </c>
      <c r="D617" s="1" t="str">
        <f>IF(Data[[#This Row],[Cancellation Status]]="No", "High Potential", "Normal")</f>
        <v>High Potential</v>
      </c>
      <c r="E617" s="2">
        <v>45939</v>
      </c>
      <c r="F617" s="2">
        <v>45942</v>
      </c>
      <c r="G617" s="2">
        <v>45943</v>
      </c>
      <c r="H617" s="2">
        <v>45949</v>
      </c>
      <c r="I617" s="1" t="s">
        <v>17</v>
      </c>
      <c r="K617" s="2">
        <v>45960</v>
      </c>
      <c r="L617" s="88">
        <f>IF(OR(Data[[#This Row],[Service Follow-up Date]]="",Data[[#This Row],[Delivery Date]]=""),"",INT(Data[[#This Row],[Service Follow-up Date]]-Data[[#This Row],[Delivery Date]]))</f>
        <v>11</v>
      </c>
      <c r="M617" s="1">
        <v>3</v>
      </c>
      <c r="N617" s="1">
        <v>1</v>
      </c>
      <c r="O617" s="1">
        <v>6</v>
      </c>
      <c r="P617" s="1">
        <v>6</v>
      </c>
      <c r="Q617" t="str">
        <f>IF(ISBLANK(Data[[#This Row],[Customer Rating]]),"No Rating",IF(Data[[#This Row],[Customer Rating]]&gt;=9,"Promoter",IF(Data[[#This Row],[Customer Rating]]&gt;=7,"Passive","Detractor")))</f>
        <v>Detractor</v>
      </c>
    </row>
    <row r="618" spans="1:17" ht="14.25" customHeight="1" x14ac:dyDescent="0.3">
      <c r="A618" s="1" t="s">
        <v>644</v>
      </c>
      <c r="B618" s="1" t="s">
        <v>15</v>
      </c>
      <c r="C618" s="1" t="s">
        <v>16</v>
      </c>
      <c r="D618" s="1" t="str">
        <f>IF(Data[[#This Row],[Cancellation Status]]="No", "High Potential", "Normal")</f>
        <v>High Potential</v>
      </c>
      <c r="E618" s="2">
        <v>45952</v>
      </c>
      <c r="F618" s="2">
        <v>45957</v>
      </c>
      <c r="G618" s="2">
        <v>45958</v>
      </c>
      <c r="H618" s="2">
        <v>45961</v>
      </c>
      <c r="I618" s="1" t="s">
        <v>17</v>
      </c>
      <c r="K618" s="2">
        <v>45989</v>
      </c>
      <c r="L618" s="88">
        <f>IF(OR(Data[[#This Row],[Service Follow-up Date]]="",Data[[#This Row],[Delivery Date]]=""),"",INT(Data[[#This Row],[Service Follow-up Date]]-Data[[#This Row],[Delivery Date]]))</f>
        <v>28</v>
      </c>
      <c r="M618" s="1">
        <v>5</v>
      </c>
      <c r="N618" s="1">
        <v>1</v>
      </c>
      <c r="O618" s="1">
        <v>3</v>
      </c>
      <c r="P618" s="1">
        <v>3</v>
      </c>
      <c r="Q618" t="str">
        <f>IF(ISBLANK(Data[[#This Row],[Customer Rating]]),"No Rating",IF(Data[[#This Row],[Customer Rating]]&gt;=9,"Promoter",IF(Data[[#This Row],[Customer Rating]]&gt;=7,"Passive","Detractor")))</f>
        <v>Detractor</v>
      </c>
    </row>
    <row r="619" spans="1:17" ht="14.25" customHeight="1" x14ac:dyDescent="0.3">
      <c r="A619" s="1" t="s">
        <v>645</v>
      </c>
      <c r="B619" s="1" t="s">
        <v>21</v>
      </c>
      <c r="C619" s="1" t="s">
        <v>30</v>
      </c>
      <c r="D619" s="1" t="str">
        <f>IF(Data[[#This Row],[Cancellation Status]]="No", "High Potential", "Normal")</f>
        <v>High Potential</v>
      </c>
      <c r="E619" s="2">
        <v>45931</v>
      </c>
      <c r="F619" s="2">
        <v>45934</v>
      </c>
      <c r="G619" s="2">
        <v>45939</v>
      </c>
      <c r="H619" s="2">
        <v>45943</v>
      </c>
      <c r="I619" s="1" t="s">
        <v>17</v>
      </c>
      <c r="K619" s="2">
        <v>45971</v>
      </c>
      <c r="L619" s="88">
        <f>IF(OR(Data[[#This Row],[Service Follow-up Date]]="",Data[[#This Row],[Delivery Date]]=""),"",INT(Data[[#This Row],[Service Follow-up Date]]-Data[[#This Row],[Delivery Date]]))</f>
        <v>28</v>
      </c>
      <c r="M619" s="1">
        <v>3</v>
      </c>
      <c r="N619" s="1">
        <v>5</v>
      </c>
      <c r="O619" s="1">
        <v>4</v>
      </c>
      <c r="P619" s="1">
        <v>4</v>
      </c>
      <c r="Q619" t="str">
        <f>IF(ISBLANK(Data[[#This Row],[Customer Rating]]),"No Rating",IF(Data[[#This Row],[Customer Rating]]&gt;=9,"Promoter",IF(Data[[#This Row],[Customer Rating]]&gt;=7,"Passive","Detractor")))</f>
        <v>Detractor</v>
      </c>
    </row>
    <row r="620" spans="1:17" ht="14.25" customHeight="1" x14ac:dyDescent="0.3">
      <c r="A620" s="1" t="s">
        <v>646</v>
      </c>
      <c r="B620" s="1" t="s">
        <v>19</v>
      </c>
      <c r="C620" s="1" t="s">
        <v>22</v>
      </c>
      <c r="D620" s="1" t="str">
        <f>IF(Data[[#This Row],[Cancellation Status]]="No", "High Potential", "Normal")</f>
        <v>Normal</v>
      </c>
      <c r="E620" s="2">
        <v>45959</v>
      </c>
      <c r="I620" s="1" t="s">
        <v>23</v>
      </c>
      <c r="J620" s="1" t="s">
        <v>101</v>
      </c>
      <c r="L620" s="88" t="str">
        <f>IF(OR(Data[[#This Row],[Service Follow-up Date]]="",Data[[#This Row],[Delivery Date]]=""),"",INT(Data[[#This Row],[Service Follow-up Date]]-Data[[#This Row],[Delivery Date]]))</f>
        <v/>
      </c>
      <c r="Q620" t="str">
        <f>IF(ISBLANK(Data[[#This Row],[Customer Rating]]),"No Rating",IF(Data[[#This Row],[Customer Rating]]&gt;=9,"Promoter",IF(Data[[#This Row],[Customer Rating]]&gt;=7,"Passive","Detractor")))</f>
        <v>No Rating</v>
      </c>
    </row>
    <row r="621" spans="1:17" ht="14.25" customHeight="1" x14ac:dyDescent="0.3">
      <c r="A621" s="1" t="s">
        <v>647</v>
      </c>
      <c r="B621" s="1" t="s">
        <v>21</v>
      </c>
      <c r="C621" s="1" t="s">
        <v>16</v>
      </c>
      <c r="D621" s="1" t="str">
        <f>IF(Data[[#This Row],[Cancellation Status]]="No", "High Potential", "Normal")</f>
        <v>Normal</v>
      </c>
      <c r="E621" s="2">
        <v>45956</v>
      </c>
      <c r="F621" s="2">
        <v>45957</v>
      </c>
      <c r="G621" s="2">
        <v>45960</v>
      </c>
      <c r="H621" s="2">
        <v>45963</v>
      </c>
      <c r="I621" s="1" t="s">
        <v>23</v>
      </c>
      <c r="J621" s="1" t="s">
        <v>63</v>
      </c>
      <c r="L621" s="88" t="str">
        <f>IF(OR(Data[[#This Row],[Service Follow-up Date]]="",Data[[#This Row],[Delivery Date]]=""),"",INT(Data[[#This Row],[Service Follow-up Date]]-Data[[#This Row],[Delivery Date]]))</f>
        <v/>
      </c>
      <c r="M621" s="1">
        <v>1</v>
      </c>
      <c r="N621" s="1">
        <v>3</v>
      </c>
      <c r="O621" s="1">
        <v>3</v>
      </c>
      <c r="Q621" t="str">
        <f>IF(ISBLANK(Data[[#This Row],[Customer Rating]]),"No Rating",IF(Data[[#This Row],[Customer Rating]]&gt;=9,"Promoter",IF(Data[[#This Row],[Customer Rating]]&gt;=7,"Passive","Detractor")))</f>
        <v>No Rating</v>
      </c>
    </row>
    <row r="622" spans="1:17" ht="14.25" customHeight="1" x14ac:dyDescent="0.3">
      <c r="A622" s="1" t="s">
        <v>648</v>
      </c>
      <c r="B622" s="1" t="s">
        <v>21</v>
      </c>
      <c r="C622" s="1" t="s">
        <v>16</v>
      </c>
      <c r="D622" s="1" t="str">
        <f>IF(Data[[#This Row],[Cancellation Status]]="No", "High Potential", "Normal")</f>
        <v>Normal</v>
      </c>
      <c r="E622" s="2">
        <v>45945</v>
      </c>
      <c r="F622" s="2">
        <v>45949</v>
      </c>
      <c r="G622" s="2">
        <v>45954</v>
      </c>
      <c r="H622" s="2">
        <v>45958</v>
      </c>
      <c r="I622" s="1" t="s">
        <v>23</v>
      </c>
      <c r="J622" s="1" t="s">
        <v>33</v>
      </c>
      <c r="L622" s="88" t="str">
        <f>IF(OR(Data[[#This Row],[Service Follow-up Date]]="",Data[[#This Row],[Delivery Date]]=""),"",INT(Data[[#This Row],[Service Follow-up Date]]-Data[[#This Row],[Delivery Date]]))</f>
        <v/>
      </c>
      <c r="M622" s="1">
        <v>4</v>
      </c>
      <c r="N622" s="1">
        <v>5</v>
      </c>
      <c r="O622" s="1">
        <v>4</v>
      </c>
      <c r="Q622" t="str">
        <f>IF(ISBLANK(Data[[#This Row],[Customer Rating]]),"No Rating",IF(Data[[#This Row],[Customer Rating]]&gt;=9,"Promoter",IF(Data[[#This Row],[Customer Rating]]&gt;=7,"Passive","Detractor")))</f>
        <v>No Rating</v>
      </c>
    </row>
    <row r="623" spans="1:17" ht="14.25" customHeight="1" x14ac:dyDescent="0.3">
      <c r="A623" s="1" t="s">
        <v>649</v>
      </c>
      <c r="B623" s="1" t="s">
        <v>32</v>
      </c>
      <c r="C623" s="1" t="s">
        <v>30</v>
      </c>
      <c r="D623" s="1" t="str">
        <f>IF(Data[[#This Row],[Cancellation Status]]="No", "High Potential", "Normal")</f>
        <v>High Potential</v>
      </c>
      <c r="E623" s="2">
        <v>45959</v>
      </c>
      <c r="F623" s="2">
        <v>45960</v>
      </c>
      <c r="G623" s="2">
        <v>45963</v>
      </c>
      <c r="H623" s="2">
        <v>45965</v>
      </c>
      <c r="I623" s="1" t="s">
        <v>17</v>
      </c>
      <c r="K623" s="2">
        <v>45981</v>
      </c>
      <c r="L623" s="88">
        <f>IF(OR(Data[[#This Row],[Service Follow-up Date]]="",Data[[#This Row],[Delivery Date]]=""),"",INT(Data[[#This Row],[Service Follow-up Date]]-Data[[#This Row],[Delivery Date]]))</f>
        <v>16</v>
      </c>
      <c r="M623" s="1">
        <v>1</v>
      </c>
      <c r="N623" s="1">
        <v>3</v>
      </c>
      <c r="O623" s="1">
        <v>2</v>
      </c>
      <c r="P623" s="1">
        <v>6</v>
      </c>
      <c r="Q623" t="str">
        <f>IF(ISBLANK(Data[[#This Row],[Customer Rating]]),"No Rating",IF(Data[[#This Row],[Customer Rating]]&gt;=9,"Promoter",IF(Data[[#This Row],[Customer Rating]]&gt;=7,"Passive","Detractor")))</f>
        <v>Detractor</v>
      </c>
    </row>
    <row r="624" spans="1:17" ht="14.25" customHeight="1" x14ac:dyDescent="0.3">
      <c r="A624" s="1" t="s">
        <v>650</v>
      </c>
      <c r="B624" s="1" t="s">
        <v>21</v>
      </c>
      <c r="C624" s="1" t="s">
        <v>16</v>
      </c>
      <c r="D624" s="1" t="str">
        <f>IF(Data[[#This Row],[Cancellation Status]]="No", "High Potential", "Normal")</f>
        <v>High Potential</v>
      </c>
      <c r="E624" s="2">
        <v>45940</v>
      </c>
      <c r="F624" s="2">
        <v>45944</v>
      </c>
      <c r="G624" s="2">
        <v>45945</v>
      </c>
      <c r="H624" s="2">
        <v>45951</v>
      </c>
      <c r="I624" s="1" t="s">
        <v>17</v>
      </c>
      <c r="K624" s="2">
        <v>45971</v>
      </c>
      <c r="L624" s="88">
        <f>IF(OR(Data[[#This Row],[Service Follow-up Date]]="",Data[[#This Row],[Delivery Date]]=""),"",INT(Data[[#This Row],[Service Follow-up Date]]-Data[[#This Row],[Delivery Date]]))</f>
        <v>20</v>
      </c>
      <c r="M624" s="1">
        <v>4</v>
      </c>
      <c r="N624" s="1">
        <v>1</v>
      </c>
      <c r="O624" s="1">
        <v>6</v>
      </c>
      <c r="P624" s="1">
        <v>9</v>
      </c>
      <c r="Q624" t="str">
        <f>IF(ISBLANK(Data[[#This Row],[Customer Rating]]),"No Rating",IF(Data[[#This Row],[Customer Rating]]&gt;=9,"Promoter",IF(Data[[#This Row],[Customer Rating]]&gt;=7,"Passive","Detractor")))</f>
        <v>Promoter</v>
      </c>
    </row>
    <row r="625" spans="1:17" ht="14.25" customHeight="1" x14ac:dyDescent="0.3">
      <c r="A625" s="1" t="s">
        <v>651</v>
      </c>
      <c r="B625" s="1" t="s">
        <v>15</v>
      </c>
      <c r="C625" s="1" t="s">
        <v>16</v>
      </c>
      <c r="D625" s="1" t="str">
        <f>IF(Data[[#This Row],[Cancellation Status]]="No", "High Potential", "Normal")</f>
        <v>High Potential</v>
      </c>
      <c r="E625" s="2">
        <v>45952</v>
      </c>
      <c r="F625" s="2">
        <v>45957</v>
      </c>
      <c r="G625" s="2">
        <v>45962</v>
      </c>
      <c r="H625" s="2">
        <v>45969</v>
      </c>
      <c r="I625" s="1" t="s">
        <v>17</v>
      </c>
      <c r="K625" s="2">
        <v>45986</v>
      </c>
      <c r="L625" s="88">
        <f>IF(OR(Data[[#This Row],[Service Follow-up Date]]="",Data[[#This Row],[Delivery Date]]=""),"",INT(Data[[#This Row],[Service Follow-up Date]]-Data[[#This Row],[Delivery Date]]))</f>
        <v>17</v>
      </c>
      <c r="M625" s="1">
        <v>5</v>
      </c>
      <c r="N625" s="1">
        <v>5</v>
      </c>
      <c r="O625" s="1">
        <v>7</v>
      </c>
      <c r="P625" s="1">
        <v>8</v>
      </c>
      <c r="Q625" t="str">
        <f>IF(ISBLANK(Data[[#This Row],[Customer Rating]]),"No Rating",IF(Data[[#This Row],[Customer Rating]]&gt;=9,"Promoter",IF(Data[[#This Row],[Customer Rating]]&gt;=7,"Passive","Detractor")))</f>
        <v>Passive</v>
      </c>
    </row>
    <row r="626" spans="1:17" ht="14.25" customHeight="1" x14ac:dyDescent="0.3">
      <c r="A626" s="1" t="s">
        <v>652</v>
      </c>
      <c r="B626" s="1" t="s">
        <v>21</v>
      </c>
      <c r="C626" s="1" t="s">
        <v>22</v>
      </c>
      <c r="D626" s="1" t="str">
        <f>IF(Data[[#This Row],[Cancellation Status]]="No", "High Potential", "Normal")</f>
        <v>Normal</v>
      </c>
      <c r="E626" s="2">
        <v>45948</v>
      </c>
      <c r="I626" s="1" t="s">
        <v>23</v>
      </c>
      <c r="J626" s="1" t="s">
        <v>101</v>
      </c>
      <c r="L626" s="88" t="str">
        <f>IF(OR(Data[[#This Row],[Service Follow-up Date]]="",Data[[#This Row],[Delivery Date]]=""),"",INT(Data[[#This Row],[Service Follow-up Date]]-Data[[#This Row],[Delivery Date]]))</f>
        <v/>
      </c>
      <c r="Q626" t="str">
        <f>IF(ISBLANK(Data[[#This Row],[Customer Rating]]),"No Rating",IF(Data[[#This Row],[Customer Rating]]&gt;=9,"Promoter",IF(Data[[#This Row],[Customer Rating]]&gt;=7,"Passive","Detractor")))</f>
        <v>No Rating</v>
      </c>
    </row>
    <row r="627" spans="1:17" ht="14.25" customHeight="1" x14ac:dyDescent="0.3">
      <c r="A627" s="1" t="s">
        <v>653</v>
      </c>
      <c r="B627" s="1" t="s">
        <v>15</v>
      </c>
      <c r="C627" s="1" t="s">
        <v>30</v>
      </c>
      <c r="D627" s="1" t="str">
        <f>IF(Data[[#This Row],[Cancellation Status]]="No", "High Potential", "Normal")</f>
        <v>High Potential</v>
      </c>
      <c r="E627" s="2">
        <v>45936</v>
      </c>
      <c r="F627" s="2">
        <v>45938</v>
      </c>
      <c r="G627" s="2">
        <v>45942</v>
      </c>
      <c r="H627" s="2">
        <v>45949</v>
      </c>
      <c r="I627" s="1" t="s">
        <v>17</v>
      </c>
      <c r="K627" s="2">
        <v>45976</v>
      </c>
      <c r="L627" s="88">
        <f>IF(OR(Data[[#This Row],[Service Follow-up Date]]="",Data[[#This Row],[Delivery Date]]=""),"",INT(Data[[#This Row],[Service Follow-up Date]]-Data[[#This Row],[Delivery Date]]))</f>
        <v>27</v>
      </c>
      <c r="M627" s="1">
        <v>2</v>
      </c>
      <c r="N627" s="1">
        <v>4</v>
      </c>
      <c r="O627" s="1">
        <v>7</v>
      </c>
      <c r="P627" s="1">
        <v>0</v>
      </c>
      <c r="Q627" t="str">
        <f>IF(ISBLANK(Data[[#This Row],[Customer Rating]]),"No Rating",IF(Data[[#This Row],[Customer Rating]]&gt;=9,"Promoter",IF(Data[[#This Row],[Customer Rating]]&gt;=7,"Passive","Detractor")))</f>
        <v>Detractor</v>
      </c>
    </row>
    <row r="628" spans="1:17" ht="14.25" customHeight="1" x14ac:dyDescent="0.3">
      <c r="A628" s="1" t="s">
        <v>654</v>
      </c>
      <c r="B628" s="1" t="s">
        <v>15</v>
      </c>
      <c r="C628" s="1" t="s">
        <v>16</v>
      </c>
      <c r="D628" s="1" t="str">
        <f>IF(Data[[#This Row],[Cancellation Status]]="No", "High Potential", "Normal")</f>
        <v>High Potential</v>
      </c>
      <c r="E628" s="2">
        <v>45933</v>
      </c>
      <c r="F628" s="2">
        <v>45938</v>
      </c>
      <c r="G628" s="2">
        <v>45940</v>
      </c>
      <c r="H628" s="2">
        <v>45942</v>
      </c>
      <c r="I628" s="1" t="s">
        <v>17</v>
      </c>
      <c r="K628" s="2">
        <v>45972</v>
      </c>
      <c r="L628" s="88">
        <f>IF(OR(Data[[#This Row],[Service Follow-up Date]]="",Data[[#This Row],[Delivery Date]]=""),"",INT(Data[[#This Row],[Service Follow-up Date]]-Data[[#This Row],[Delivery Date]]))</f>
        <v>30</v>
      </c>
      <c r="M628" s="1">
        <v>5</v>
      </c>
      <c r="N628" s="1">
        <v>2</v>
      </c>
      <c r="O628" s="1">
        <v>2</v>
      </c>
      <c r="P628" s="1">
        <v>1</v>
      </c>
      <c r="Q628" t="str">
        <f>IF(ISBLANK(Data[[#This Row],[Customer Rating]]),"No Rating",IF(Data[[#This Row],[Customer Rating]]&gt;=9,"Promoter",IF(Data[[#This Row],[Customer Rating]]&gt;=7,"Passive","Detractor")))</f>
        <v>Detractor</v>
      </c>
    </row>
    <row r="629" spans="1:17" ht="14.25" customHeight="1" x14ac:dyDescent="0.3">
      <c r="A629" s="1" t="s">
        <v>655</v>
      </c>
      <c r="B629" s="1" t="s">
        <v>15</v>
      </c>
      <c r="C629" s="1" t="s">
        <v>22</v>
      </c>
      <c r="D629" s="1" t="str">
        <f>IF(Data[[#This Row],[Cancellation Status]]="No", "High Potential", "Normal")</f>
        <v>Normal</v>
      </c>
      <c r="E629" s="2">
        <v>45945</v>
      </c>
      <c r="I629" s="1" t="s">
        <v>23</v>
      </c>
      <c r="J629" s="1" t="s">
        <v>101</v>
      </c>
      <c r="L629" s="88" t="str">
        <f>IF(OR(Data[[#This Row],[Service Follow-up Date]]="",Data[[#This Row],[Delivery Date]]=""),"",INT(Data[[#This Row],[Service Follow-up Date]]-Data[[#This Row],[Delivery Date]]))</f>
        <v/>
      </c>
      <c r="Q629" t="str">
        <f>IF(ISBLANK(Data[[#This Row],[Customer Rating]]),"No Rating",IF(Data[[#This Row],[Customer Rating]]&gt;=9,"Promoter",IF(Data[[#This Row],[Customer Rating]]&gt;=7,"Passive","Detractor")))</f>
        <v>No Rating</v>
      </c>
    </row>
    <row r="630" spans="1:17" ht="14.25" customHeight="1" x14ac:dyDescent="0.3">
      <c r="A630" s="1" t="s">
        <v>656</v>
      </c>
      <c r="B630" s="1" t="s">
        <v>19</v>
      </c>
      <c r="C630" s="1" t="s">
        <v>16</v>
      </c>
      <c r="D630" s="1" t="str">
        <f>IF(Data[[#This Row],[Cancellation Status]]="No", "High Potential", "Normal")</f>
        <v>Normal</v>
      </c>
      <c r="E630" s="2">
        <v>45961</v>
      </c>
      <c r="F630" s="2">
        <v>45964</v>
      </c>
      <c r="G630" s="2">
        <v>45965</v>
      </c>
      <c r="H630" s="2">
        <v>45968</v>
      </c>
      <c r="I630" s="1" t="s">
        <v>23</v>
      </c>
      <c r="J630" s="1" t="s">
        <v>26</v>
      </c>
      <c r="L630" s="88" t="str">
        <f>IF(OR(Data[[#This Row],[Service Follow-up Date]]="",Data[[#This Row],[Delivery Date]]=""),"",INT(Data[[#This Row],[Service Follow-up Date]]-Data[[#This Row],[Delivery Date]]))</f>
        <v/>
      </c>
      <c r="M630" s="1">
        <v>3</v>
      </c>
      <c r="N630" s="1">
        <v>1</v>
      </c>
      <c r="O630" s="1">
        <v>3</v>
      </c>
      <c r="Q630" t="str">
        <f>IF(ISBLANK(Data[[#This Row],[Customer Rating]]),"No Rating",IF(Data[[#This Row],[Customer Rating]]&gt;=9,"Promoter",IF(Data[[#This Row],[Customer Rating]]&gt;=7,"Passive","Detractor")))</f>
        <v>No Rating</v>
      </c>
    </row>
    <row r="631" spans="1:17" ht="14.25" customHeight="1" x14ac:dyDescent="0.3">
      <c r="A631" s="1" t="s">
        <v>657</v>
      </c>
      <c r="B631" s="1" t="s">
        <v>32</v>
      </c>
      <c r="C631" s="1" t="s">
        <v>16</v>
      </c>
      <c r="D631" s="1" t="str">
        <f>IF(Data[[#This Row],[Cancellation Status]]="No", "High Potential", "Normal")</f>
        <v>High Potential</v>
      </c>
      <c r="E631" s="2">
        <v>45942</v>
      </c>
      <c r="F631" s="2">
        <v>45945</v>
      </c>
      <c r="G631" s="2">
        <v>45946</v>
      </c>
      <c r="H631" s="2">
        <v>45953</v>
      </c>
      <c r="I631" s="1" t="s">
        <v>17</v>
      </c>
      <c r="K631" s="2">
        <v>45978</v>
      </c>
      <c r="L631" s="88">
        <f>IF(OR(Data[[#This Row],[Service Follow-up Date]]="",Data[[#This Row],[Delivery Date]]=""),"",INT(Data[[#This Row],[Service Follow-up Date]]-Data[[#This Row],[Delivery Date]]))</f>
        <v>25</v>
      </c>
      <c r="M631" s="1">
        <v>3</v>
      </c>
      <c r="N631" s="1">
        <v>1</v>
      </c>
      <c r="O631" s="1">
        <v>7</v>
      </c>
      <c r="P631" s="1">
        <v>3</v>
      </c>
      <c r="Q631" t="str">
        <f>IF(ISBLANK(Data[[#This Row],[Customer Rating]]),"No Rating",IF(Data[[#This Row],[Customer Rating]]&gt;=9,"Promoter",IF(Data[[#This Row],[Customer Rating]]&gt;=7,"Passive","Detractor")))</f>
        <v>Detractor</v>
      </c>
    </row>
    <row r="632" spans="1:17" ht="14.25" customHeight="1" x14ac:dyDescent="0.3">
      <c r="A632" s="1" t="s">
        <v>658</v>
      </c>
      <c r="B632" s="1" t="s">
        <v>15</v>
      </c>
      <c r="C632" s="1" t="s">
        <v>30</v>
      </c>
      <c r="D632" s="1" t="str">
        <f>IF(Data[[#This Row],[Cancellation Status]]="No", "High Potential", "Normal")</f>
        <v>High Potential</v>
      </c>
      <c r="E632" s="2">
        <v>45949</v>
      </c>
      <c r="F632" s="2">
        <v>45950</v>
      </c>
      <c r="G632" s="2">
        <v>45955</v>
      </c>
      <c r="H632" s="2">
        <v>45961</v>
      </c>
      <c r="I632" s="1" t="s">
        <v>17</v>
      </c>
      <c r="K632" s="2">
        <v>45982</v>
      </c>
      <c r="L632" s="88">
        <f>IF(OR(Data[[#This Row],[Service Follow-up Date]]="",Data[[#This Row],[Delivery Date]]=""),"",INT(Data[[#This Row],[Service Follow-up Date]]-Data[[#This Row],[Delivery Date]]))</f>
        <v>21</v>
      </c>
      <c r="M632" s="1">
        <v>1</v>
      </c>
      <c r="N632" s="1">
        <v>5</v>
      </c>
      <c r="O632" s="1">
        <v>6</v>
      </c>
      <c r="P632" s="1">
        <v>1</v>
      </c>
      <c r="Q632" t="str">
        <f>IF(ISBLANK(Data[[#This Row],[Customer Rating]]),"No Rating",IF(Data[[#This Row],[Customer Rating]]&gt;=9,"Promoter",IF(Data[[#This Row],[Customer Rating]]&gt;=7,"Passive","Detractor")))</f>
        <v>Detractor</v>
      </c>
    </row>
    <row r="633" spans="1:17" ht="14.25" customHeight="1" x14ac:dyDescent="0.3">
      <c r="A633" s="1" t="s">
        <v>659</v>
      </c>
      <c r="B633" s="1" t="s">
        <v>15</v>
      </c>
      <c r="C633" s="1" t="s">
        <v>22</v>
      </c>
      <c r="D633" s="1" t="str">
        <f>IF(Data[[#This Row],[Cancellation Status]]="No", "High Potential", "Normal")</f>
        <v>Normal</v>
      </c>
      <c r="E633" s="2">
        <v>45940</v>
      </c>
      <c r="I633" s="1" t="s">
        <v>23</v>
      </c>
      <c r="J633" s="1" t="s">
        <v>63</v>
      </c>
      <c r="L633" s="88" t="str">
        <f>IF(OR(Data[[#This Row],[Service Follow-up Date]]="",Data[[#This Row],[Delivery Date]]=""),"",INT(Data[[#This Row],[Service Follow-up Date]]-Data[[#This Row],[Delivery Date]]))</f>
        <v/>
      </c>
      <c r="Q633" t="str">
        <f>IF(ISBLANK(Data[[#This Row],[Customer Rating]]),"No Rating",IF(Data[[#This Row],[Customer Rating]]&gt;=9,"Promoter",IF(Data[[#This Row],[Customer Rating]]&gt;=7,"Passive","Detractor")))</f>
        <v>No Rating</v>
      </c>
    </row>
    <row r="634" spans="1:17" ht="14.25" customHeight="1" x14ac:dyDescent="0.3">
      <c r="A634" s="1" t="s">
        <v>660</v>
      </c>
      <c r="B634" s="1" t="s">
        <v>19</v>
      </c>
      <c r="C634" s="1" t="s">
        <v>30</v>
      </c>
      <c r="D634" s="1" t="str">
        <f>IF(Data[[#This Row],[Cancellation Status]]="No", "High Potential", "Normal")</f>
        <v>High Potential</v>
      </c>
      <c r="E634" s="2">
        <v>45951</v>
      </c>
      <c r="F634" s="2">
        <v>45952</v>
      </c>
      <c r="G634" s="2">
        <v>45954</v>
      </c>
      <c r="H634" s="2">
        <v>45956</v>
      </c>
      <c r="I634" s="1" t="s">
        <v>17</v>
      </c>
      <c r="K634" s="2">
        <v>45982</v>
      </c>
      <c r="L634" s="88">
        <f>IF(OR(Data[[#This Row],[Service Follow-up Date]]="",Data[[#This Row],[Delivery Date]]=""),"",INT(Data[[#This Row],[Service Follow-up Date]]-Data[[#This Row],[Delivery Date]]))</f>
        <v>26</v>
      </c>
      <c r="M634" s="1">
        <v>1</v>
      </c>
      <c r="N634" s="1">
        <v>2</v>
      </c>
      <c r="O634" s="1">
        <v>2</v>
      </c>
      <c r="P634" s="1">
        <v>9</v>
      </c>
      <c r="Q634" t="str">
        <f>IF(ISBLANK(Data[[#This Row],[Customer Rating]]),"No Rating",IF(Data[[#This Row],[Customer Rating]]&gt;=9,"Promoter",IF(Data[[#This Row],[Customer Rating]]&gt;=7,"Passive","Detractor")))</f>
        <v>Promoter</v>
      </c>
    </row>
    <row r="635" spans="1:17" ht="14.25" customHeight="1" x14ac:dyDescent="0.3">
      <c r="A635" s="1" t="s">
        <v>661</v>
      </c>
      <c r="B635" s="1" t="s">
        <v>15</v>
      </c>
      <c r="C635" s="1" t="s">
        <v>16</v>
      </c>
      <c r="D635" s="1" t="str">
        <f>IF(Data[[#This Row],[Cancellation Status]]="No", "High Potential", "Normal")</f>
        <v>High Potential</v>
      </c>
      <c r="E635" s="2">
        <v>45961</v>
      </c>
      <c r="F635" s="2">
        <v>45964</v>
      </c>
      <c r="G635" s="2">
        <v>45966</v>
      </c>
      <c r="H635" s="2">
        <v>45968</v>
      </c>
      <c r="I635" s="1" t="s">
        <v>17</v>
      </c>
      <c r="K635" s="2">
        <v>45987</v>
      </c>
      <c r="L635" s="88">
        <f>IF(OR(Data[[#This Row],[Service Follow-up Date]]="",Data[[#This Row],[Delivery Date]]=""),"",INT(Data[[#This Row],[Service Follow-up Date]]-Data[[#This Row],[Delivery Date]]))</f>
        <v>19</v>
      </c>
      <c r="M635" s="1">
        <v>3</v>
      </c>
      <c r="N635" s="1">
        <v>2</v>
      </c>
      <c r="O635" s="1">
        <v>2</v>
      </c>
      <c r="P635" s="1">
        <v>3</v>
      </c>
      <c r="Q635" t="str">
        <f>IF(ISBLANK(Data[[#This Row],[Customer Rating]]),"No Rating",IF(Data[[#This Row],[Customer Rating]]&gt;=9,"Promoter",IF(Data[[#This Row],[Customer Rating]]&gt;=7,"Passive","Detractor")))</f>
        <v>Detractor</v>
      </c>
    </row>
    <row r="636" spans="1:17" ht="14.25" customHeight="1" x14ac:dyDescent="0.3">
      <c r="A636" s="1" t="s">
        <v>662</v>
      </c>
      <c r="B636" s="1" t="s">
        <v>21</v>
      </c>
      <c r="C636" s="1" t="s">
        <v>16</v>
      </c>
      <c r="D636" s="1" t="str">
        <f>IF(Data[[#This Row],[Cancellation Status]]="No", "High Potential", "Normal")</f>
        <v>High Potential</v>
      </c>
      <c r="E636" s="2">
        <v>45944</v>
      </c>
      <c r="F636" s="2">
        <v>45947</v>
      </c>
      <c r="G636" s="2">
        <v>45949</v>
      </c>
      <c r="H636" s="2">
        <v>45951</v>
      </c>
      <c r="I636" s="1" t="s">
        <v>17</v>
      </c>
      <c r="K636" s="2">
        <v>45966</v>
      </c>
      <c r="L636" s="88">
        <f>IF(OR(Data[[#This Row],[Service Follow-up Date]]="",Data[[#This Row],[Delivery Date]]=""),"",INT(Data[[#This Row],[Service Follow-up Date]]-Data[[#This Row],[Delivery Date]]))</f>
        <v>15</v>
      </c>
      <c r="M636" s="1">
        <v>3</v>
      </c>
      <c r="N636" s="1">
        <v>2</v>
      </c>
      <c r="O636" s="1">
        <v>2</v>
      </c>
      <c r="P636" s="1">
        <v>5</v>
      </c>
      <c r="Q636" t="str">
        <f>IF(ISBLANK(Data[[#This Row],[Customer Rating]]),"No Rating",IF(Data[[#This Row],[Customer Rating]]&gt;=9,"Promoter",IF(Data[[#This Row],[Customer Rating]]&gt;=7,"Passive","Detractor")))</f>
        <v>Detractor</v>
      </c>
    </row>
    <row r="637" spans="1:17" ht="14.25" customHeight="1" x14ac:dyDescent="0.3">
      <c r="A637" s="1" t="s">
        <v>663</v>
      </c>
      <c r="B637" s="1" t="s">
        <v>21</v>
      </c>
      <c r="C637" s="1" t="s">
        <v>30</v>
      </c>
      <c r="D637" s="1" t="str">
        <f>IF(Data[[#This Row],[Cancellation Status]]="No", "High Potential", "Normal")</f>
        <v>Normal</v>
      </c>
      <c r="E637" s="2">
        <v>45953</v>
      </c>
      <c r="F637" s="2">
        <v>45956</v>
      </c>
      <c r="G637" s="2">
        <v>45961</v>
      </c>
      <c r="H637" s="2">
        <v>45964</v>
      </c>
      <c r="I637" s="1" t="s">
        <v>23</v>
      </c>
      <c r="J637" s="1" t="s">
        <v>101</v>
      </c>
      <c r="L637" s="88" t="str">
        <f>IF(OR(Data[[#This Row],[Service Follow-up Date]]="",Data[[#This Row],[Delivery Date]]=""),"",INT(Data[[#This Row],[Service Follow-up Date]]-Data[[#This Row],[Delivery Date]]))</f>
        <v/>
      </c>
      <c r="M637" s="1">
        <v>3</v>
      </c>
      <c r="N637" s="1">
        <v>5</v>
      </c>
      <c r="O637" s="1">
        <v>3</v>
      </c>
      <c r="Q637" t="str">
        <f>IF(ISBLANK(Data[[#This Row],[Customer Rating]]),"No Rating",IF(Data[[#This Row],[Customer Rating]]&gt;=9,"Promoter",IF(Data[[#This Row],[Customer Rating]]&gt;=7,"Passive","Detractor")))</f>
        <v>No Rating</v>
      </c>
    </row>
    <row r="638" spans="1:17" ht="14.25" customHeight="1" x14ac:dyDescent="0.3">
      <c r="A638" s="1" t="s">
        <v>664</v>
      </c>
      <c r="B638" s="1" t="s">
        <v>32</v>
      </c>
      <c r="C638" s="1" t="s">
        <v>16</v>
      </c>
      <c r="D638" s="1" t="str">
        <f>IF(Data[[#This Row],[Cancellation Status]]="No", "High Potential", "Normal")</f>
        <v>High Potential</v>
      </c>
      <c r="E638" s="2">
        <v>45939</v>
      </c>
      <c r="F638" s="2">
        <v>45943</v>
      </c>
      <c r="G638" s="2">
        <v>45948</v>
      </c>
      <c r="H638" s="2">
        <v>45950</v>
      </c>
      <c r="I638" s="1" t="s">
        <v>17</v>
      </c>
      <c r="K638" s="2">
        <v>45977</v>
      </c>
      <c r="L638" s="88">
        <f>IF(OR(Data[[#This Row],[Service Follow-up Date]]="",Data[[#This Row],[Delivery Date]]=""),"",INT(Data[[#This Row],[Service Follow-up Date]]-Data[[#This Row],[Delivery Date]]))</f>
        <v>27</v>
      </c>
      <c r="M638" s="1">
        <v>4</v>
      </c>
      <c r="N638" s="1">
        <v>5</v>
      </c>
      <c r="O638" s="1">
        <v>2</v>
      </c>
      <c r="P638" s="1">
        <v>3</v>
      </c>
      <c r="Q638" t="str">
        <f>IF(ISBLANK(Data[[#This Row],[Customer Rating]]),"No Rating",IF(Data[[#This Row],[Customer Rating]]&gt;=9,"Promoter",IF(Data[[#This Row],[Customer Rating]]&gt;=7,"Passive","Detractor")))</f>
        <v>Detractor</v>
      </c>
    </row>
    <row r="639" spans="1:17" ht="14.25" customHeight="1" x14ac:dyDescent="0.3">
      <c r="A639" s="1" t="s">
        <v>665</v>
      </c>
      <c r="B639" s="1" t="s">
        <v>15</v>
      </c>
      <c r="C639" s="1" t="s">
        <v>30</v>
      </c>
      <c r="D639" s="1" t="str">
        <f>IF(Data[[#This Row],[Cancellation Status]]="No", "High Potential", "Normal")</f>
        <v>High Potential</v>
      </c>
      <c r="E639" s="2">
        <v>45945</v>
      </c>
      <c r="F639" s="2">
        <v>45950</v>
      </c>
      <c r="G639" s="2">
        <v>45953</v>
      </c>
      <c r="H639" s="2">
        <v>45958</v>
      </c>
      <c r="I639" s="1" t="s">
        <v>17</v>
      </c>
      <c r="K639" s="2">
        <v>45973</v>
      </c>
      <c r="L639" s="88">
        <f>IF(OR(Data[[#This Row],[Service Follow-up Date]]="",Data[[#This Row],[Delivery Date]]=""),"",INT(Data[[#This Row],[Service Follow-up Date]]-Data[[#This Row],[Delivery Date]]))</f>
        <v>15</v>
      </c>
      <c r="M639" s="1">
        <v>5</v>
      </c>
      <c r="N639" s="1">
        <v>3</v>
      </c>
      <c r="O639" s="1">
        <v>5</v>
      </c>
      <c r="P639" s="1">
        <v>2</v>
      </c>
      <c r="Q639" t="str">
        <f>IF(ISBLANK(Data[[#This Row],[Customer Rating]]),"No Rating",IF(Data[[#This Row],[Customer Rating]]&gt;=9,"Promoter",IF(Data[[#This Row],[Customer Rating]]&gt;=7,"Passive","Detractor")))</f>
        <v>Detractor</v>
      </c>
    </row>
    <row r="640" spans="1:17" ht="14.25" customHeight="1" x14ac:dyDescent="0.3">
      <c r="A640" s="1" t="s">
        <v>666</v>
      </c>
      <c r="B640" s="1" t="s">
        <v>19</v>
      </c>
      <c r="C640" s="1" t="s">
        <v>30</v>
      </c>
      <c r="D640" s="1" t="str">
        <f>IF(Data[[#This Row],[Cancellation Status]]="No", "High Potential", "Normal")</f>
        <v>High Potential</v>
      </c>
      <c r="E640" s="2">
        <v>45958</v>
      </c>
      <c r="F640" s="2">
        <v>45962</v>
      </c>
      <c r="G640" s="2">
        <v>45965</v>
      </c>
      <c r="H640" s="2">
        <v>45969</v>
      </c>
      <c r="I640" s="1" t="s">
        <v>17</v>
      </c>
      <c r="K640" s="2">
        <v>45988</v>
      </c>
      <c r="L640" s="88">
        <f>IF(OR(Data[[#This Row],[Service Follow-up Date]]="",Data[[#This Row],[Delivery Date]]=""),"",INT(Data[[#This Row],[Service Follow-up Date]]-Data[[#This Row],[Delivery Date]]))</f>
        <v>19</v>
      </c>
      <c r="M640" s="1">
        <v>4</v>
      </c>
      <c r="N640" s="1">
        <v>3</v>
      </c>
      <c r="O640" s="1">
        <v>4</v>
      </c>
      <c r="P640" s="1">
        <v>1</v>
      </c>
      <c r="Q640" t="str">
        <f>IF(ISBLANK(Data[[#This Row],[Customer Rating]]),"No Rating",IF(Data[[#This Row],[Customer Rating]]&gt;=9,"Promoter",IF(Data[[#This Row],[Customer Rating]]&gt;=7,"Passive","Detractor")))</f>
        <v>Detractor</v>
      </c>
    </row>
    <row r="641" spans="1:17" ht="14.25" customHeight="1" x14ac:dyDescent="0.3">
      <c r="A641" s="1" t="s">
        <v>667</v>
      </c>
      <c r="B641" s="1" t="s">
        <v>21</v>
      </c>
      <c r="C641" s="1" t="s">
        <v>16</v>
      </c>
      <c r="D641" s="1" t="str">
        <f>IF(Data[[#This Row],[Cancellation Status]]="No", "High Potential", "Normal")</f>
        <v>High Potential</v>
      </c>
      <c r="E641" s="2">
        <v>45940</v>
      </c>
      <c r="F641" s="2">
        <v>45942</v>
      </c>
      <c r="G641" s="2">
        <v>45945</v>
      </c>
      <c r="H641" s="2">
        <v>45950</v>
      </c>
      <c r="I641" s="1" t="s">
        <v>17</v>
      </c>
      <c r="K641" s="2">
        <v>45963</v>
      </c>
      <c r="L641" s="88">
        <f>IF(OR(Data[[#This Row],[Service Follow-up Date]]="",Data[[#This Row],[Delivery Date]]=""),"",INT(Data[[#This Row],[Service Follow-up Date]]-Data[[#This Row],[Delivery Date]]))</f>
        <v>13</v>
      </c>
      <c r="M641" s="1">
        <v>2</v>
      </c>
      <c r="N641" s="1">
        <v>3</v>
      </c>
      <c r="O641" s="1">
        <v>5</v>
      </c>
      <c r="P641" s="1">
        <v>8</v>
      </c>
      <c r="Q641" t="str">
        <f>IF(ISBLANK(Data[[#This Row],[Customer Rating]]),"No Rating",IF(Data[[#This Row],[Customer Rating]]&gt;=9,"Promoter",IF(Data[[#This Row],[Customer Rating]]&gt;=7,"Passive","Detractor")))</f>
        <v>Passive</v>
      </c>
    </row>
    <row r="642" spans="1:17" ht="14.25" customHeight="1" x14ac:dyDescent="0.3">
      <c r="A642" s="1" t="s">
        <v>668</v>
      </c>
      <c r="B642" s="1" t="s">
        <v>19</v>
      </c>
      <c r="C642" s="1" t="s">
        <v>22</v>
      </c>
      <c r="D642" s="1" t="str">
        <f>IF(Data[[#This Row],[Cancellation Status]]="No", "High Potential", "Normal")</f>
        <v>Normal</v>
      </c>
      <c r="E642" s="2">
        <v>45937</v>
      </c>
      <c r="I642" s="1" t="s">
        <v>23</v>
      </c>
      <c r="J642" s="1" t="s">
        <v>26</v>
      </c>
      <c r="L642" s="88" t="str">
        <f>IF(OR(Data[[#This Row],[Service Follow-up Date]]="",Data[[#This Row],[Delivery Date]]=""),"",INT(Data[[#This Row],[Service Follow-up Date]]-Data[[#This Row],[Delivery Date]]))</f>
        <v/>
      </c>
      <c r="Q642" t="str">
        <f>IF(ISBLANK(Data[[#This Row],[Customer Rating]]),"No Rating",IF(Data[[#This Row],[Customer Rating]]&gt;=9,"Promoter",IF(Data[[#This Row],[Customer Rating]]&gt;=7,"Passive","Detractor")))</f>
        <v>No Rating</v>
      </c>
    </row>
    <row r="643" spans="1:17" ht="14.25" customHeight="1" x14ac:dyDescent="0.3">
      <c r="A643" s="1" t="s">
        <v>669</v>
      </c>
      <c r="B643" s="1" t="s">
        <v>19</v>
      </c>
      <c r="C643" s="1" t="s">
        <v>16</v>
      </c>
      <c r="D643" s="1" t="str">
        <f>IF(Data[[#This Row],[Cancellation Status]]="No", "High Potential", "Normal")</f>
        <v>High Potential</v>
      </c>
      <c r="E643" s="2">
        <v>45943</v>
      </c>
      <c r="F643" s="2">
        <v>45947</v>
      </c>
      <c r="G643" s="2">
        <v>45951</v>
      </c>
      <c r="H643" s="2">
        <v>45954</v>
      </c>
      <c r="I643" s="1" t="s">
        <v>17</v>
      </c>
      <c r="K643" s="2">
        <v>45979</v>
      </c>
      <c r="L643" s="88">
        <f>IF(OR(Data[[#This Row],[Service Follow-up Date]]="",Data[[#This Row],[Delivery Date]]=""),"",INT(Data[[#This Row],[Service Follow-up Date]]-Data[[#This Row],[Delivery Date]]))</f>
        <v>25</v>
      </c>
      <c r="M643" s="1">
        <v>4</v>
      </c>
      <c r="N643" s="1">
        <v>4</v>
      </c>
      <c r="O643" s="1">
        <v>3</v>
      </c>
      <c r="P643" s="1">
        <v>9</v>
      </c>
      <c r="Q643" t="str">
        <f>IF(ISBLANK(Data[[#This Row],[Customer Rating]]),"No Rating",IF(Data[[#This Row],[Customer Rating]]&gt;=9,"Promoter",IF(Data[[#This Row],[Customer Rating]]&gt;=7,"Passive","Detractor")))</f>
        <v>Promoter</v>
      </c>
    </row>
    <row r="644" spans="1:17" ht="14.25" customHeight="1" x14ac:dyDescent="0.3">
      <c r="A644" s="1" t="s">
        <v>670</v>
      </c>
      <c r="B644" s="1" t="s">
        <v>21</v>
      </c>
      <c r="C644" s="1" t="s">
        <v>16</v>
      </c>
      <c r="D644" s="1" t="str">
        <f>IF(Data[[#This Row],[Cancellation Status]]="No", "High Potential", "Normal")</f>
        <v>High Potential</v>
      </c>
      <c r="E644" s="2">
        <v>45958</v>
      </c>
      <c r="F644" s="2">
        <v>45961</v>
      </c>
      <c r="G644" s="2">
        <v>45962</v>
      </c>
      <c r="H644" s="2">
        <v>45965</v>
      </c>
      <c r="I644" s="1" t="s">
        <v>17</v>
      </c>
      <c r="K644" s="2">
        <v>45979</v>
      </c>
      <c r="L644" s="88">
        <f>IF(OR(Data[[#This Row],[Service Follow-up Date]]="",Data[[#This Row],[Delivery Date]]=""),"",INT(Data[[#This Row],[Service Follow-up Date]]-Data[[#This Row],[Delivery Date]]))</f>
        <v>14</v>
      </c>
      <c r="M644" s="1">
        <v>3</v>
      </c>
      <c r="N644" s="1">
        <v>1</v>
      </c>
      <c r="O644" s="1">
        <v>3</v>
      </c>
      <c r="P644" s="1">
        <v>4</v>
      </c>
      <c r="Q644" t="str">
        <f>IF(ISBLANK(Data[[#This Row],[Customer Rating]]),"No Rating",IF(Data[[#This Row],[Customer Rating]]&gt;=9,"Promoter",IF(Data[[#This Row],[Customer Rating]]&gt;=7,"Passive","Detractor")))</f>
        <v>Detractor</v>
      </c>
    </row>
    <row r="645" spans="1:17" ht="14.25" customHeight="1" x14ac:dyDescent="0.3">
      <c r="A645" s="1" t="s">
        <v>671</v>
      </c>
      <c r="B645" s="1" t="s">
        <v>19</v>
      </c>
      <c r="C645" s="1" t="s">
        <v>30</v>
      </c>
      <c r="D645" s="1" t="str">
        <f>IF(Data[[#This Row],[Cancellation Status]]="No", "High Potential", "Normal")</f>
        <v>High Potential</v>
      </c>
      <c r="E645" s="2">
        <v>45946</v>
      </c>
      <c r="F645" s="2">
        <v>45950</v>
      </c>
      <c r="G645" s="2">
        <v>45953</v>
      </c>
      <c r="H645" s="2">
        <v>45955</v>
      </c>
      <c r="I645" s="1" t="s">
        <v>17</v>
      </c>
      <c r="K645" s="2">
        <v>45973</v>
      </c>
      <c r="L645" s="88">
        <f>IF(OR(Data[[#This Row],[Service Follow-up Date]]="",Data[[#This Row],[Delivery Date]]=""),"",INT(Data[[#This Row],[Service Follow-up Date]]-Data[[#This Row],[Delivery Date]]))</f>
        <v>18</v>
      </c>
      <c r="M645" s="1">
        <v>4</v>
      </c>
      <c r="N645" s="1">
        <v>3</v>
      </c>
      <c r="O645" s="1">
        <v>2</v>
      </c>
      <c r="P645" s="1">
        <v>4</v>
      </c>
      <c r="Q645" t="str">
        <f>IF(ISBLANK(Data[[#This Row],[Customer Rating]]),"No Rating",IF(Data[[#This Row],[Customer Rating]]&gt;=9,"Promoter",IF(Data[[#This Row],[Customer Rating]]&gt;=7,"Passive","Detractor")))</f>
        <v>Detractor</v>
      </c>
    </row>
    <row r="646" spans="1:17" ht="14.25" customHeight="1" x14ac:dyDescent="0.3">
      <c r="A646" s="1" t="s">
        <v>672</v>
      </c>
      <c r="B646" s="1" t="s">
        <v>21</v>
      </c>
      <c r="C646" s="1" t="s">
        <v>30</v>
      </c>
      <c r="D646" s="1" t="str">
        <f>IF(Data[[#This Row],[Cancellation Status]]="No", "High Potential", "Normal")</f>
        <v>High Potential</v>
      </c>
      <c r="E646" s="2">
        <v>45934</v>
      </c>
      <c r="F646" s="2">
        <v>45935</v>
      </c>
      <c r="G646" s="2">
        <v>45939</v>
      </c>
      <c r="H646" s="2">
        <v>45945</v>
      </c>
      <c r="I646" s="1" t="s">
        <v>17</v>
      </c>
      <c r="K646" s="2">
        <v>45972</v>
      </c>
      <c r="L646" s="88">
        <f>IF(OR(Data[[#This Row],[Service Follow-up Date]]="",Data[[#This Row],[Delivery Date]]=""),"",INT(Data[[#This Row],[Service Follow-up Date]]-Data[[#This Row],[Delivery Date]]))</f>
        <v>27</v>
      </c>
      <c r="M646" s="1">
        <v>1</v>
      </c>
      <c r="N646" s="1">
        <v>4</v>
      </c>
      <c r="O646" s="1">
        <v>6</v>
      </c>
      <c r="P646" s="1">
        <v>1</v>
      </c>
      <c r="Q646" t="str">
        <f>IF(ISBLANK(Data[[#This Row],[Customer Rating]]),"No Rating",IF(Data[[#This Row],[Customer Rating]]&gt;=9,"Promoter",IF(Data[[#This Row],[Customer Rating]]&gt;=7,"Passive","Detractor")))</f>
        <v>Detractor</v>
      </c>
    </row>
    <row r="647" spans="1:17" ht="14.25" customHeight="1" x14ac:dyDescent="0.3">
      <c r="A647" s="1" t="s">
        <v>673</v>
      </c>
      <c r="B647" s="1" t="s">
        <v>19</v>
      </c>
      <c r="C647" s="1" t="s">
        <v>30</v>
      </c>
      <c r="D647" s="1" t="str">
        <f>IF(Data[[#This Row],[Cancellation Status]]="No", "High Potential", "Normal")</f>
        <v>High Potential</v>
      </c>
      <c r="E647" s="2">
        <v>45938</v>
      </c>
      <c r="F647" s="2">
        <v>45941</v>
      </c>
      <c r="G647" s="2">
        <v>45945</v>
      </c>
      <c r="H647" s="2">
        <v>45952</v>
      </c>
      <c r="I647" s="1" t="s">
        <v>17</v>
      </c>
      <c r="K647" s="2">
        <v>45967</v>
      </c>
      <c r="L647" s="88">
        <f>IF(OR(Data[[#This Row],[Service Follow-up Date]]="",Data[[#This Row],[Delivery Date]]=""),"",INT(Data[[#This Row],[Service Follow-up Date]]-Data[[#This Row],[Delivery Date]]))</f>
        <v>15</v>
      </c>
      <c r="M647" s="1">
        <v>3</v>
      </c>
      <c r="N647" s="1">
        <v>4</v>
      </c>
      <c r="O647" s="1">
        <v>7</v>
      </c>
      <c r="P647" s="1">
        <v>0</v>
      </c>
      <c r="Q647" t="str">
        <f>IF(ISBLANK(Data[[#This Row],[Customer Rating]]),"No Rating",IF(Data[[#This Row],[Customer Rating]]&gt;=9,"Promoter",IF(Data[[#This Row],[Customer Rating]]&gt;=7,"Passive","Detractor")))</f>
        <v>Detractor</v>
      </c>
    </row>
    <row r="648" spans="1:17" ht="14.25" customHeight="1" x14ac:dyDescent="0.3">
      <c r="A648" s="1" t="s">
        <v>674</v>
      </c>
      <c r="B648" s="1" t="s">
        <v>21</v>
      </c>
      <c r="C648" s="1" t="s">
        <v>30</v>
      </c>
      <c r="D648" s="1" t="str">
        <f>IF(Data[[#This Row],[Cancellation Status]]="No", "High Potential", "Normal")</f>
        <v>High Potential</v>
      </c>
      <c r="E648" s="2">
        <v>45943</v>
      </c>
      <c r="F648" s="2">
        <v>45948</v>
      </c>
      <c r="G648" s="2">
        <v>45953</v>
      </c>
      <c r="H648" s="2">
        <v>45960</v>
      </c>
      <c r="I648" s="1" t="s">
        <v>17</v>
      </c>
      <c r="K648" s="2">
        <v>45980</v>
      </c>
      <c r="L648" s="88">
        <f>IF(OR(Data[[#This Row],[Service Follow-up Date]]="",Data[[#This Row],[Delivery Date]]=""),"",INT(Data[[#This Row],[Service Follow-up Date]]-Data[[#This Row],[Delivery Date]]))</f>
        <v>20</v>
      </c>
      <c r="M648" s="1">
        <v>5</v>
      </c>
      <c r="N648" s="1">
        <v>5</v>
      </c>
      <c r="O648" s="1">
        <v>7</v>
      </c>
      <c r="P648" s="1">
        <v>6</v>
      </c>
      <c r="Q648" t="str">
        <f>IF(ISBLANK(Data[[#This Row],[Customer Rating]]),"No Rating",IF(Data[[#This Row],[Customer Rating]]&gt;=9,"Promoter",IF(Data[[#This Row],[Customer Rating]]&gt;=7,"Passive","Detractor")))</f>
        <v>Detractor</v>
      </c>
    </row>
    <row r="649" spans="1:17" ht="14.25" customHeight="1" x14ac:dyDescent="0.3">
      <c r="A649" s="1" t="s">
        <v>675</v>
      </c>
      <c r="B649" s="1" t="s">
        <v>15</v>
      </c>
      <c r="C649" s="1" t="s">
        <v>16</v>
      </c>
      <c r="D649" s="1" t="str">
        <f>IF(Data[[#This Row],[Cancellation Status]]="No", "High Potential", "Normal")</f>
        <v>High Potential</v>
      </c>
      <c r="E649" s="2">
        <v>45949</v>
      </c>
      <c r="F649" s="2">
        <v>45953</v>
      </c>
      <c r="G649" s="2">
        <v>45955</v>
      </c>
      <c r="H649" s="2">
        <v>45962</v>
      </c>
      <c r="I649" s="1" t="s">
        <v>17</v>
      </c>
      <c r="K649" s="2">
        <v>45992</v>
      </c>
      <c r="L649" s="88">
        <f>IF(OR(Data[[#This Row],[Service Follow-up Date]]="",Data[[#This Row],[Delivery Date]]=""),"",INT(Data[[#This Row],[Service Follow-up Date]]-Data[[#This Row],[Delivery Date]]))</f>
        <v>30</v>
      </c>
      <c r="M649" s="1">
        <v>4</v>
      </c>
      <c r="N649" s="1">
        <v>2</v>
      </c>
      <c r="O649" s="1">
        <v>7</v>
      </c>
      <c r="P649" s="1">
        <v>5</v>
      </c>
      <c r="Q649" t="str">
        <f>IF(ISBLANK(Data[[#This Row],[Customer Rating]]),"No Rating",IF(Data[[#This Row],[Customer Rating]]&gt;=9,"Promoter",IF(Data[[#This Row],[Customer Rating]]&gt;=7,"Passive","Detractor")))</f>
        <v>Detractor</v>
      </c>
    </row>
    <row r="650" spans="1:17" ht="14.25" customHeight="1" x14ac:dyDescent="0.3">
      <c r="A650" s="1" t="s">
        <v>676</v>
      </c>
      <c r="B650" s="1" t="s">
        <v>32</v>
      </c>
      <c r="C650" s="1" t="s">
        <v>16</v>
      </c>
      <c r="D650" s="1" t="str">
        <f>IF(Data[[#This Row],[Cancellation Status]]="No", "High Potential", "Normal")</f>
        <v>High Potential</v>
      </c>
      <c r="E650" s="2">
        <v>45942</v>
      </c>
      <c r="F650" s="2">
        <v>45945</v>
      </c>
      <c r="G650" s="2">
        <v>45947</v>
      </c>
      <c r="H650" s="2">
        <v>45952</v>
      </c>
      <c r="I650" s="1" t="s">
        <v>17</v>
      </c>
      <c r="K650" s="2">
        <v>45964</v>
      </c>
      <c r="L650" s="88">
        <f>IF(OR(Data[[#This Row],[Service Follow-up Date]]="",Data[[#This Row],[Delivery Date]]=""),"",INT(Data[[#This Row],[Service Follow-up Date]]-Data[[#This Row],[Delivery Date]]))</f>
        <v>12</v>
      </c>
      <c r="M650" s="1">
        <v>3</v>
      </c>
      <c r="N650" s="1">
        <v>2</v>
      </c>
      <c r="O650" s="1">
        <v>5</v>
      </c>
      <c r="P650" s="1">
        <v>0</v>
      </c>
      <c r="Q650" t="str">
        <f>IF(ISBLANK(Data[[#This Row],[Customer Rating]]),"No Rating",IF(Data[[#This Row],[Customer Rating]]&gt;=9,"Promoter",IF(Data[[#This Row],[Customer Rating]]&gt;=7,"Passive","Detractor")))</f>
        <v>Detractor</v>
      </c>
    </row>
    <row r="651" spans="1:17" ht="14.25" customHeight="1" x14ac:dyDescent="0.3">
      <c r="A651" s="1" t="s">
        <v>677</v>
      </c>
      <c r="B651" s="1" t="s">
        <v>21</v>
      </c>
      <c r="C651" s="1" t="s">
        <v>16</v>
      </c>
      <c r="D651" s="1" t="str">
        <f>IF(Data[[#This Row],[Cancellation Status]]="No", "High Potential", "Normal")</f>
        <v>Normal</v>
      </c>
      <c r="E651" s="2">
        <v>45949</v>
      </c>
      <c r="F651" s="2">
        <v>45950</v>
      </c>
      <c r="G651" s="2">
        <v>45953</v>
      </c>
      <c r="H651" s="2">
        <v>45956</v>
      </c>
      <c r="I651" s="1" t="s">
        <v>23</v>
      </c>
      <c r="J651" s="1" t="s">
        <v>24</v>
      </c>
      <c r="L651" s="88" t="str">
        <f>IF(OR(Data[[#This Row],[Service Follow-up Date]]="",Data[[#This Row],[Delivery Date]]=""),"",INT(Data[[#This Row],[Service Follow-up Date]]-Data[[#This Row],[Delivery Date]]))</f>
        <v/>
      </c>
      <c r="M651" s="1">
        <v>1</v>
      </c>
      <c r="N651" s="1">
        <v>3</v>
      </c>
      <c r="O651" s="1">
        <v>3</v>
      </c>
      <c r="Q651" t="str">
        <f>IF(ISBLANK(Data[[#This Row],[Customer Rating]]),"No Rating",IF(Data[[#This Row],[Customer Rating]]&gt;=9,"Promoter",IF(Data[[#This Row],[Customer Rating]]&gt;=7,"Passive","Detractor")))</f>
        <v>No Rating</v>
      </c>
    </row>
    <row r="652" spans="1:17" ht="14.25" customHeight="1" x14ac:dyDescent="0.3">
      <c r="A652" s="1" t="s">
        <v>678</v>
      </c>
      <c r="B652" s="1" t="s">
        <v>21</v>
      </c>
      <c r="C652" s="1" t="s">
        <v>30</v>
      </c>
      <c r="D652" s="1" t="str">
        <f>IF(Data[[#This Row],[Cancellation Status]]="No", "High Potential", "Normal")</f>
        <v>Normal</v>
      </c>
      <c r="E652" s="2">
        <v>45940</v>
      </c>
      <c r="F652" s="2">
        <v>45941</v>
      </c>
      <c r="G652" s="2">
        <v>45942</v>
      </c>
      <c r="H652" s="2">
        <v>45946</v>
      </c>
      <c r="I652" s="1" t="s">
        <v>23</v>
      </c>
      <c r="J652" s="1" t="s">
        <v>101</v>
      </c>
      <c r="L652" s="88" t="str">
        <f>IF(OR(Data[[#This Row],[Service Follow-up Date]]="",Data[[#This Row],[Delivery Date]]=""),"",INT(Data[[#This Row],[Service Follow-up Date]]-Data[[#This Row],[Delivery Date]]))</f>
        <v/>
      </c>
      <c r="M652" s="1">
        <v>1</v>
      </c>
      <c r="N652" s="1">
        <v>1</v>
      </c>
      <c r="O652" s="1">
        <v>4</v>
      </c>
      <c r="Q652" t="str">
        <f>IF(ISBLANK(Data[[#This Row],[Customer Rating]]),"No Rating",IF(Data[[#This Row],[Customer Rating]]&gt;=9,"Promoter",IF(Data[[#This Row],[Customer Rating]]&gt;=7,"Passive","Detractor")))</f>
        <v>No Rating</v>
      </c>
    </row>
    <row r="653" spans="1:17" ht="14.25" customHeight="1" x14ac:dyDescent="0.3">
      <c r="A653" s="1" t="s">
        <v>679</v>
      </c>
      <c r="B653" s="1" t="s">
        <v>32</v>
      </c>
      <c r="C653" s="1" t="s">
        <v>16</v>
      </c>
      <c r="D653" s="1" t="str">
        <f>IF(Data[[#This Row],[Cancellation Status]]="No", "High Potential", "Normal")</f>
        <v>Normal</v>
      </c>
      <c r="E653" s="2">
        <v>45953</v>
      </c>
      <c r="F653" s="2">
        <v>45957</v>
      </c>
      <c r="G653" s="2">
        <v>45958</v>
      </c>
      <c r="H653" s="2">
        <v>45961</v>
      </c>
      <c r="I653" s="1" t="s">
        <v>23</v>
      </c>
      <c r="J653" s="1" t="s">
        <v>101</v>
      </c>
      <c r="L653" s="88" t="str">
        <f>IF(OR(Data[[#This Row],[Service Follow-up Date]]="",Data[[#This Row],[Delivery Date]]=""),"",INT(Data[[#This Row],[Service Follow-up Date]]-Data[[#This Row],[Delivery Date]]))</f>
        <v/>
      </c>
      <c r="M653" s="1">
        <v>4</v>
      </c>
      <c r="N653" s="1">
        <v>1</v>
      </c>
      <c r="O653" s="1">
        <v>3</v>
      </c>
      <c r="Q653" t="str">
        <f>IF(ISBLANK(Data[[#This Row],[Customer Rating]]),"No Rating",IF(Data[[#This Row],[Customer Rating]]&gt;=9,"Promoter",IF(Data[[#This Row],[Customer Rating]]&gt;=7,"Passive","Detractor")))</f>
        <v>No Rating</v>
      </c>
    </row>
    <row r="654" spans="1:17" ht="14.25" customHeight="1" x14ac:dyDescent="0.3">
      <c r="A654" s="1" t="s">
        <v>680</v>
      </c>
      <c r="B654" s="1" t="s">
        <v>21</v>
      </c>
      <c r="C654" s="1" t="s">
        <v>22</v>
      </c>
      <c r="D654" s="1" t="str">
        <f>IF(Data[[#This Row],[Cancellation Status]]="No", "High Potential", "Normal")</f>
        <v>Normal</v>
      </c>
      <c r="E654" s="2">
        <v>45940</v>
      </c>
      <c r="I654" s="1" t="s">
        <v>23</v>
      </c>
      <c r="J654" s="1" t="s">
        <v>26</v>
      </c>
      <c r="L654" s="88" t="str">
        <f>IF(OR(Data[[#This Row],[Service Follow-up Date]]="",Data[[#This Row],[Delivery Date]]=""),"",INT(Data[[#This Row],[Service Follow-up Date]]-Data[[#This Row],[Delivery Date]]))</f>
        <v/>
      </c>
      <c r="Q654" t="str">
        <f>IF(ISBLANK(Data[[#This Row],[Customer Rating]]),"No Rating",IF(Data[[#This Row],[Customer Rating]]&gt;=9,"Promoter",IF(Data[[#This Row],[Customer Rating]]&gt;=7,"Passive","Detractor")))</f>
        <v>No Rating</v>
      </c>
    </row>
    <row r="655" spans="1:17" ht="14.25" customHeight="1" x14ac:dyDescent="0.3">
      <c r="A655" s="1" t="s">
        <v>681</v>
      </c>
      <c r="B655" s="1" t="s">
        <v>21</v>
      </c>
      <c r="C655" s="1" t="s">
        <v>30</v>
      </c>
      <c r="D655" s="1" t="str">
        <f>IF(Data[[#This Row],[Cancellation Status]]="No", "High Potential", "Normal")</f>
        <v>High Potential</v>
      </c>
      <c r="E655" s="2">
        <v>45931</v>
      </c>
      <c r="F655" s="2">
        <v>45934</v>
      </c>
      <c r="G655" s="2">
        <v>45935</v>
      </c>
      <c r="H655" s="2">
        <v>45940</v>
      </c>
      <c r="I655" s="1" t="s">
        <v>17</v>
      </c>
      <c r="K655" s="2">
        <v>45957</v>
      </c>
      <c r="L655" s="88">
        <f>IF(OR(Data[[#This Row],[Service Follow-up Date]]="",Data[[#This Row],[Delivery Date]]=""),"",INT(Data[[#This Row],[Service Follow-up Date]]-Data[[#This Row],[Delivery Date]]))</f>
        <v>17</v>
      </c>
      <c r="M655" s="1">
        <v>3</v>
      </c>
      <c r="N655" s="1">
        <v>1</v>
      </c>
      <c r="O655" s="1">
        <v>5</v>
      </c>
      <c r="P655" s="1">
        <v>3</v>
      </c>
      <c r="Q655" t="str">
        <f>IF(ISBLANK(Data[[#This Row],[Customer Rating]]),"No Rating",IF(Data[[#This Row],[Customer Rating]]&gt;=9,"Promoter",IF(Data[[#This Row],[Customer Rating]]&gt;=7,"Passive","Detractor")))</f>
        <v>Detractor</v>
      </c>
    </row>
    <row r="656" spans="1:17" ht="14.25" customHeight="1" x14ac:dyDescent="0.3">
      <c r="A656" s="1" t="s">
        <v>682</v>
      </c>
      <c r="B656" s="1" t="s">
        <v>19</v>
      </c>
      <c r="C656" s="1" t="s">
        <v>22</v>
      </c>
      <c r="D656" s="1" t="str">
        <f>IF(Data[[#This Row],[Cancellation Status]]="No", "High Potential", "Normal")</f>
        <v>Normal</v>
      </c>
      <c r="E656" s="2">
        <v>45957</v>
      </c>
      <c r="I656" s="1" t="s">
        <v>23</v>
      </c>
      <c r="J656" s="1" t="s">
        <v>63</v>
      </c>
      <c r="L656" s="88" t="str">
        <f>IF(OR(Data[[#This Row],[Service Follow-up Date]]="",Data[[#This Row],[Delivery Date]]=""),"",INT(Data[[#This Row],[Service Follow-up Date]]-Data[[#This Row],[Delivery Date]]))</f>
        <v/>
      </c>
      <c r="Q656" t="str">
        <f>IF(ISBLANK(Data[[#This Row],[Customer Rating]]),"No Rating",IF(Data[[#This Row],[Customer Rating]]&gt;=9,"Promoter",IF(Data[[#This Row],[Customer Rating]]&gt;=7,"Passive","Detractor")))</f>
        <v>No Rating</v>
      </c>
    </row>
    <row r="657" spans="1:17" ht="14.25" customHeight="1" x14ac:dyDescent="0.3">
      <c r="A657" s="1" t="s">
        <v>683</v>
      </c>
      <c r="B657" s="1" t="s">
        <v>32</v>
      </c>
      <c r="C657" s="1" t="s">
        <v>22</v>
      </c>
      <c r="D657" s="1" t="str">
        <f>IF(Data[[#This Row],[Cancellation Status]]="No", "High Potential", "Normal")</f>
        <v>Normal</v>
      </c>
      <c r="E657" s="2">
        <v>45952</v>
      </c>
      <c r="I657" s="1" t="s">
        <v>23</v>
      </c>
      <c r="J657" s="1" t="s">
        <v>101</v>
      </c>
      <c r="L657" s="88" t="str">
        <f>IF(OR(Data[[#This Row],[Service Follow-up Date]]="",Data[[#This Row],[Delivery Date]]=""),"",INT(Data[[#This Row],[Service Follow-up Date]]-Data[[#This Row],[Delivery Date]]))</f>
        <v/>
      </c>
      <c r="Q657" t="str">
        <f>IF(ISBLANK(Data[[#This Row],[Customer Rating]]),"No Rating",IF(Data[[#This Row],[Customer Rating]]&gt;=9,"Promoter",IF(Data[[#This Row],[Customer Rating]]&gt;=7,"Passive","Detractor")))</f>
        <v>No Rating</v>
      </c>
    </row>
    <row r="658" spans="1:17" ht="14.25" customHeight="1" x14ac:dyDescent="0.3">
      <c r="A658" s="1" t="s">
        <v>684</v>
      </c>
      <c r="B658" s="1" t="s">
        <v>15</v>
      </c>
      <c r="C658" s="1" t="s">
        <v>30</v>
      </c>
      <c r="D658" s="1" t="str">
        <f>IF(Data[[#This Row],[Cancellation Status]]="No", "High Potential", "Normal")</f>
        <v>High Potential</v>
      </c>
      <c r="E658" s="2">
        <v>45943</v>
      </c>
      <c r="F658" s="2">
        <v>45948</v>
      </c>
      <c r="G658" s="2">
        <v>45952</v>
      </c>
      <c r="H658" s="2">
        <v>45959</v>
      </c>
      <c r="I658" s="1" t="s">
        <v>17</v>
      </c>
      <c r="K658" s="2">
        <v>45980</v>
      </c>
      <c r="L658" s="88">
        <f>IF(OR(Data[[#This Row],[Service Follow-up Date]]="",Data[[#This Row],[Delivery Date]]=""),"",INT(Data[[#This Row],[Service Follow-up Date]]-Data[[#This Row],[Delivery Date]]))</f>
        <v>21</v>
      </c>
      <c r="M658" s="1">
        <v>5</v>
      </c>
      <c r="N658" s="1">
        <v>4</v>
      </c>
      <c r="O658" s="1">
        <v>7</v>
      </c>
      <c r="P658" s="1">
        <v>2</v>
      </c>
      <c r="Q658" t="str">
        <f>IF(ISBLANK(Data[[#This Row],[Customer Rating]]),"No Rating",IF(Data[[#This Row],[Customer Rating]]&gt;=9,"Promoter",IF(Data[[#This Row],[Customer Rating]]&gt;=7,"Passive","Detractor")))</f>
        <v>Detractor</v>
      </c>
    </row>
    <row r="659" spans="1:17" ht="14.25" customHeight="1" x14ac:dyDescent="0.3">
      <c r="A659" s="1" t="s">
        <v>685</v>
      </c>
      <c r="B659" s="1" t="s">
        <v>21</v>
      </c>
      <c r="C659" s="1" t="s">
        <v>16</v>
      </c>
      <c r="D659" s="1" t="str">
        <f>IF(Data[[#This Row],[Cancellation Status]]="No", "High Potential", "Normal")</f>
        <v>Normal</v>
      </c>
      <c r="E659" s="2">
        <v>45939</v>
      </c>
      <c r="F659" s="2">
        <v>45941</v>
      </c>
      <c r="G659" s="2">
        <v>45945</v>
      </c>
      <c r="H659" s="2">
        <v>45949</v>
      </c>
      <c r="I659" s="1" t="s">
        <v>23</v>
      </c>
      <c r="J659" s="1" t="s">
        <v>24</v>
      </c>
      <c r="L659" s="88" t="str">
        <f>IF(OR(Data[[#This Row],[Service Follow-up Date]]="",Data[[#This Row],[Delivery Date]]=""),"",INT(Data[[#This Row],[Service Follow-up Date]]-Data[[#This Row],[Delivery Date]]))</f>
        <v/>
      </c>
      <c r="M659" s="1">
        <v>2</v>
      </c>
      <c r="N659" s="1">
        <v>4</v>
      </c>
      <c r="O659" s="1">
        <v>4</v>
      </c>
      <c r="Q659" t="str">
        <f>IF(ISBLANK(Data[[#This Row],[Customer Rating]]),"No Rating",IF(Data[[#This Row],[Customer Rating]]&gt;=9,"Promoter",IF(Data[[#This Row],[Customer Rating]]&gt;=7,"Passive","Detractor")))</f>
        <v>No Rating</v>
      </c>
    </row>
    <row r="660" spans="1:17" ht="14.25" customHeight="1" x14ac:dyDescent="0.3">
      <c r="A660" s="1" t="s">
        <v>686</v>
      </c>
      <c r="B660" s="1" t="s">
        <v>32</v>
      </c>
      <c r="C660" s="1" t="s">
        <v>16</v>
      </c>
      <c r="D660" s="1" t="str">
        <f>IF(Data[[#This Row],[Cancellation Status]]="No", "High Potential", "Normal")</f>
        <v>Normal</v>
      </c>
      <c r="E660" s="2">
        <v>45931</v>
      </c>
      <c r="F660" s="2">
        <v>45932</v>
      </c>
      <c r="G660" s="2">
        <v>45936</v>
      </c>
      <c r="H660" s="2">
        <v>45940</v>
      </c>
      <c r="I660" s="1" t="s">
        <v>23</v>
      </c>
      <c r="J660" s="1" t="s">
        <v>101</v>
      </c>
      <c r="L660" s="88" t="str">
        <f>IF(OR(Data[[#This Row],[Service Follow-up Date]]="",Data[[#This Row],[Delivery Date]]=""),"",INT(Data[[#This Row],[Service Follow-up Date]]-Data[[#This Row],[Delivery Date]]))</f>
        <v/>
      </c>
      <c r="M660" s="1">
        <v>1</v>
      </c>
      <c r="N660" s="1">
        <v>4</v>
      </c>
      <c r="O660" s="1">
        <v>4</v>
      </c>
      <c r="Q660" t="str">
        <f>IF(ISBLANK(Data[[#This Row],[Customer Rating]]),"No Rating",IF(Data[[#This Row],[Customer Rating]]&gt;=9,"Promoter",IF(Data[[#This Row],[Customer Rating]]&gt;=7,"Passive","Detractor")))</f>
        <v>No Rating</v>
      </c>
    </row>
    <row r="661" spans="1:17" ht="14.25" customHeight="1" x14ac:dyDescent="0.3">
      <c r="A661" s="1" t="s">
        <v>687</v>
      </c>
      <c r="B661" s="1" t="s">
        <v>19</v>
      </c>
      <c r="C661" s="1" t="s">
        <v>16</v>
      </c>
      <c r="D661" s="1" t="str">
        <f>IF(Data[[#This Row],[Cancellation Status]]="No", "High Potential", "Normal")</f>
        <v>High Potential</v>
      </c>
      <c r="E661" s="2">
        <v>45949</v>
      </c>
      <c r="F661" s="2">
        <v>45951</v>
      </c>
      <c r="G661" s="2">
        <v>45956</v>
      </c>
      <c r="H661" s="2">
        <v>45958</v>
      </c>
      <c r="I661" s="1" t="s">
        <v>17</v>
      </c>
      <c r="K661" s="2">
        <v>45975</v>
      </c>
      <c r="L661" s="88">
        <f>IF(OR(Data[[#This Row],[Service Follow-up Date]]="",Data[[#This Row],[Delivery Date]]=""),"",INT(Data[[#This Row],[Service Follow-up Date]]-Data[[#This Row],[Delivery Date]]))</f>
        <v>17</v>
      </c>
      <c r="M661" s="1">
        <v>2</v>
      </c>
      <c r="N661" s="1">
        <v>5</v>
      </c>
      <c r="O661" s="1">
        <v>2</v>
      </c>
      <c r="P661" s="1">
        <v>2</v>
      </c>
      <c r="Q661" t="str">
        <f>IF(ISBLANK(Data[[#This Row],[Customer Rating]]),"No Rating",IF(Data[[#This Row],[Customer Rating]]&gt;=9,"Promoter",IF(Data[[#This Row],[Customer Rating]]&gt;=7,"Passive","Detractor")))</f>
        <v>Detractor</v>
      </c>
    </row>
    <row r="662" spans="1:17" ht="14.25" customHeight="1" x14ac:dyDescent="0.3">
      <c r="A662" s="1" t="s">
        <v>688</v>
      </c>
      <c r="B662" s="1" t="s">
        <v>15</v>
      </c>
      <c r="C662" s="1" t="s">
        <v>16</v>
      </c>
      <c r="D662" s="1" t="str">
        <f>IF(Data[[#This Row],[Cancellation Status]]="No", "High Potential", "Normal")</f>
        <v>High Potential</v>
      </c>
      <c r="E662" s="2">
        <v>45958</v>
      </c>
      <c r="F662" s="2">
        <v>45963</v>
      </c>
      <c r="G662" s="2">
        <v>45967</v>
      </c>
      <c r="H662" s="2">
        <v>45973</v>
      </c>
      <c r="I662" s="1" t="s">
        <v>17</v>
      </c>
      <c r="K662" s="2">
        <v>45992</v>
      </c>
      <c r="L662" s="88">
        <f>IF(OR(Data[[#This Row],[Service Follow-up Date]]="",Data[[#This Row],[Delivery Date]]=""),"",INT(Data[[#This Row],[Service Follow-up Date]]-Data[[#This Row],[Delivery Date]]))</f>
        <v>19</v>
      </c>
      <c r="M662" s="1">
        <v>5</v>
      </c>
      <c r="N662" s="1">
        <v>4</v>
      </c>
      <c r="O662" s="1">
        <v>6</v>
      </c>
      <c r="P662" s="1">
        <v>1</v>
      </c>
      <c r="Q662" t="str">
        <f>IF(ISBLANK(Data[[#This Row],[Customer Rating]]),"No Rating",IF(Data[[#This Row],[Customer Rating]]&gt;=9,"Promoter",IF(Data[[#This Row],[Customer Rating]]&gt;=7,"Passive","Detractor")))</f>
        <v>Detractor</v>
      </c>
    </row>
    <row r="663" spans="1:17" ht="14.25" customHeight="1" x14ac:dyDescent="0.3">
      <c r="A663" s="1" t="s">
        <v>689</v>
      </c>
      <c r="B663" s="1" t="s">
        <v>32</v>
      </c>
      <c r="C663" s="1" t="s">
        <v>16</v>
      </c>
      <c r="D663" s="1" t="str">
        <f>IF(Data[[#This Row],[Cancellation Status]]="No", "High Potential", "Normal")</f>
        <v>High Potential</v>
      </c>
      <c r="E663" s="2">
        <v>45952</v>
      </c>
      <c r="F663" s="2">
        <v>45956</v>
      </c>
      <c r="G663" s="2">
        <v>45957</v>
      </c>
      <c r="H663" s="2">
        <v>45961</v>
      </c>
      <c r="I663" s="1" t="s">
        <v>17</v>
      </c>
      <c r="K663" s="2">
        <v>45984</v>
      </c>
      <c r="L663" s="88">
        <f>IF(OR(Data[[#This Row],[Service Follow-up Date]]="",Data[[#This Row],[Delivery Date]]=""),"",INT(Data[[#This Row],[Service Follow-up Date]]-Data[[#This Row],[Delivery Date]]))</f>
        <v>23</v>
      </c>
      <c r="M663" s="1">
        <v>4</v>
      </c>
      <c r="N663" s="1">
        <v>1</v>
      </c>
      <c r="O663" s="1">
        <v>4</v>
      </c>
      <c r="P663" s="1">
        <v>9</v>
      </c>
      <c r="Q663" t="str">
        <f>IF(ISBLANK(Data[[#This Row],[Customer Rating]]),"No Rating",IF(Data[[#This Row],[Customer Rating]]&gt;=9,"Promoter",IF(Data[[#This Row],[Customer Rating]]&gt;=7,"Passive","Detractor")))</f>
        <v>Promoter</v>
      </c>
    </row>
    <row r="664" spans="1:17" ht="14.25" customHeight="1" x14ac:dyDescent="0.3">
      <c r="A664" s="1" t="s">
        <v>690</v>
      </c>
      <c r="B664" s="1" t="s">
        <v>15</v>
      </c>
      <c r="C664" s="1" t="s">
        <v>16</v>
      </c>
      <c r="D664" s="1" t="str">
        <f>IF(Data[[#This Row],[Cancellation Status]]="No", "High Potential", "Normal")</f>
        <v>High Potential</v>
      </c>
      <c r="E664" s="2">
        <v>45955</v>
      </c>
      <c r="F664" s="2">
        <v>45956</v>
      </c>
      <c r="G664" s="2">
        <v>45957</v>
      </c>
      <c r="H664" s="2">
        <v>45959</v>
      </c>
      <c r="I664" s="1" t="s">
        <v>17</v>
      </c>
      <c r="K664" s="2">
        <v>45979</v>
      </c>
      <c r="L664" s="88">
        <f>IF(OR(Data[[#This Row],[Service Follow-up Date]]="",Data[[#This Row],[Delivery Date]]=""),"",INT(Data[[#This Row],[Service Follow-up Date]]-Data[[#This Row],[Delivery Date]]))</f>
        <v>20</v>
      </c>
      <c r="M664" s="1">
        <v>1</v>
      </c>
      <c r="N664" s="1">
        <v>1</v>
      </c>
      <c r="O664" s="1">
        <v>2</v>
      </c>
      <c r="P664" s="1">
        <v>5</v>
      </c>
      <c r="Q664" t="str">
        <f>IF(ISBLANK(Data[[#This Row],[Customer Rating]]),"No Rating",IF(Data[[#This Row],[Customer Rating]]&gt;=9,"Promoter",IF(Data[[#This Row],[Customer Rating]]&gt;=7,"Passive","Detractor")))</f>
        <v>Detractor</v>
      </c>
    </row>
    <row r="665" spans="1:17" ht="14.25" customHeight="1" x14ac:dyDescent="0.3">
      <c r="A665" s="1" t="s">
        <v>691</v>
      </c>
      <c r="B665" s="1" t="s">
        <v>15</v>
      </c>
      <c r="C665" s="1" t="s">
        <v>16</v>
      </c>
      <c r="D665" s="1" t="str">
        <f>IF(Data[[#This Row],[Cancellation Status]]="No", "High Potential", "Normal")</f>
        <v>High Potential</v>
      </c>
      <c r="E665" s="2">
        <v>45954</v>
      </c>
      <c r="F665" s="2">
        <v>45956</v>
      </c>
      <c r="G665" s="2">
        <v>45958</v>
      </c>
      <c r="H665" s="2">
        <v>45964</v>
      </c>
      <c r="I665" s="1" t="s">
        <v>17</v>
      </c>
      <c r="K665" s="2">
        <v>45985</v>
      </c>
      <c r="L665" s="88">
        <f>IF(OR(Data[[#This Row],[Service Follow-up Date]]="",Data[[#This Row],[Delivery Date]]=""),"",INT(Data[[#This Row],[Service Follow-up Date]]-Data[[#This Row],[Delivery Date]]))</f>
        <v>21</v>
      </c>
      <c r="M665" s="1">
        <v>2</v>
      </c>
      <c r="N665" s="1">
        <v>2</v>
      </c>
      <c r="O665" s="1">
        <v>6</v>
      </c>
      <c r="P665" s="1">
        <v>4</v>
      </c>
      <c r="Q665" t="str">
        <f>IF(ISBLANK(Data[[#This Row],[Customer Rating]]),"No Rating",IF(Data[[#This Row],[Customer Rating]]&gt;=9,"Promoter",IF(Data[[#This Row],[Customer Rating]]&gt;=7,"Passive","Detractor")))</f>
        <v>Detractor</v>
      </c>
    </row>
    <row r="666" spans="1:17" ht="14.25" customHeight="1" x14ac:dyDescent="0.3">
      <c r="A666" s="1" t="s">
        <v>692</v>
      </c>
      <c r="B666" s="1" t="s">
        <v>15</v>
      </c>
      <c r="C666" s="1" t="s">
        <v>16</v>
      </c>
      <c r="D666" s="1" t="str">
        <f>IF(Data[[#This Row],[Cancellation Status]]="No", "High Potential", "Normal")</f>
        <v>High Potential</v>
      </c>
      <c r="E666" s="2">
        <v>45932</v>
      </c>
      <c r="F666" s="2">
        <v>45933</v>
      </c>
      <c r="G666" s="2">
        <v>45934</v>
      </c>
      <c r="H666" s="2">
        <v>45941</v>
      </c>
      <c r="I666" s="1" t="s">
        <v>17</v>
      </c>
      <c r="K666" s="2">
        <v>45959</v>
      </c>
      <c r="L666" s="88">
        <f>IF(OR(Data[[#This Row],[Service Follow-up Date]]="",Data[[#This Row],[Delivery Date]]=""),"",INT(Data[[#This Row],[Service Follow-up Date]]-Data[[#This Row],[Delivery Date]]))</f>
        <v>18</v>
      </c>
      <c r="M666" s="1">
        <v>1</v>
      </c>
      <c r="N666" s="1">
        <v>1</v>
      </c>
      <c r="O666" s="1">
        <v>7</v>
      </c>
      <c r="P666" s="1">
        <v>9</v>
      </c>
      <c r="Q666" t="str">
        <f>IF(ISBLANK(Data[[#This Row],[Customer Rating]]),"No Rating",IF(Data[[#This Row],[Customer Rating]]&gt;=9,"Promoter",IF(Data[[#This Row],[Customer Rating]]&gt;=7,"Passive","Detractor")))</f>
        <v>Promoter</v>
      </c>
    </row>
    <row r="667" spans="1:17" ht="14.25" customHeight="1" x14ac:dyDescent="0.3">
      <c r="A667" s="1" t="s">
        <v>693</v>
      </c>
      <c r="B667" s="1" t="s">
        <v>21</v>
      </c>
      <c r="C667" s="1" t="s">
        <v>16</v>
      </c>
      <c r="D667" s="1" t="str">
        <f>IF(Data[[#This Row],[Cancellation Status]]="No", "High Potential", "Normal")</f>
        <v>High Potential</v>
      </c>
      <c r="E667" s="2">
        <v>45960</v>
      </c>
      <c r="F667" s="2">
        <v>45962</v>
      </c>
      <c r="G667" s="2">
        <v>45966</v>
      </c>
      <c r="H667" s="2">
        <v>45968</v>
      </c>
      <c r="I667" s="1" t="s">
        <v>17</v>
      </c>
      <c r="K667" s="2">
        <v>45996</v>
      </c>
      <c r="L667" s="88">
        <f>IF(OR(Data[[#This Row],[Service Follow-up Date]]="",Data[[#This Row],[Delivery Date]]=""),"",INT(Data[[#This Row],[Service Follow-up Date]]-Data[[#This Row],[Delivery Date]]))</f>
        <v>28</v>
      </c>
      <c r="M667" s="1">
        <v>2</v>
      </c>
      <c r="N667" s="1">
        <v>4</v>
      </c>
      <c r="O667" s="1">
        <v>2</v>
      </c>
      <c r="P667" s="1">
        <v>2</v>
      </c>
      <c r="Q667" t="str">
        <f>IF(ISBLANK(Data[[#This Row],[Customer Rating]]),"No Rating",IF(Data[[#This Row],[Customer Rating]]&gt;=9,"Promoter",IF(Data[[#This Row],[Customer Rating]]&gt;=7,"Passive","Detractor")))</f>
        <v>Detractor</v>
      </c>
    </row>
    <row r="668" spans="1:17" ht="14.25" customHeight="1" x14ac:dyDescent="0.3">
      <c r="A668" s="1" t="s">
        <v>694</v>
      </c>
      <c r="B668" s="1" t="s">
        <v>21</v>
      </c>
      <c r="C668" s="1" t="s">
        <v>16</v>
      </c>
      <c r="D668" s="1" t="str">
        <f>IF(Data[[#This Row],[Cancellation Status]]="No", "High Potential", "Normal")</f>
        <v>High Potential</v>
      </c>
      <c r="E668" s="2">
        <v>45950</v>
      </c>
      <c r="F668" s="2">
        <v>45953</v>
      </c>
      <c r="G668" s="2">
        <v>45957</v>
      </c>
      <c r="H668" s="2">
        <v>45960</v>
      </c>
      <c r="I668" s="1" t="s">
        <v>17</v>
      </c>
      <c r="K668" s="2">
        <v>45979</v>
      </c>
      <c r="L668" s="88">
        <f>IF(OR(Data[[#This Row],[Service Follow-up Date]]="",Data[[#This Row],[Delivery Date]]=""),"",INT(Data[[#This Row],[Service Follow-up Date]]-Data[[#This Row],[Delivery Date]]))</f>
        <v>19</v>
      </c>
      <c r="M668" s="1">
        <v>3</v>
      </c>
      <c r="N668" s="1">
        <v>4</v>
      </c>
      <c r="O668" s="1">
        <v>3</v>
      </c>
      <c r="P668" s="1">
        <v>7</v>
      </c>
      <c r="Q668" t="str">
        <f>IF(ISBLANK(Data[[#This Row],[Customer Rating]]),"No Rating",IF(Data[[#This Row],[Customer Rating]]&gt;=9,"Promoter",IF(Data[[#This Row],[Customer Rating]]&gt;=7,"Passive","Detractor")))</f>
        <v>Passive</v>
      </c>
    </row>
    <row r="669" spans="1:17" ht="14.25" customHeight="1" x14ac:dyDescent="0.3">
      <c r="A669" s="1" t="s">
        <v>695</v>
      </c>
      <c r="B669" s="1" t="s">
        <v>19</v>
      </c>
      <c r="C669" s="1" t="s">
        <v>16</v>
      </c>
      <c r="D669" s="1" t="str">
        <f>IF(Data[[#This Row],[Cancellation Status]]="No", "High Potential", "Normal")</f>
        <v>High Potential</v>
      </c>
      <c r="E669" s="2">
        <v>45954</v>
      </c>
      <c r="F669" s="2">
        <v>45957</v>
      </c>
      <c r="G669" s="2">
        <v>45960</v>
      </c>
      <c r="H669" s="2">
        <v>45963</v>
      </c>
      <c r="I669" s="1" t="s">
        <v>17</v>
      </c>
      <c r="K669" s="2">
        <v>45987</v>
      </c>
      <c r="L669" s="88">
        <f>IF(OR(Data[[#This Row],[Service Follow-up Date]]="",Data[[#This Row],[Delivery Date]]=""),"",INT(Data[[#This Row],[Service Follow-up Date]]-Data[[#This Row],[Delivery Date]]))</f>
        <v>24</v>
      </c>
      <c r="M669" s="1">
        <v>3</v>
      </c>
      <c r="N669" s="1">
        <v>3</v>
      </c>
      <c r="O669" s="1">
        <v>3</v>
      </c>
      <c r="P669" s="1">
        <v>0</v>
      </c>
      <c r="Q669" t="str">
        <f>IF(ISBLANK(Data[[#This Row],[Customer Rating]]),"No Rating",IF(Data[[#This Row],[Customer Rating]]&gt;=9,"Promoter",IF(Data[[#This Row],[Customer Rating]]&gt;=7,"Passive","Detractor")))</f>
        <v>Detractor</v>
      </c>
    </row>
    <row r="670" spans="1:17" ht="14.25" customHeight="1" x14ac:dyDescent="0.3">
      <c r="A670" s="1" t="s">
        <v>696</v>
      </c>
      <c r="B670" s="1" t="s">
        <v>19</v>
      </c>
      <c r="C670" s="1" t="s">
        <v>30</v>
      </c>
      <c r="D670" s="1" t="str">
        <f>IF(Data[[#This Row],[Cancellation Status]]="No", "High Potential", "Normal")</f>
        <v>High Potential</v>
      </c>
      <c r="E670" s="2">
        <v>45946</v>
      </c>
      <c r="F670" s="2">
        <v>45950</v>
      </c>
      <c r="G670" s="2">
        <v>45955</v>
      </c>
      <c r="H670" s="2">
        <v>45961</v>
      </c>
      <c r="I670" s="1" t="s">
        <v>17</v>
      </c>
      <c r="K670" s="2">
        <v>45974</v>
      </c>
      <c r="L670" s="88">
        <f>IF(OR(Data[[#This Row],[Service Follow-up Date]]="",Data[[#This Row],[Delivery Date]]=""),"",INT(Data[[#This Row],[Service Follow-up Date]]-Data[[#This Row],[Delivery Date]]))</f>
        <v>13</v>
      </c>
      <c r="M670" s="1">
        <v>4</v>
      </c>
      <c r="N670" s="1">
        <v>5</v>
      </c>
      <c r="O670" s="1">
        <v>6</v>
      </c>
      <c r="P670" s="1">
        <v>2</v>
      </c>
      <c r="Q670" t="str">
        <f>IF(ISBLANK(Data[[#This Row],[Customer Rating]]),"No Rating",IF(Data[[#This Row],[Customer Rating]]&gt;=9,"Promoter",IF(Data[[#This Row],[Customer Rating]]&gt;=7,"Passive","Detractor")))</f>
        <v>Detractor</v>
      </c>
    </row>
    <row r="671" spans="1:17" ht="14.25" customHeight="1" x14ac:dyDescent="0.3">
      <c r="A671" s="1" t="s">
        <v>697</v>
      </c>
      <c r="B671" s="1" t="s">
        <v>32</v>
      </c>
      <c r="C671" s="1" t="s">
        <v>30</v>
      </c>
      <c r="D671" s="1" t="str">
        <f>IF(Data[[#This Row],[Cancellation Status]]="No", "High Potential", "Normal")</f>
        <v>Normal</v>
      </c>
      <c r="E671" s="2">
        <v>45957</v>
      </c>
      <c r="F671" s="2">
        <v>45962</v>
      </c>
      <c r="G671" s="2">
        <v>45963</v>
      </c>
      <c r="H671" s="2">
        <v>45965</v>
      </c>
      <c r="I671" s="1" t="s">
        <v>23</v>
      </c>
      <c r="J671" s="1" t="s">
        <v>24</v>
      </c>
      <c r="L671" s="88" t="str">
        <f>IF(OR(Data[[#This Row],[Service Follow-up Date]]="",Data[[#This Row],[Delivery Date]]=""),"",INT(Data[[#This Row],[Service Follow-up Date]]-Data[[#This Row],[Delivery Date]]))</f>
        <v/>
      </c>
      <c r="M671" s="1">
        <v>5</v>
      </c>
      <c r="N671" s="1">
        <v>1</v>
      </c>
      <c r="O671" s="1">
        <v>2</v>
      </c>
      <c r="Q671" t="str">
        <f>IF(ISBLANK(Data[[#This Row],[Customer Rating]]),"No Rating",IF(Data[[#This Row],[Customer Rating]]&gt;=9,"Promoter",IF(Data[[#This Row],[Customer Rating]]&gt;=7,"Passive","Detractor")))</f>
        <v>No Rating</v>
      </c>
    </row>
    <row r="672" spans="1:17" ht="14.25" customHeight="1" x14ac:dyDescent="0.3">
      <c r="A672" s="1" t="s">
        <v>698</v>
      </c>
      <c r="B672" s="1" t="s">
        <v>19</v>
      </c>
      <c r="C672" s="1" t="s">
        <v>22</v>
      </c>
      <c r="D672" s="1" t="str">
        <f>IF(Data[[#This Row],[Cancellation Status]]="No", "High Potential", "Normal")</f>
        <v>Normal</v>
      </c>
      <c r="E672" s="2">
        <v>45959</v>
      </c>
      <c r="I672" s="1" t="s">
        <v>23</v>
      </c>
      <c r="J672" s="1" t="s">
        <v>33</v>
      </c>
      <c r="L672" s="88" t="str">
        <f>IF(OR(Data[[#This Row],[Service Follow-up Date]]="",Data[[#This Row],[Delivery Date]]=""),"",INT(Data[[#This Row],[Service Follow-up Date]]-Data[[#This Row],[Delivery Date]]))</f>
        <v/>
      </c>
      <c r="Q672" t="str">
        <f>IF(ISBLANK(Data[[#This Row],[Customer Rating]]),"No Rating",IF(Data[[#This Row],[Customer Rating]]&gt;=9,"Promoter",IF(Data[[#This Row],[Customer Rating]]&gt;=7,"Passive","Detractor")))</f>
        <v>No Rating</v>
      </c>
    </row>
    <row r="673" spans="1:17" ht="14.25" customHeight="1" x14ac:dyDescent="0.3">
      <c r="A673" s="1" t="s">
        <v>699</v>
      </c>
      <c r="B673" s="1" t="s">
        <v>15</v>
      </c>
      <c r="C673" s="1" t="s">
        <v>16</v>
      </c>
      <c r="D673" s="1" t="str">
        <f>IF(Data[[#This Row],[Cancellation Status]]="No", "High Potential", "Normal")</f>
        <v>High Potential</v>
      </c>
      <c r="E673" s="2">
        <v>45959</v>
      </c>
      <c r="F673" s="2">
        <v>45960</v>
      </c>
      <c r="G673" s="2">
        <v>45965</v>
      </c>
      <c r="H673" s="2">
        <v>45970</v>
      </c>
      <c r="I673" s="1" t="s">
        <v>17</v>
      </c>
      <c r="K673" s="2">
        <v>45995</v>
      </c>
      <c r="L673" s="88">
        <f>IF(OR(Data[[#This Row],[Service Follow-up Date]]="",Data[[#This Row],[Delivery Date]]=""),"",INT(Data[[#This Row],[Service Follow-up Date]]-Data[[#This Row],[Delivery Date]]))</f>
        <v>25</v>
      </c>
      <c r="M673" s="1">
        <v>1</v>
      </c>
      <c r="N673" s="1">
        <v>5</v>
      </c>
      <c r="O673" s="1">
        <v>5</v>
      </c>
      <c r="P673" s="1">
        <v>0</v>
      </c>
      <c r="Q673" t="str">
        <f>IF(ISBLANK(Data[[#This Row],[Customer Rating]]),"No Rating",IF(Data[[#This Row],[Customer Rating]]&gt;=9,"Promoter",IF(Data[[#This Row],[Customer Rating]]&gt;=7,"Passive","Detractor")))</f>
        <v>Detractor</v>
      </c>
    </row>
    <row r="674" spans="1:17" ht="14.25" customHeight="1" x14ac:dyDescent="0.3">
      <c r="A674" s="1" t="s">
        <v>700</v>
      </c>
      <c r="B674" s="1" t="s">
        <v>15</v>
      </c>
      <c r="C674" s="1" t="s">
        <v>30</v>
      </c>
      <c r="D674" s="1" t="str">
        <f>IF(Data[[#This Row],[Cancellation Status]]="No", "High Potential", "Normal")</f>
        <v>High Potential</v>
      </c>
      <c r="E674" s="2">
        <v>45940</v>
      </c>
      <c r="F674" s="2">
        <v>45945</v>
      </c>
      <c r="G674" s="2">
        <v>45946</v>
      </c>
      <c r="H674" s="2">
        <v>45948</v>
      </c>
      <c r="I674" s="1" t="s">
        <v>17</v>
      </c>
      <c r="K674" s="2">
        <v>45959</v>
      </c>
      <c r="L674" s="88">
        <f>IF(OR(Data[[#This Row],[Service Follow-up Date]]="",Data[[#This Row],[Delivery Date]]=""),"",INT(Data[[#This Row],[Service Follow-up Date]]-Data[[#This Row],[Delivery Date]]))</f>
        <v>11</v>
      </c>
      <c r="M674" s="1">
        <v>5</v>
      </c>
      <c r="N674" s="1">
        <v>1</v>
      </c>
      <c r="O674" s="1">
        <v>2</v>
      </c>
      <c r="P674" s="1">
        <v>6</v>
      </c>
      <c r="Q674" t="str">
        <f>IF(ISBLANK(Data[[#This Row],[Customer Rating]]),"No Rating",IF(Data[[#This Row],[Customer Rating]]&gt;=9,"Promoter",IF(Data[[#This Row],[Customer Rating]]&gt;=7,"Passive","Detractor")))</f>
        <v>Detractor</v>
      </c>
    </row>
    <row r="675" spans="1:17" ht="14.25" customHeight="1" x14ac:dyDescent="0.3">
      <c r="A675" s="1" t="s">
        <v>701</v>
      </c>
      <c r="B675" s="1" t="s">
        <v>21</v>
      </c>
      <c r="C675" s="1" t="s">
        <v>30</v>
      </c>
      <c r="D675" s="1" t="str">
        <f>IF(Data[[#This Row],[Cancellation Status]]="No", "High Potential", "Normal")</f>
        <v>High Potential</v>
      </c>
      <c r="E675" s="2">
        <v>45955</v>
      </c>
      <c r="F675" s="2">
        <v>45957</v>
      </c>
      <c r="G675" s="2">
        <v>45959</v>
      </c>
      <c r="H675" s="2">
        <v>45964</v>
      </c>
      <c r="I675" s="1" t="s">
        <v>17</v>
      </c>
      <c r="K675" s="2">
        <v>45994</v>
      </c>
      <c r="L675" s="88">
        <f>IF(OR(Data[[#This Row],[Service Follow-up Date]]="",Data[[#This Row],[Delivery Date]]=""),"",INT(Data[[#This Row],[Service Follow-up Date]]-Data[[#This Row],[Delivery Date]]))</f>
        <v>30</v>
      </c>
      <c r="M675" s="1">
        <v>2</v>
      </c>
      <c r="N675" s="1">
        <v>2</v>
      </c>
      <c r="O675" s="1">
        <v>5</v>
      </c>
      <c r="P675" s="1">
        <v>10</v>
      </c>
      <c r="Q675" t="str">
        <f>IF(ISBLANK(Data[[#This Row],[Customer Rating]]),"No Rating",IF(Data[[#This Row],[Customer Rating]]&gt;=9,"Promoter",IF(Data[[#This Row],[Customer Rating]]&gt;=7,"Passive","Detractor")))</f>
        <v>Promoter</v>
      </c>
    </row>
    <row r="676" spans="1:17" ht="14.25" customHeight="1" x14ac:dyDescent="0.3">
      <c r="A676" s="1" t="s">
        <v>702</v>
      </c>
      <c r="B676" s="1" t="s">
        <v>15</v>
      </c>
      <c r="C676" s="1" t="s">
        <v>30</v>
      </c>
      <c r="D676" s="1" t="str">
        <f>IF(Data[[#This Row],[Cancellation Status]]="No", "High Potential", "Normal")</f>
        <v>High Potential</v>
      </c>
      <c r="E676" s="2">
        <v>45956</v>
      </c>
      <c r="F676" s="2">
        <v>45960</v>
      </c>
      <c r="G676" s="2">
        <v>45962</v>
      </c>
      <c r="H676" s="2">
        <v>45966</v>
      </c>
      <c r="I676" s="1" t="s">
        <v>17</v>
      </c>
      <c r="K676" s="2">
        <v>45994</v>
      </c>
      <c r="L676" s="88">
        <f>IF(OR(Data[[#This Row],[Service Follow-up Date]]="",Data[[#This Row],[Delivery Date]]=""),"",INT(Data[[#This Row],[Service Follow-up Date]]-Data[[#This Row],[Delivery Date]]))</f>
        <v>28</v>
      </c>
      <c r="M676" s="1">
        <v>4</v>
      </c>
      <c r="N676" s="1">
        <v>2</v>
      </c>
      <c r="O676" s="1">
        <v>4</v>
      </c>
      <c r="P676" s="1">
        <v>8</v>
      </c>
      <c r="Q676" t="str">
        <f>IF(ISBLANK(Data[[#This Row],[Customer Rating]]),"No Rating",IF(Data[[#This Row],[Customer Rating]]&gt;=9,"Promoter",IF(Data[[#This Row],[Customer Rating]]&gt;=7,"Passive","Detractor")))</f>
        <v>Passive</v>
      </c>
    </row>
    <row r="677" spans="1:17" ht="14.25" customHeight="1" x14ac:dyDescent="0.3">
      <c r="A677" s="1" t="s">
        <v>703</v>
      </c>
      <c r="B677" s="1" t="s">
        <v>32</v>
      </c>
      <c r="C677" s="1" t="s">
        <v>22</v>
      </c>
      <c r="D677" s="1" t="str">
        <f>IF(Data[[#This Row],[Cancellation Status]]="No", "High Potential", "Normal")</f>
        <v>Normal</v>
      </c>
      <c r="E677" s="2">
        <v>45938</v>
      </c>
      <c r="I677" s="1" t="s">
        <v>23</v>
      </c>
      <c r="J677" s="1" t="s">
        <v>33</v>
      </c>
      <c r="L677" s="88" t="str">
        <f>IF(OR(Data[[#This Row],[Service Follow-up Date]]="",Data[[#This Row],[Delivery Date]]=""),"",INT(Data[[#This Row],[Service Follow-up Date]]-Data[[#This Row],[Delivery Date]]))</f>
        <v/>
      </c>
      <c r="Q677" t="str">
        <f>IF(ISBLANK(Data[[#This Row],[Customer Rating]]),"No Rating",IF(Data[[#This Row],[Customer Rating]]&gt;=9,"Promoter",IF(Data[[#This Row],[Customer Rating]]&gt;=7,"Passive","Detractor")))</f>
        <v>No Rating</v>
      </c>
    </row>
    <row r="678" spans="1:17" ht="14.25" customHeight="1" x14ac:dyDescent="0.3">
      <c r="A678" s="1" t="s">
        <v>704</v>
      </c>
      <c r="B678" s="1" t="s">
        <v>15</v>
      </c>
      <c r="C678" s="1" t="s">
        <v>16</v>
      </c>
      <c r="D678" s="1" t="str">
        <f>IF(Data[[#This Row],[Cancellation Status]]="No", "High Potential", "Normal")</f>
        <v>High Potential</v>
      </c>
      <c r="E678" s="2">
        <v>45950</v>
      </c>
      <c r="F678" s="2">
        <v>45953</v>
      </c>
      <c r="G678" s="2">
        <v>45958</v>
      </c>
      <c r="H678" s="2">
        <v>45962</v>
      </c>
      <c r="I678" s="1" t="s">
        <v>17</v>
      </c>
      <c r="K678" s="2">
        <v>45990</v>
      </c>
      <c r="L678" s="88">
        <f>IF(OR(Data[[#This Row],[Service Follow-up Date]]="",Data[[#This Row],[Delivery Date]]=""),"",INT(Data[[#This Row],[Service Follow-up Date]]-Data[[#This Row],[Delivery Date]]))</f>
        <v>28</v>
      </c>
      <c r="M678" s="1">
        <v>3</v>
      </c>
      <c r="N678" s="1">
        <v>5</v>
      </c>
      <c r="O678" s="1">
        <v>4</v>
      </c>
      <c r="P678" s="1">
        <v>10</v>
      </c>
      <c r="Q678" t="str">
        <f>IF(ISBLANK(Data[[#This Row],[Customer Rating]]),"No Rating",IF(Data[[#This Row],[Customer Rating]]&gt;=9,"Promoter",IF(Data[[#This Row],[Customer Rating]]&gt;=7,"Passive","Detractor")))</f>
        <v>Promoter</v>
      </c>
    </row>
    <row r="679" spans="1:17" ht="14.25" customHeight="1" x14ac:dyDescent="0.3">
      <c r="A679" s="1" t="s">
        <v>705</v>
      </c>
      <c r="B679" s="1" t="s">
        <v>15</v>
      </c>
      <c r="C679" s="1" t="s">
        <v>22</v>
      </c>
      <c r="D679" s="1" t="str">
        <f>IF(Data[[#This Row],[Cancellation Status]]="No", "High Potential", "Normal")</f>
        <v>Normal</v>
      </c>
      <c r="E679" s="2">
        <v>45956</v>
      </c>
      <c r="I679" s="1" t="s">
        <v>23</v>
      </c>
      <c r="J679" s="1" t="s">
        <v>24</v>
      </c>
      <c r="L679" s="88" t="str">
        <f>IF(OR(Data[[#This Row],[Service Follow-up Date]]="",Data[[#This Row],[Delivery Date]]=""),"",INT(Data[[#This Row],[Service Follow-up Date]]-Data[[#This Row],[Delivery Date]]))</f>
        <v/>
      </c>
      <c r="Q679" t="str">
        <f>IF(ISBLANK(Data[[#This Row],[Customer Rating]]),"No Rating",IF(Data[[#This Row],[Customer Rating]]&gt;=9,"Promoter",IF(Data[[#This Row],[Customer Rating]]&gt;=7,"Passive","Detractor")))</f>
        <v>No Rating</v>
      </c>
    </row>
    <row r="680" spans="1:17" ht="14.25" customHeight="1" x14ac:dyDescent="0.3">
      <c r="A680" s="1" t="s">
        <v>706</v>
      </c>
      <c r="B680" s="1" t="s">
        <v>32</v>
      </c>
      <c r="C680" s="1" t="s">
        <v>16</v>
      </c>
      <c r="D680" s="1" t="str">
        <f>IF(Data[[#This Row],[Cancellation Status]]="No", "High Potential", "Normal")</f>
        <v>Normal</v>
      </c>
      <c r="E680" s="2">
        <v>45942</v>
      </c>
      <c r="F680" s="2">
        <v>45945</v>
      </c>
      <c r="G680" s="2">
        <v>45949</v>
      </c>
      <c r="H680" s="2">
        <v>45953</v>
      </c>
      <c r="I680" s="1" t="s">
        <v>23</v>
      </c>
      <c r="J680" s="1" t="s">
        <v>63</v>
      </c>
      <c r="L680" s="88" t="str">
        <f>IF(OR(Data[[#This Row],[Service Follow-up Date]]="",Data[[#This Row],[Delivery Date]]=""),"",INT(Data[[#This Row],[Service Follow-up Date]]-Data[[#This Row],[Delivery Date]]))</f>
        <v/>
      </c>
      <c r="M680" s="1">
        <v>3</v>
      </c>
      <c r="N680" s="1">
        <v>4</v>
      </c>
      <c r="O680" s="1">
        <v>4</v>
      </c>
      <c r="Q680" t="str">
        <f>IF(ISBLANK(Data[[#This Row],[Customer Rating]]),"No Rating",IF(Data[[#This Row],[Customer Rating]]&gt;=9,"Promoter",IF(Data[[#This Row],[Customer Rating]]&gt;=7,"Passive","Detractor")))</f>
        <v>No Rating</v>
      </c>
    </row>
    <row r="681" spans="1:17" ht="14.25" customHeight="1" x14ac:dyDescent="0.3">
      <c r="A681" s="1" t="s">
        <v>707</v>
      </c>
      <c r="B681" s="1" t="s">
        <v>19</v>
      </c>
      <c r="C681" s="1" t="s">
        <v>16</v>
      </c>
      <c r="D681" s="1" t="str">
        <f>IF(Data[[#This Row],[Cancellation Status]]="No", "High Potential", "Normal")</f>
        <v>High Potential</v>
      </c>
      <c r="E681" s="2">
        <v>45938</v>
      </c>
      <c r="F681" s="2">
        <v>45942</v>
      </c>
      <c r="G681" s="2">
        <v>45945</v>
      </c>
      <c r="H681" s="2">
        <v>45947</v>
      </c>
      <c r="I681" s="1" t="s">
        <v>17</v>
      </c>
      <c r="K681" s="2">
        <v>45976</v>
      </c>
      <c r="L681" s="88">
        <f>IF(OR(Data[[#This Row],[Service Follow-up Date]]="",Data[[#This Row],[Delivery Date]]=""),"",INT(Data[[#This Row],[Service Follow-up Date]]-Data[[#This Row],[Delivery Date]]))</f>
        <v>29</v>
      </c>
      <c r="M681" s="1">
        <v>4</v>
      </c>
      <c r="N681" s="1">
        <v>3</v>
      </c>
      <c r="O681" s="1">
        <v>2</v>
      </c>
      <c r="P681" s="1">
        <v>10</v>
      </c>
      <c r="Q681" t="str">
        <f>IF(ISBLANK(Data[[#This Row],[Customer Rating]]),"No Rating",IF(Data[[#This Row],[Customer Rating]]&gt;=9,"Promoter",IF(Data[[#This Row],[Customer Rating]]&gt;=7,"Passive","Detractor")))</f>
        <v>Promoter</v>
      </c>
    </row>
    <row r="682" spans="1:17" ht="14.25" customHeight="1" x14ac:dyDescent="0.3">
      <c r="A682" s="1" t="s">
        <v>708</v>
      </c>
      <c r="B682" s="1" t="s">
        <v>19</v>
      </c>
      <c r="C682" s="1" t="s">
        <v>16</v>
      </c>
      <c r="D682" s="1" t="str">
        <f>IF(Data[[#This Row],[Cancellation Status]]="No", "High Potential", "Normal")</f>
        <v>High Potential</v>
      </c>
      <c r="E682" s="2">
        <v>45951</v>
      </c>
      <c r="F682" s="2">
        <v>45952</v>
      </c>
      <c r="G682" s="2">
        <v>45953</v>
      </c>
      <c r="H682" s="2">
        <v>45959</v>
      </c>
      <c r="I682" s="1" t="s">
        <v>17</v>
      </c>
      <c r="K682" s="2">
        <v>45971</v>
      </c>
      <c r="L682" s="88">
        <f>IF(OR(Data[[#This Row],[Service Follow-up Date]]="",Data[[#This Row],[Delivery Date]]=""),"",INT(Data[[#This Row],[Service Follow-up Date]]-Data[[#This Row],[Delivery Date]]))</f>
        <v>12</v>
      </c>
      <c r="M682" s="1">
        <v>1</v>
      </c>
      <c r="N682" s="1">
        <v>1</v>
      </c>
      <c r="O682" s="1">
        <v>6</v>
      </c>
      <c r="P682" s="1">
        <v>2</v>
      </c>
      <c r="Q682" t="str">
        <f>IF(ISBLANK(Data[[#This Row],[Customer Rating]]),"No Rating",IF(Data[[#This Row],[Customer Rating]]&gt;=9,"Promoter",IF(Data[[#This Row],[Customer Rating]]&gt;=7,"Passive","Detractor")))</f>
        <v>Detractor</v>
      </c>
    </row>
    <row r="683" spans="1:17" ht="14.25" customHeight="1" x14ac:dyDescent="0.3">
      <c r="A683" s="1" t="s">
        <v>709</v>
      </c>
      <c r="B683" s="1" t="s">
        <v>32</v>
      </c>
      <c r="C683" s="1" t="s">
        <v>16</v>
      </c>
      <c r="D683" s="1" t="str">
        <f>IF(Data[[#This Row],[Cancellation Status]]="No", "High Potential", "Normal")</f>
        <v>High Potential</v>
      </c>
      <c r="E683" s="2">
        <v>45937</v>
      </c>
      <c r="F683" s="2">
        <v>45942</v>
      </c>
      <c r="G683" s="2">
        <v>45943</v>
      </c>
      <c r="H683" s="2">
        <v>45948</v>
      </c>
      <c r="I683" s="1" t="s">
        <v>17</v>
      </c>
      <c r="K683" s="2">
        <v>45973</v>
      </c>
      <c r="L683" s="88">
        <f>IF(OR(Data[[#This Row],[Service Follow-up Date]]="",Data[[#This Row],[Delivery Date]]=""),"",INT(Data[[#This Row],[Service Follow-up Date]]-Data[[#This Row],[Delivery Date]]))</f>
        <v>25</v>
      </c>
      <c r="M683" s="1">
        <v>5</v>
      </c>
      <c r="N683" s="1">
        <v>1</v>
      </c>
      <c r="O683" s="1">
        <v>5</v>
      </c>
      <c r="P683" s="1">
        <v>9</v>
      </c>
      <c r="Q683" t="str">
        <f>IF(ISBLANK(Data[[#This Row],[Customer Rating]]),"No Rating",IF(Data[[#This Row],[Customer Rating]]&gt;=9,"Promoter",IF(Data[[#This Row],[Customer Rating]]&gt;=7,"Passive","Detractor")))</f>
        <v>Promoter</v>
      </c>
    </row>
    <row r="684" spans="1:17" ht="14.25" customHeight="1" x14ac:dyDescent="0.3">
      <c r="A684" s="1" t="s">
        <v>710</v>
      </c>
      <c r="B684" s="1" t="s">
        <v>21</v>
      </c>
      <c r="C684" s="1" t="s">
        <v>30</v>
      </c>
      <c r="D684" s="1" t="str">
        <f>IF(Data[[#This Row],[Cancellation Status]]="No", "High Potential", "Normal")</f>
        <v>High Potential</v>
      </c>
      <c r="E684" s="2">
        <v>45950</v>
      </c>
      <c r="F684" s="2">
        <v>45952</v>
      </c>
      <c r="G684" s="2">
        <v>45955</v>
      </c>
      <c r="H684" s="2">
        <v>45957</v>
      </c>
      <c r="I684" s="1" t="s">
        <v>17</v>
      </c>
      <c r="K684" s="2">
        <v>45973</v>
      </c>
      <c r="L684" s="88">
        <f>IF(OR(Data[[#This Row],[Service Follow-up Date]]="",Data[[#This Row],[Delivery Date]]=""),"",INT(Data[[#This Row],[Service Follow-up Date]]-Data[[#This Row],[Delivery Date]]))</f>
        <v>16</v>
      </c>
      <c r="M684" s="1">
        <v>2</v>
      </c>
      <c r="N684" s="1">
        <v>3</v>
      </c>
      <c r="O684" s="1">
        <v>2</v>
      </c>
      <c r="P684" s="1">
        <v>8</v>
      </c>
      <c r="Q684" t="str">
        <f>IF(ISBLANK(Data[[#This Row],[Customer Rating]]),"No Rating",IF(Data[[#This Row],[Customer Rating]]&gt;=9,"Promoter",IF(Data[[#This Row],[Customer Rating]]&gt;=7,"Passive","Detractor")))</f>
        <v>Passive</v>
      </c>
    </row>
    <row r="685" spans="1:17" ht="14.25" customHeight="1" x14ac:dyDescent="0.3">
      <c r="A685" s="1" t="s">
        <v>711</v>
      </c>
      <c r="B685" s="1" t="s">
        <v>15</v>
      </c>
      <c r="C685" s="1" t="s">
        <v>22</v>
      </c>
      <c r="D685" s="1" t="str">
        <f>IF(Data[[#This Row],[Cancellation Status]]="No", "High Potential", "Normal")</f>
        <v>Normal</v>
      </c>
      <c r="E685" s="2">
        <v>45939</v>
      </c>
      <c r="I685" s="1" t="s">
        <v>23</v>
      </c>
      <c r="J685" s="1" t="s">
        <v>101</v>
      </c>
      <c r="L685" s="88" t="str">
        <f>IF(OR(Data[[#This Row],[Service Follow-up Date]]="",Data[[#This Row],[Delivery Date]]=""),"",INT(Data[[#This Row],[Service Follow-up Date]]-Data[[#This Row],[Delivery Date]]))</f>
        <v/>
      </c>
      <c r="Q685" t="str">
        <f>IF(ISBLANK(Data[[#This Row],[Customer Rating]]),"No Rating",IF(Data[[#This Row],[Customer Rating]]&gt;=9,"Promoter",IF(Data[[#This Row],[Customer Rating]]&gt;=7,"Passive","Detractor")))</f>
        <v>No Rating</v>
      </c>
    </row>
    <row r="686" spans="1:17" ht="14.25" customHeight="1" x14ac:dyDescent="0.3">
      <c r="A686" s="1" t="s">
        <v>712</v>
      </c>
      <c r="B686" s="1" t="s">
        <v>32</v>
      </c>
      <c r="C686" s="1" t="s">
        <v>22</v>
      </c>
      <c r="D686" s="1" t="str">
        <f>IF(Data[[#This Row],[Cancellation Status]]="No", "High Potential", "Normal")</f>
        <v>Normal</v>
      </c>
      <c r="E686" s="2">
        <v>45952</v>
      </c>
      <c r="I686" s="1" t="s">
        <v>23</v>
      </c>
      <c r="J686" s="1" t="s">
        <v>101</v>
      </c>
      <c r="L686" s="88" t="str">
        <f>IF(OR(Data[[#This Row],[Service Follow-up Date]]="",Data[[#This Row],[Delivery Date]]=""),"",INT(Data[[#This Row],[Service Follow-up Date]]-Data[[#This Row],[Delivery Date]]))</f>
        <v/>
      </c>
      <c r="Q686" t="str">
        <f>IF(ISBLANK(Data[[#This Row],[Customer Rating]]),"No Rating",IF(Data[[#This Row],[Customer Rating]]&gt;=9,"Promoter",IF(Data[[#This Row],[Customer Rating]]&gt;=7,"Passive","Detractor")))</f>
        <v>No Rating</v>
      </c>
    </row>
    <row r="687" spans="1:17" ht="14.25" customHeight="1" x14ac:dyDescent="0.3">
      <c r="A687" s="1" t="s">
        <v>713</v>
      </c>
      <c r="B687" s="1" t="s">
        <v>15</v>
      </c>
      <c r="C687" s="1" t="s">
        <v>16</v>
      </c>
      <c r="D687" s="1" t="str">
        <f>IF(Data[[#This Row],[Cancellation Status]]="No", "High Potential", "Normal")</f>
        <v>High Potential</v>
      </c>
      <c r="E687" s="2">
        <v>45955</v>
      </c>
      <c r="F687" s="2">
        <v>45960</v>
      </c>
      <c r="G687" s="2">
        <v>45965</v>
      </c>
      <c r="H687" s="2">
        <v>45969</v>
      </c>
      <c r="I687" s="1" t="s">
        <v>17</v>
      </c>
      <c r="K687" s="2">
        <v>45995</v>
      </c>
      <c r="L687" s="88">
        <f>IF(OR(Data[[#This Row],[Service Follow-up Date]]="",Data[[#This Row],[Delivery Date]]=""),"",INT(Data[[#This Row],[Service Follow-up Date]]-Data[[#This Row],[Delivery Date]]))</f>
        <v>26</v>
      </c>
      <c r="M687" s="1">
        <v>5</v>
      </c>
      <c r="N687" s="1">
        <v>5</v>
      </c>
      <c r="O687" s="1">
        <v>4</v>
      </c>
      <c r="P687" s="1">
        <v>5</v>
      </c>
      <c r="Q687" t="str">
        <f>IF(ISBLANK(Data[[#This Row],[Customer Rating]]),"No Rating",IF(Data[[#This Row],[Customer Rating]]&gt;=9,"Promoter",IF(Data[[#This Row],[Customer Rating]]&gt;=7,"Passive","Detractor")))</f>
        <v>Detractor</v>
      </c>
    </row>
    <row r="688" spans="1:17" ht="14.25" customHeight="1" x14ac:dyDescent="0.3">
      <c r="A688" s="1" t="s">
        <v>714</v>
      </c>
      <c r="B688" s="1" t="s">
        <v>21</v>
      </c>
      <c r="C688" s="1" t="s">
        <v>22</v>
      </c>
      <c r="D688" s="1" t="str">
        <f>IF(Data[[#This Row],[Cancellation Status]]="No", "High Potential", "Normal")</f>
        <v>Normal</v>
      </c>
      <c r="E688" s="2">
        <v>45954</v>
      </c>
      <c r="I688" s="1" t="s">
        <v>23</v>
      </c>
      <c r="J688" s="1" t="s">
        <v>33</v>
      </c>
      <c r="L688" s="88" t="str">
        <f>IF(OR(Data[[#This Row],[Service Follow-up Date]]="",Data[[#This Row],[Delivery Date]]=""),"",INT(Data[[#This Row],[Service Follow-up Date]]-Data[[#This Row],[Delivery Date]]))</f>
        <v/>
      </c>
      <c r="Q688" t="str">
        <f>IF(ISBLANK(Data[[#This Row],[Customer Rating]]),"No Rating",IF(Data[[#This Row],[Customer Rating]]&gt;=9,"Promoter",IF(Data[[#This Row],[Customer Rating]]&gt;=7,"Passive","Detractor")))</f>
        <v>No Rating</v>
      </c>
    </row>
    <row r="689" spans="1:17" ht="14.25" customHeight="1" x14ac:dyDescent="0.3">
      <c r="A689" s="1" t="s">
        <v>715</v>
      </c>
      <c r="B689" s="1" t="s">
        <v>15</v>
      </c>
      <c r="C689" s="1" t="s">
        <v>22</v>
      </c>
      <c r="D689" s="1" t="str">
        <f>IF(Data[[#This Row],[Cancellation Status]]="No", "High Potential", "Normal")</f>
        <v>Normal</v>
      </c>
      <c r="E689" s="2">
        <v>45955</v>
      </c>
      <c r="I689" s="1" t="s">
        <v>23</v>
      </c>
      <c r="J689" s="1" t="s">
        <v>24</v>
      </c>
      <c r="L689" s="88" t="str">
        <f>IF(OR(Data[[#This Row],[Service Follow-up Date]]="",Data[[#This Row],[Delivery Date]]=""),"",INT(Data[[#This Row],[Service Follow-up Date]]-Data[[#This Row],[Delivery Date]]))</f>
        <v/>
      </c>
      <c r="Q689" t="str">
        <f>IF(ISBLANK(Data[[#This Row],[Customer Rating]]),"No Rating",IF(Data[[#This Row],[Customer Rating]]&gt;=9,"Promoter",IF(Data[[#This Row],[Customer Rating]]&gt;=7,"Passive","Detractor")))</f>
        <v>No Rating</v>
      </c>
    </row>
    <row r="690" spans="1:17" ht="14.25" customHeight="1" x14ac:dyDescent="0.3">
      <c r="A690" s="1" t="s">
        <v>716</v>
      </c>
      <c r="B690" s="1" t="s">
        <v>32</v>
      </c>
      <c r="C690" s="1" t="s">
        <v>16</v>
      </c>
      <c r="D690" s="1" t="str">
        <f>IF(Data[[#This Row],[Cancellation Status]]="No", "High Potential", "Normal")</f>
        <v>High Potential</v>
      </c>
      <c r="E690" s="2">
        <v>45952</v>
      </c>
      <c r="F690" s="2">
        <v>45955</v>
      </c>
      <c r="G690" s="2">
        <v>45960</v>
      </c>
      <c r="H690" s="2">
        <v>45963</v>
      </c>
      <c r="I690" s="1" t="s">
        <v>17</v>
      </c>
      <c r="K690" s="2">
        <v>45976</v>
      </c>
      <c r="L690" s="88">
        <f>IF(OR(Data[[#This Row],[Service Follow-up Date]]="",Data[[#This Row],[Delivery Date]]=""),"",INT(Data[[#This Row],[Service Follow-up Date]]-Data[[#This Row],[Delivery Date]]))</f>
        <v>13</v>
      </c>
      <c r="M690" s="1">
        <v>3</v>
      </c>
      <c r="N690" s="1">
        <v>5</v>
      </c>
      <c r="O690" s="1">
        <v>3</v>
      </c>
      <c r="P690" s="1">
        <v>5</v>
      </c>
      <c r="Q690" t="str">
        <f>IF(ISBLANK(Data[[#This Row],[Customer Rating]]),"No Rating",IF(Data[[#This Row],[Customer Rating]]&gt;=9,"Promoter",IF(Data[[#This Row],[Customer Rating]]&gt;=7,"Passive","Detractor")))</f>
        <v>Detractor</v>
      </c>
    </row>
    <row r="691" spans="1:17" ht="14.25" customHeight="1" x14ac:dyDescent="0.3">
      <c r="A691" s="1" t="s">
        <v>717</v>
      </c>
      <c r="B691" s="1" t="s">
        <v>15</v>
      </c>
      <c r="C691" s="1" t="s">
        <v>30</v>
      </c>
      <c r="D691" s="1" t="str">
        <f>IF(Data[[#This Row],[Cancellation Status]]="No", "High Potential", "Normal")</f>
        <v>High Potential</v>
      </c>
      <c r="E691" s="2">
        <v>45952</v>
      </c>
      <c r="F691" s="2">
        <v>45956</v>
      </c>
      <c r="G691" s="2">
        <v>45957</v>
      </c>
      <c r="H691" s="2">
        <v>45961</v>
      </c>
      <c r="I691" s="1" t="s">
        <v>17</v>
      </c>
      <c r="K691" s="2">
        <v>45983</v>
      </c>
      <c r="L691" s="88">
        <f>IF(OR(Data[[#This Row],[Service Follow-up Date]]="",Data[[#This Row],[Delivery Date]]=""),"",INT(Data[[#This Row],[Service Follow-up Date]]-Data[[#This Row],[Delivery Date]]))</f>
        <v>22</v>
      </c>
      <c r="M691" s="1">
        <v>4</v>
      </c>
      <c r="N691" s="1">
        <v>1</v>
      </c>
      <c r="O691" s="1">
        <v>4</v>
      </c>
      <c r="P691" s="1">
        <v>2</v>
      </c>
      <c r="Q691" t="str">
        <f>IF(ISBLANK(Data[[#This Row],[Customer Rating]]),"No Rating",IF(Data[[#This Row],[Customer Rating]]&gt;=9,"Promoter",IF(Data[[#This Row],[Customer Rating]]&gt;=7,"Passive","Detractor")))</f>
        <v>Detractor</v>
      </c>
    </row>
    <row r="692" spans="1:17" ht="14.25" customHeight="1" x14ac:dyDescent="0.3">
      <c r="A692" s="1" t="s">
        <v>718</v>
      </c>
      <c r="B692" s="1" t="s">
        <v>19</v>
      </c>
      <c r="C692" s="1" t="s">
        <v>16</v>
      </c>
      <c r="D692" s="1" t="str">
        <f>IF(Data[[#This Row],[Cancellation Status]]="No", "High Potential", "Normal")</f>
        <v>High Potential</v>
      </c>
      <c r="E692" s="2">
        <v>45957</v>
      </c>
      <c r="F692" s="2">
        <v>45960</v>
      </c>
      <c r="G692" s="2">
        <v>45962</v>
      </c>
      <c r="H692" s="2">
        <v>45968</v>
      </c>
      <c r="I692" s="1" t="s">
        <v>17</v>
      </c>
      <c r="K692" s="2">
        <v>45994</v>
      </c>
      <c r="L692" s="88">
        <f>IF(OR(Data[[#This Row],[Service Follow-up Date]]="",Data[[#This Row],[Delivery Date]]=""),"",INT(Data[[#This Row],[Service Follow-up Date]]-Data[[#This Row],[Delivery Date]]))</f>
        <v>26</v>
      </c>
      <c r="M692" s="1">
        <v>3</v>
      </c>
      <c r="N692" s="1">
        <v>2</v>
      </c>
      <c r="O692" s="1">
        <v>6</v>
      </c>
      <c r="P692" s="1">
        <v>7</v>
      </c>
      <c r="Q692" t="str">
        <f>IF(ISBLANK(Data[[#This Row],[Customer Rating]]),"No Rating",IF(Data[[#This Row],[Customer Rating]]&gt;=9,"Promoter",IF(Data[[#This Row],[Customer Rating]]&gt;=7,"Passive","Detractor")))</f>
        <v>Passive</v>
      </c>
    </row>
    <row r="693" spans="1:17" ht="14.25" customHeight="1" x14ac:dyDescent="0.3">
      <c r="A693" s="1" t="s">
        <v>719</v>
      </c>
      <c r="B693" s="1" t="s">
        <v>21</v>
      </c>
      <c r="C693" s="1" t="s">
        <v>16</v>
      </c>
      <c r="D693" s="1" t="str">
        <f>IF(Data[[#This Row],[Cancellation Status]]="No", "High Potential", "Normal")</f>
        <v>High Potential</v>
      </c>
      <c r="E693" s="2">
        <v>45935</v>
      </c>
      <c r="F693" s="2">
        <v>45938</v>
      </c>
      <c r="G693" s="2">
        <v>45941</v>
      </c>
      <c r="H693" s="2">
        <v>45945</v>
      </c>
      <c r="I693" s="1" t="s">
        <v>17</v>
      </c>
      <c r="K693" s="2">
        <v>45964</v>
      </c>
      <c r="L693" s="88">
        <f>IF(OR(Data[[#This Row],[Service Follow-up Date]]="",Data[[#This Row],[Delivery Date]]=""),"",INT(Data[[#This Row],[Service Follow-up Date]]-Data[[#This Row],[Delivery Date]]))</f>
        <v>19</v>
      </c>
      <c r="M693" s="1">
        <v>3</v>
      </c>
      <c r="N693" s="1">
        <v>3</v>
      </c>
      <c r="O693" s="1">
        <v>4</v>
      </c>
      <c r="P693" s="1">
        <v>3</v>
      </c>
      <c r="Q693" t="str">
        <f>IF(ISBLANK(Data[[#This Row],[Customer Rating]]),"No Rating",IF(Data[[#This Row],[Customer Rating]]&gt;=9,"Promoter",IF(Data[[#This Row],[Customer Rating]]&gt;=7,"Passive","Detractor")))</f>
        <v>Detractor</v>
      </c>
    </row>
    <row r="694" spans="1:17" ht="14.25" customHeight="1" x14ac:dyDescent="0.3">
      <c r="A694" s="1" t="s">
        <v>720</v>
      </c>
      <c r="B694" s="1" t="s">
        <v>21</v>
      </c>
      <c r="C694" s="1" t="s">
        <v>30</v>
      </c>
      <c r="D694" s="1" t="str">
        <f>IF(Data[[#This Row],[Cancellation Status]]="No", "High Potential", "Normal")</f>
        <v>High Potential</v>
      </c>
      <c r="E694" s="2">
        <v>45951</v>
      </c>
      <c r="F694" s="2">
        <v>45953</v>
      </c>
      <c r="G694" s="2">
        <v>45954</v>
      </c>
      <c r="H694" s="2">
        <v>45961</v>
      </c>
      <c r="I694" s="1" t="s">
        <v>17</v>
      </c>
      <c r="K694" s="2">
        <v>45984</v>
      </c>
      <c r="L694" s="88">
        <f>IF(OR(Data[[#This Row],[Service Follow-up Date]]="",Data[[#This Row],[Delivery Date]]=""),"",INT(Data[[#This Row],[Service Follow-up Date]]-Data[[#This Row],[Delivery Date]]))</f>
        <v>23</v>
      </c>
      <c r="M694" s="1">
        <v>2</v>
      </c>
      <c r="N694" s="1">
        <v>1</v>
      </c>
      <c r="O694" s="1">
        <v>7</v>
      </c>
      <c r="P694" s="1">
        <v>8</v>
      </c>
      <c r="Q694" t="str">
        <f>IF(ISBLANK(Data[[#This Row],[Customer Rating]]),"No Rating",IF(Data[[#This Row],[Customer Rating]]&gt;=9,"Promoter",IF(Data[[#This Row],[Customer Rating]]&gt;=7,"Passive","Detractor")))</f>
        <v>Passive</v>
      </c>
    </row>
    <row r="695" spans="1:17" ht="14.25" customHeight="1" x14ac:dyDescent="0.3">
      <c r="A695" s="1" t="s">
        <v>721</v>
      </c>
      <c r="B695" s="1" t="s">
        <v>21</v>
      </c>
      <c r="C695" s="1" t="s">
        <v>30</v>
      </c>
      <c r="D695" s="1" t="str">
        <f>IF(Data[[#This Row],[Cancellation Status]]="No", "High Potential", "Normal")</f>
        <v>High Potential</v>
      </c>
      <c r="E695" s="2">
        <v>45934</v>
      </c>
      <c r="F695" s="2">
        <v>45935</v>
      </c>
      <c r="G695" s="2">
        <v>45937</v>
      </c>
      <c r="H695" s="2">
        <v>45943</v>
      </c>
      <c r="I695" s="1" t="s">
        <v>17</v>
      </c>
      <c r="K695" s="2">
        <v>45954</v>
      </c>
      <c r="L695" s="88">
        <f>IF(OR(Data[[#This Row],[Service Follow-up Date]]="",Data[[#This Row],[Delivery Date]]=""),"",INT(Data[[#This Row],[Service Follow-up Date]]-Data[[#This Row],[Delivery Date]]))</f>
        <v>11</v>
      </c>
      <c r="M695" s="1">
        <v>1</v>
      </c>
      <c r="N695" s="1">
        <v>2</v>
      </c>
      <c r="O695" s="1">
        <v>6</v>
      </c>
      <c r="P695" s="1">
        <v>7</v>
      </c>
      <c r="Q695" t="str">
        <f>IF(ISBLANK(Data[[#This Row],[Customer Rating]]),"No Rating",IF(Data[[#This Row],[Customer Rating]]&gt;=9,"Promoter",IF(Data[[#This Row],[Customer Rating]]&gt;=7,"Passive","Detractor")))</f>
        <v>Passive</v>
      </c>
    </row>
    <row r="696" spans="1:17" ht="14.25" customHeight="1" x14ac:dyDescent="0.3">
      <c r="A696" s="1" t="s">
        <v>722</v>
      </c>
      <c r="B696" s="1" t="s">
        <v>32</v>
      </c>
      <c r="C696" s="1" t="s">
        <v>16</v>
      </c>
      <c r="D696" s="1" t="str">
        <f>IF(Data[[#This Row],[Cancellation Status]]="No", "High Potential", "Normal")</f>
        <v>High Potential</v>
      </c>
      <c r="E696" s="2">
        <v>45959</v>
      </c>
      <c r="F696" s="2">
        <v>45960</v>
      </c>
      <c r="G696" s="2">
        <v>45965</v>
      </c>
      <c r="H696" s="2">
        <v>45968</v>
      </c>
      <c r="I696" s="1" t="s">
        <v>17</v>
      </c>
      <c r="K696" s="2">
        <v>45982</v>
      </c>
      <c r="L696" s="88">
        <f>IF(OR(Data[[#This Row],[Service Follow-up Date]]="",Data[[#This Row],[Delivery Date]]=""),"",INT(Data[[#This Row],[Service Follow-up Date]]-Data[[#This Row],[Delivery Date]]))</f>
        <v>14</v>
      </c>
      <c r="M696" s="1">
        <v>1</v>
      </c>
      <c r="N696" s="1">
        <v>5</v>
      </c>
      <c r="O696" s="1">
        <v>3</v>
      </c>
      <c r="P696" s="1">
        <v>2</v>
      </c>
      <c r="Q696" t="str">
        <f>IF(ISBLANK(Data[[#This Row],[Customer Rating]]),"No Rating",IF(Data[[#This Row],[Customer Rating]]&gt;=9,"Promoter",IF(Data[[#This Row],[Customer Rating]]&gt;=7,"Passive","Detractor")))</f>
        <v>Detractor</v>
      </c>
    </row>
    <row r="697" spans="1:17" ht="14.25" customHeight="1" x14ac:dyDescent="0.3">
      <c r="A697" s="1" t="s">
        <v>723</v>
      </c>
      <c r="B697" s="1" t="s">
        <v>21</v>
      </c>
      <c r="C697" s="1" t="s">
        <v>30</v>
      </c>
      <c r="D697" s="1" t="str">
        <f>IF(Data[[#This Row],[Cancellation Status]]="No", "High Potential", "Normal")</f>
        <v>High Potential</v>
      </c>
      <c r="E697" s="2">
        <v>45951</v>
      </c>
      <c r="F697" s="2">
        <v>45953</v>
      </c>
      <c r="G697" s="2">
        <v>45955</v>
      </c>
      <c r="H697" s="2">
        <v>45960</v>
      </c>
      <c r="I697" s="1" t="s">
        <v>17</v>
      </c>
      <c r="K697" s="2">
        <v>45974</v>
      </c>
      <c r="L697" s="88">
        <f>IF(OR(Data[[#This Row],[Service Follow-up Date]]="",Data[[#This Row],[Delivery Date]]=""),"",INT(Data[[#This Row],[Service Follow-up Date]]-Data[[#This Row],[Delivery Date]]))</f>
        <v>14</v>
      </c>
      <c r="M697" s="1">
        <v>2</v>
      </c>
      <c r="N697" s="1">
        <v>2</v>
      </c>
      <c r="O697" s="1">
        <v>5</v>
      </c>
      <c r="P697" s="1">
        <v>2</v>
      </c>
      <c r="Q697" t="str">
        <f>IF(ISBLANK(Data[[#This Row],[Customer Rating]]),"No Rating",IF(Data[[#This Row],[Customer Rating]]&gt;=9,"Promoter",IF(Data[[#This Row],[Customer Rating]]&gt;=7,"Passive","Detractor")))</f>
        <v>Detractor</v>
      </c>
    </row>
    <row r="698" spans="1:17" ht="14.25" customHeight="1" x14ac:dyDescent="0.3">
      <c r="A698" s="1" t="s">
        <v>724</v>
      </c>
      <c r="B698" s="1" t="s">
        <v>19</v>
      </c>
      <c r="C698" s="1" t="s">
        <v>16</v>
      </c>
      <c r="D698" s="1" t="str">
        <f>IF(Data[[#This Row],[Cancellation Status]]="No", "High Potential", "Normal")</f>
        <v>High Potential</v>
      </c>
      <c r="E698" s="2">
        <v>45951</v>
      </c>
      <c r="F698" s="2">
        <v>45955</v>
      </c>
      <c r="G698" s="2">
        <v>45959</v>
      </c>
      <c r="H698" s="2">
        <v>45963</v>
      </c>
      <c r="I698" s="1" t="s">
        <v>17</v>
      </c>
      <c r="K698" s="2">
        <v>45979</v>
      </c>
      <c r="L698" s="88">
        <f>IF(OR(Data[[#This Row],[Service Follow-up Date]]="",Data[[#This Row],[Delivery Date]]=""),"",INT(Data[[#This Row],[Service Follow-up Date]]-Data[[#This Row],[Delivery Date]]))</f>
        <v>16</v>
      </c>
      <c r="M698" s="1">
        <v>4</v>
      </c>
      <c r="N698" s="1">
        <v>4</v>
      </c>
      <c r="O698" s="1">
        <v>4</v>
      </c>
      <c r="P698" s="1">
        <v>9</v>
      </c>
      <c r="Q698" t="str">
        <f>IF(ISBLANK(Data[[#This Row],[Customer Rating]]),"No Rating",IF(Data[[#This Row],[Customer Rating]]&gt;=9,"Promoter",IF(Data[[#This Row],[Customer Rating]]&gt;=7,"Passive","Detractor")))</f>
        <v>Promoter</v>
      </c>
    </row>
    <row r="699" spans="1:17" ht="14.25" customHeight="1" x14ac:dyDescent="0.3">
      <c r="A699" s="1" t="s">
        <v>725</v>
      </c>
      <c r="B699" s="1" t="s">
        <v>32</v>
      </c>
      <c r="C699" s="1" t="s">
        <v>22</v>
      </c>
      <c r="D699" s="1" t="str">
        <f>IF(Data[[#This Row],[Cancellation Status]]="No", "High Potential", "Normal")</f>
        <v>Normal</v>
      </c>
      <c r="E699" s="2">
        <v>45932</v>
      </c>
      <c r="I699" s="1" t="s">
        <v>23</v>
      </c>
      <c r="J699" s="1" t="s">
        <v>101</v>
      </c>
      <c r="L699" s="88" t="str">
        <f>IF(OR(Data[[#This Row],[Service Follow-up Date]]="",Data[[#This Row],[Delivery Date]]=""),"",INT(Data[[#This Row],[Service Follow-up Date]]-Data[[#This Row],[Delivery Date]]))</f>
        <v/>
      </c>
      <c r="Q699" t="str">
        <f>IF(ISBLANK(Data[[#This Row],[Customer Rating]]),"No Rating",IF(Data[[#This Row],[Customer Rating]]&gt;=9,"Promoter",IF(Data[[#This Row],[Customer Rating]]&gt;=7,"Passive","Detractor")))</f>
        <v>No Rating</v>
      </c>
    </row>
    <row r="700" spans="1:17" ht="14.25" customHeight="1" x14ac:dyDescent="0.3">
      <c r="A700" s="1" t="s">
        <v>726</v>
      </c>
      <c r="B700" s="1" t="s">
        <v>19</v>
      </c>
      <c r="C700" s="1" t="s">
        <v>22</v>
      </c>
      <c r="D700" s="1" t="str">
        <f>IF(Data[[#This Row],[Cancellation Status]]="No", "High Potential", "Normal")</f>
        <v>Normal</v>
      </c>
      <c r="E700" s="2">
        <v>45940</v>
      </c>
      <c r="I700" s="1" t="s">
        <v>23</v>
      </c>
      <c r="J700" s="1" t="s">
        <v>101</v>
      </c>
      <c r="L700" s="88" t="str">
        <f>IF(OR(Data[[#This Row],[Service Follow-up Date]]="",Data[[#This Row],[Delivery Date]]=""),"",INT(Data[[#This Row],[Service Follow-up Date]]-Data[[#This Row],[Delivery Date]]))</f>
        <v/>
      </c>
      <c r="Q700" t="str">
        <f>IF(ISBLANK(Data[[#This Row],[Customer Rating]]),"No Rating",IF(Data[[#This Row],[Customer Rating]]&gt;=9,"Promoter",IF(Data[[#This Row],[Customer Rating]]&gt;=7,"Passive","Detractor")))</f>
        <v>No Rating</v>
      </c>
    </row>
    <row r="701" spans="1:17" ht="14.25" customHeight="1" x14ac:dyDescent="0.3">
      <c r="A701" s="1" t="s">
        <v>727</v>
      </c>
      <c r="B701" s="1" t="s">
        <v>15</v>
      </c>
      <c r="C701" s="1" t="s">
        <v>30</v>
      </c>
      <c r="D701" s="1" t="str">
        <f>IF(Data[[#This Row],[Cancellation Status]]="No", "High Potential", "Normal")</f>
        <v>High Potential</v>
      </c>
      <c r="E701" s="2">
        <v>45956</v>
      </c>
      <c r="F701" s="2">
        <v>45961</v>
      </c>
      <c r="G701" s="2">
        <v>45962</v>
      </c>
      <c r="H701" s="2">
        <v>45968</v>
      </c>
      <c r="I701" s="1" t="s">
        <v>17</v>
      </c>
      <c r="K701" s="2">
        <v>45988</v>
      </c>
      <c r="L701" s="88">
        <f>IF(OR(Data[[#This Row],[Service Follow-up Date]]="",Data[[#This Row],[Delivery Date]]=""),"",INT(Data[[#This Row],[Service Follow-up Date]]-Data[[#This Row],[Delivery Date]]))</f>
        <v>20</v>
      </c>
      <c r="M701" s="1">
        <v>5</v>
      </c>
      <c r="N701" s="1">
        <v>1</v>
      </c>
      <c r="O701" s="1">
        <v>6</v>
      </c>
      <c r="P701" s="1">
        <v>7</v>
      </c>
      <c r="Q701" t="str">
        <f>IF(ISBLANK(Data[[#This Row],[Customer Rating]]),"No Rating",IF(Data[[#This Row],[Customer Rating]]&gt;=9,"Promoter",IF(Data[[#This Row],[Customer Rating]]&gt;=7,"Passive","Detractor")))</f>
        <v>Passive</v>
      </c>
    </row>
    <row r="702" spans="1:17" ht="14.25" customHeight="1" x14ac:dyDescent="0.3">
      <c r="A702" s="1" t="s">
        <v>728</v>
      </c>
      <c r="B702" s="1" t="s">
        <v>15</v>
      </c>
      <c r="C702" s="1" t="s">
        <v>22</v>
      </c>
      <c r="D702" s="1" t="str">
        <f>IF(Data[[#This Row],[Cancellation Status]]="No", "High Potential", "Normal")</f>
        <v>Normal</v>
      </c>
      <c r="E702" s="2">
        <v>45945</v>
      </c>
      <c r="I702" s="1" t="s">
        <v>23</v>
      </c>
      <c r="J702" s="1" t="s">
        <v>63</v>
      </c>
      <c r="L702" s="88" t="str">
        <f>IF(OR(Data[[#This Row],[Service Follow-up Date]]="",Data[[#This Row],[Delivery Date]]=""),"",INT(Data[[#This Row],[Service Follow-up Date]]-Data[[#This Row],[Delivery Date]]))</f>
        <v/>
      </c>
      <c r="Q702" t="str">
        <f>IF(ISBLANK(Data[[#This Row],[Customer Rating]]),"No Rating",IF(Data[[#This Row],[Customer Rating]]&gt;=9,"Promoter",IF(Data[[#This Row],[Customer Rating]]&gt;=7,"Passive","Detractor")))</f>
        <v>No Rating</v>
      </c>
    </row>
    <row r="703" spans="1:17" ht="14.25" customHeight="1" x14ac:dyDescent="0.3">
      <c r="A703" s="1" t="s">
        <v>729</v>
      </c>
      <c r="B703" s="1" t="s">
        <v>15</v>
      </c>
      <c r="C703" s="1" t="s">
        <v>30</v>
      </c>
      <c r="D703" s="1" t="str">
        <f>IF(Data[[#This Row],[Cancellation Status]]="No", "High Potential", "Normal")</f>
        <v>High Potential</v>
      </c>
      <c r="E703" s="2">
        <v>45932</v>
      </c>
      <c r="F703" s="2">
        <v>45936</v>
      </c>
      <c r="G703" s="2">
        <v>45939</v>
      </c>
      <c r="H703" s="2">
        <v>45944</v>
      </c>
      <c r="I703" s="1" t="s">
        <v>17</v>
      </c>
      <c r="K703" s="2">
        <v>45967</v>
      </c>
      <c r="L703" s="88">
        <f>IF(OR(Data[[#This Row],[Service Follow-up Date]]="",Data[[#This Row],[Delivery Date]]=""),"",INT(Data[[#This Row],[Service Follow-up Date]]-Data[[#This Row],[Delivery Date]]))</f>
        <v>23</v>
      </c>
      <c r="M703" s="1">
        <v>4</v>
      </c>
      <c r="N703" s="1">
        <v>3</v>
      </c>
      <c r="O703" s="1">
        <v>5</v>
      </c>
      <c r="P703" s="1">
        <v>9</v>
      </c>
      <c r="Q703" t="str">
        <f>IF(ISBLANK(Data[[#This Row],[Customer Rating]]),"No Rating",IF(Data[[#This Row],[Customer Rating]]&gt;=9,"Promoter",IF(Data[[#This Row],[Customer Rating]]&gt;=7,"Passive","Detractor")))</f>
        <v>Promoter</v>
      </c>
    </row>
    <row r="704" spans="1:17" ht="14.25" customHeight="1" x14ac:dyDescent="0.3">
      <c r="A704" s="1" t="s">
        <v>730</v>
      </c>
      <c r="B704" s="1" t="s">
        <v>15</v>
      </c>
      <c r="C704" s="1" t="s">
        <v>30</v>
      </c>
      <c r="D704" s="1" t="str">
        <f>IF(Data[[#This Row],[Cancellation Status]]="No", "High Potential", "Normal")</f>
        <v>Normal</v>
      </c>
      <c r="E704" s="2">
        <v>45949</v>
      </c>
      <c r="F704" s="2">
        <v>45954</v>
      </c>
      <c r="G704" s="2">
        <v>45956</v>
      </c>
      <c r="H704" s="2">
        <v>45959</v>
      </c>
      <c r="I704" s="1" t="s">
        <v>23</v>
      </c>
      <c r="J704" s="1" t="s">
        <v>26</v>
      </c>
      <c r="L704" s="88" t="str">
        <f>IF(OR(Data[[#This Row],[Service Follow-up Date]]="",Data[[#This Row],[Delivery Date]]=""),"",INT(Data[[#This Row],[Service Follow-up Date]]-Data[[#This Row],[Delivery Date]]))</f>
        <v/>
      </c>
      <c r="M704" s="1">
        <v>5</v>
      </c>
      <c r="N704" s="1">
        <v>2</v>
      </c>
      <c r="O704" s="1">
        <v>3</v>
      </c>
      <c r="Q704" t="str">
        <f>IF(ISBLANK(Data[[#This Row],[Customer Rating]]),"No Rating",IF(Data[[#This Row],[Customer Rating]]&gt;=9,"Promoter",IF(Data[[#This Row],[Customer Rating]]&gt;=7,"Passive","Detractor")))</f>
        <v>No Rating</v>
      </c>
    </row>
    <row r="705" spans="1:17" ht="14.25" customHeight="1" x14ac:dyDescent="0.3">
      <c r="A705" s="1" t="s">
        <v>731</v>
      </c>
      <c r="B705" s="1" t="s">
        <v>19</v>
      </c>
      <c r="C705" s="1" t="s">
        <v>16</v>
      </c>
      <c r="D705" s="1" t="str">
        <f>IF(Data[[#This Row],[Cancellation Status]]="No", "High Potential", "Normal")</f>
        <v>High Potential</v>
      </c>
      <c r="E705" s="2">
        <v>45942</v>
      </c>
      <c r="F705" s="2">
        <v>45943</v>
      </c>
      <c r="G705" s="2">
        <v>45948</v>
      </c>
      <c r="H705" s="2">
        <v>45955</v>
      </c>
      <c r="I705" s="1" t="s">
        <v>17</v>
      </c>
      <c r="K705" s="2">
        <v>45983</v>
      </c>
      <c r="L705" s="88">
        <f>IF(OR(Data[[#This Row],[Service Follow-up Date]]="",Data[[#This Row],[Delivery Date]]=""),"",INT(Data[[#This Row],[Service Follow-up Date]]-Data[[#This Row],[Delivery Date]]))</f>
        <v>28</v>
      </c>
      <c r="M705" s="1">
        <v>1</v>
      </c>
      <c r="N705" s="1">
        <v>5</v>
      </c>
      <c r="O705" s="1">
        <v>7</v>
      </c>
      <c r="P705" s="1">
        <v>2</v>
      </c>
      <c r="Q705" t="str">
        <f>IF(ISBLANK(Data[[#This Row],[Customer Rating]]),"No Rating",IF(Data[[#This Row],[Customer Rating]]&gt;=9,"Promoter",IF(Data[[#This Row],[Customer Rating]]&gt;=7,"Passive","Detractor")))</f>
        <v>Detractor</v>
      </c>
    </row>
    <row r="706" spans="1:17" ht="14.25" customHeight="1" x14ac:dyDescent="0.3">
      <c r="A706" s="1" t="s">
        <v>732</v>
      </c>
      <c r="B706" s="1" t="s">
        <v>32</v>
      </c>
      <c r="C706" s="1" t="s">
        <v>16</v>
      </c>
      <c r="D706" s="1" t="str">
        <f>IF(Data[[#This Row],[Cancellation Status]]="No", "High Potential", "Normal")</f>
        <v>High Potential</v>
      </c>
      <c r="E706" s="2">
        <v>45954</v>
      </c>
      <c r="F706" s="2">
        <v>45957</v>
      </c>
      <c r="G706" s="2">
        <v>45959</v>
      </c>
      <c r="H706" s="2">
        <v>45965</v>
      </c>
      <c r="I706" s="1" t="s">
        <v>17</v>
      </c>
      <c r="K706" s="2">
        <v>45989</v>
      </c>
      <c r="L706" s="88">
        <f>IF(OR(Data[[#This Row],[Service Follow-up Date]]="",Data[[#This Row],[Delivery Date]]=""),"",INT(Data[[#This Row],[Service Follow-up Date]]-Data[[#This Row],[Delivery Date]]))</f>
        <v>24</v>
      </c>
      <c r="M706" s="1">
        <v>3</v>
      </c>
      <c r="N706" s="1">
        <v>2</v>
      </c>
      <c r="O706" s="1">
        <v>6</v>
      </c>
      <c r="P706" s="1">
        <v>9</v>
      </c>
      <c r="Q706" t="str">
        <f>IF(ISBLANK(Data[[#This Row],[Customer Rating]]),"No Rating",IF(Data[[#This Row],[Customer Rating]]&gt;=9,"Promoter",IF(Data[[#This Row],[Customer Rating]]&gt;=7,"Passive","Detractor")))</f>
        <v>Promoter</v>
      </c>
    </row>
    <row r="707" spans="1:17" ht="14.25" customHeight="1" x14ac:dyDescent="0.3">
      <c r="A707" s="1" t="s">
        <v>733</v>
      </c>
      <c r="B707" s="1" t="s">
        <v>32</v>
      </c>
      <c r="C707" s="1" t="s">
        <v>16</v>
      </c>
      <c r="D707" s="1" t="str">
        <f>IF(Data[[#This Row],[Cancellation Status]]="No", "High Potential", "Normal")</f>
        <v>High Potential</v>
      </c>
      <c r="E707" s="2">
        <v>45935</v>
      </c>
      <c r="F707" s="2">
        <v>45938</v>
      </c>
      <c r="G707" s="2">
        <v>45943</v>
      </c>
      <c r="H707" s="2">
        <v>45946</v>
      </c>
      <c r="I707" s="1" t="s">
        <v>17</v>
      </c>
      <c r="K707" s="2">
        <v>45960</v>
      </c>
      <c r="L707" s="88">
        <f>IF(OR(Data[[#This Row],[Service Follow-up Date]]="",Data[[#This Row],[Delivery Date]]=""),"",INT(Data[[#This Row],[Service Follow-up Date]]-Data[[#This Row],[Delivery Date]]))</f>
        <v>14</v>
      </c>
      <c r="M707" s="1">
        <v>3</v>
      </c>
      <c r="N707" s="1">
        <v>5</v>
      </c>
      <c r="O707" s="1">
        <v>3</v>
      </c>
      <c r="P707" s="1">
        <v>2</v>
      </c>
      <c r="Q707" t="str">
        <f>IF(ISBLANK(Data[[#This Row],[Customer Rating]]),"No Rating",IF(Data[[#This Row],[Customer Rating]]&gt;=9,"Promoter",IF(Data[[#This Row],[Customer Rating]]&gt;=7,"Passive","Detractor")))</f>
        <v>Detractor</v>
      </c>
    </row>
    <row r="708" spans="1:17" ht="14.25" customHeight="1" x14ac:dyDescent="0.3">
      <c r="A708" s="1" t="s">
        <v>734</v>
      </c>
      <c r="B708" s="1" t="s">
        <v>21</v>
      </c>
      <c r="C708" s="1" t="s">
        <v>16</v>
      </c>
      <c r="D708" s="1" t="str">
        <f>IF(Data[[#This Row],[Cancellation Status]]="No", "High Potential", "Normal")</f>
        <v>High Potential</v>
      </c>
      <c r="E708" s="2">
        <v>45933</v>
      </c>
      <c r="F708" s="2">
        <v>45937</v>
      </c>
      <c r="G708" s="2">
        <v>45941</v>
      </c>
      <c r="H708" s="2">
        <v>45944</v>
      </c>
      <c r="I708" s="1" t="s">
        <v>17</v>
      </c>
      <c r="K708" s="2">
        <v>45964</v>
      </c>
      <c r="L708" s="88">
        <f>IF(OR(Data[[#This Row],[Service Follow-up Date]]="",Data[[#This Row],[Delivery Date]]=""),"",INT(Data[[#This Row],[Service Follow-up Date]]-Data[[#This Row],[Delivery Date]]))</f>
        <v>20</v>
      </c>
      <c r="M708" s="1">
        <v>4</v>
      </c>
      <c r="N708" s="1">
        <v>4</v>
      </c>
      <c r="O708" s="1">
        <v>3</v>
      </c>
      <c r="P708" s="1">
        <v>6</v>
      </c>
      <c r="Q708" t="str">
        <f>IF(ISBLANK(Data[[#This Row],[Customer Rating]]),"No Rating",IF(Data[[#This Row],[Customer Rating]]&gt;=9,"Promoter",IF(Data[[#This Row],[Customer Rating]]&gt;=7,"Passive","Detractor")))</f>
        <v>Detractor</v>
      </c>
    </row>
    <row r="709" spans="1:17" ht="14.25" customHeight="1" x14ac:dyDescent="0.3">
      <c r="A709" s="1" t="s">
        <v>735</v>
      </c>
      <c r="B709" s="1" t="s">
        <v>19</v>
      </c>
      <c r="C709" s="1" t="s">
        <v>30</v>
      </c>
      <c r="D709" s="1" t="str">
        <f>IF(Data[[#This Row],[Cancellation Status]]="No", "High Potential", "Normal")</f>
        <v>Normal</v>
      </c>
      <c r="E709" s="2">
        <v>45960</v>
      </c>
      <c r="F709" s="2">
        <v>45962</v>
      </c>
      <c r="G709" s="2">
        <v>45967</v>
      </c>
      <c r="H709" s="2">
        <v>45969</v>
      </c>
      <c r="I709" s="1" t="s">
        <v>23</v>
      </c>
      <c r="J709" s="1" t="s">
        <v>33</v>
      </c>
      <c r="L709" s="88" t="str">
        <f>IF(OR(Data[[#This Row],[Service Follow-up Date]]="",Data[[#This Row],[Delivery Date]]=""),"",INT(Data[[#This Row],[Service Follow-up Date]]-Data[[#This Row],[Delivery Date]]))</f>
        <v/>
      </c>
      <c r="M709" s="1">
        <v>2</v>
      </c>
      <c r="N709" s="1">
        <v>5</v>
      </c>
      <c r="O709" s="1">
        <v>2</v>
      </c>
      <c r="Q709" t="str">
        <f>IF(ISBLANK(Data[[#This Row],[Customer Rating]]),"No Rating",IF(Data[[#This Row],[Customer Rating]]&gt;=9,"Promoter",IF(Data[[#This Row],[Customer Rating]]&gt;=7,"Passive","Detractor")))</f>
        <v>No Rating</v>
      </c>
    </row>
    <row r="710" spans="1:17" ht="14.25" customHeight="1" x14ac:dyDescent="0.3">
      <c r="A710" s="1" t="s">
        <v>736</v>
      </c>
      <c r="B710" s="1" t="s">
        <v>15</v>
      </c>
      <c r="C710" s="1" t="s">
        <v>30</v>
      </c>
      <c r="D710" s="1" t="str">
        <f>IF(Data[[#This Row],[Cancellation Status]]="No", "High Potential", "Normal")</f>
        <v>High Potential</v>
      </c>
      <c r="E710" s="2">
        <v>45940</v>
      </c>
      <c r="F710" s="2">
        <v>45945</v>
      </c>
      <c r="G710" s="2">
        <v>45948</v>
      </c>
      <c r="H710" s="2">
        <v>45953</v>
      </c>
      <c r="I710" s="1" t="s">
        <v>17</v>
      </c>
      <c r="K710" s="2">
        <v>45968</v>
      </c>
      <c r="L710" s="88">
        <f>IF(OR(Data[[#This Row],[Service Follow-up Date]]="",Data[[#This Row],[Delivery Date]]=""),"",INT(Data[[#This Row],[Service Follow-up Date]]-Data[[#This Row],[Delivery Date]]))</f>
        <v>15</v>
      </c>
      <c r="M710" s="1">
        <v>5</v>
      </c>
      <c r="N710" s="1">
        <v>3</v>
      </c>
      <c r="O710" s="1">
        <v>5</v>
      </c>
      <c r="P710" s="1">
        <v>2</v>
      </c>
      <c r="Q710" t="str">
        <f>IF(ISBLANK(Data[[#This Row],[Customer Rating]]),"No Rating",IF(Data[[#This Row],[Customer Rating]]&gt;=9,"Promoter",IF(Data[[#This Row],[Customer Rating]]&gt;=7,"Passive","Detractor")))</f>
        <v>Detractor</v>
      </c>
    </row>
    <row r="711" spans="1:17" ht="14.25" customHeight="1" x14ac:dyDescent="0.3">
      <c r="A711" s="1" t="s">
        <v>737</v>
      </c>
      <c r="B711" s="1" t="s">
        <v>19</v>
      </c>
      <c r="C711" s="1" t="s">
        <v>16</v>
      </c>
      <c r="D711" s="1" t="str">
        <f>IF(Data[[#This Row],[Cancellation Status]]="No", "High Potential", "Normal")</f>
        <v>High Potential</v>
      </c>
      <c r="E711" s="2">
        <v>45941</v>
      </c>
      <c r="F711" s="2">
        <v>45944</v>
      </c>
      <c r="G711" s="2">
        <v>45948</v>
      </c>
      <c r="H711" s="2">
        <v>45950</v>
      </c>
      <c r="I711" s="1" t="s">
        <v>17</v>
      </c>
      <c r="K711" s="2">
        <v>45962</v>
      </c>
      <c r="L711" s="88">
        <f>IF(OR(Data[[#This Row],[Service Follow-up Date]]="",Data[[#This Row],[Delivery Date]]=""),"",INT(Data[[#This Row],[Service Follow-up Date]]-Data[[#This Row],[Delivery Date]]))</f>
        <v>12</v>
      </c>
      <c r="M711" s="1">
        <v>3</v>
      </c>
      <c r="N711" s="1">
        <v>4</v>
      </c>
      <c r="O711" s="1">
        <v>2</v>
      </c>
      <c r="P711" s="1">
        <v>6</v>
      </c>
      <c r="Q711" t="str">
        <f>IF(ISBLANK(Data[[#This Row],[Customer Rating]]),"No Rating",IF(Data[[#This Row],[Customer Rating]]&gt;=9,"Promoter",IF(Data[[#This Row],[Customer Rating]]&gt;=7,"Passive","Detractor")))</f>
        <v>Detractor</v>
      </c>
    </row>
    <row r="712" spans="1:17" ht="14.25" customHeight="1" x14ac:dyDescent="0.3">
      <c r="A712" s="1" t="s">
        <v>738</v>
      </c>
      <c r="B712" s="1" t="s">
        <v>21</v>
      </c>
      <c r="C712" s="1" t="s">
        <v>16</v>
      </c>
      <c r="D712" s="1" t="str">
        <f>IF(Data[[#This Row],[Cancellation Status]]="No", "High Potential", "Normal")</f>
        <v>High Potential</v>
      </c>
      <c r="E712" s="2">
        <v>45954</v>
      </c>
      <c r="F712" s="2">
        <v>45958</v>
      </c>
      <c r="G712" s="2">
        <v>45960</v>
      </c>
      <c r="H712" s="2">
        <v>45963</v>
      </c>
      <c r="I712" s="1" t="s">
        <v>17</v>
      </c>
      <c r="K712" s="2">
        <v>45988</v>
      </c>
      <c r="L712" s="88">
        <f>IF(OR(Data[[#This Row],[Service Follow-up Date]]="",Data[[#This Row],[Delivery Date]]=""),"",INT(Data[[#This Row],[Service Follow-up Date]]-Data[[#This Row],[Delivery Date]]))</f>
        <v>25</v>
      </c>
      <c r="M712" s="1">
        <v>4</v>
      </c>
      <c r="N712" s="1">
        <v>2</v>
      </c>
      <c r="O712" s="1">
        <v>3</v>
      </c>
      <c r="P712" s="1">
        <v>8</v>
      </c>
      <c r="Q712" t="str">
        <f>IF(ISBLANK(Data[[#This Row],[Customer Rating]]),"No Rating",IF(Data[[#This Row],[Customer Rating]]&gt;=9,"Promoter",IF(Data[[#This Row],[Customer Rating]]&gt;=7,"Passive","Detractor")))</f>
        <v>Passive</v>
      </c>
    </row>
    <row r="713" spans="1:17" ht="14.25" customHeight="1" x14ac:dyDescent="0.3">
      <c r="A713" s="1" t="s">
        <v>739</v>
      </c>
      <c r="B713" s="1" t="s">
        <v>21</v>
      </c>
      <c r="C713" s="1" t="s">
        <v>16</v>
      </c>
      <c r="D713" s="1" t="str">
        <f>IF(Data[[#This Row],[Cancellation Status]]="No", "High Potential", "Normal")</f>
        <v>High Potential</v>
      </c>
      <c r="E713" s="2">
        <v>45944</v>
      </c>
      <c r="F713" s="2">
        <v>45946</v>
      </c>
      <c r="G713" s="2">
        <v>45947</v>
      </c>
      <c r="H713" s="2">
        <v>45953</v>
      </c>
      <c r="I713" s="1" t="s">
        <v>17</v>
      </c>
      <c r="K713" s="2">
        <v>45973</v>
      </c>
      <c r="L713" s="88">
        <f>IF(OR(Data[[#This Row],[Service Follow-up Date]]="",Data[[#This Row],[Delivery Date]]=""),"",INT(Data[[#This Row],[Service Follow-up Date]]-Data[[#This Row],[Delivery Date]]))</f>
        <v>20</v>
      </c>
      <c r="M713" s="1">
        <v>2</v>
      </c>
      <c r="N713" s="1">
        <v>1</v>
      </c>
      <c r="O713" s="1">
        <v>6</v>
      </c>
      <c r="P713" s="1">
        <v>2</v>
      </c>
      <c r="Q713" t="str">
        <f>IF(ISBLANK(Data[[#This Row],[Customer Rating]]),"No Rating",IF(Data[[#This Row],[Customer Rating]]&gt;=9,"Promoter",IF(Data[[#This Row],[Customer Rating]]&gt;=7,"Passive","Detractor")))</f>
        <v>Detractor</v>
      </c>
    </row>
    <row r="714" spans="1:17" ht="14.25" customHeight="1" x14ac:dyDescent="0.3">
      <c r="A714" s="1" t="s">
        <v>740</v>
      </c>
      <c r="B714" s="1" t="s">
        <v>19</v>
      </c>
      <c r="C714" s="1" t="s">
        <v>30</v>
      </c>
      <c r="D714" s="1" t="str">
        <f>IF(Data[[#This Row],[Cancellation Status]]="No", "High Potential", "Normal")</f>
        <v>High Potential</v>
      </c>
      <c r="E714" s="2">
        <v>45936</v>
      </c>
      <c r="F714" s="2">
        <v>45937</v>
      </c>
      <c r="G714" s="2">
        <v>45942</v>
      </c>
      <c r="H714" s="2">
        <v>45946</v>
      </c>
      <c r="I714" s="1" t="s">
        <v>17</v>
      </c>
      <c r="K714" s="2">
        <v>45976</v>
      </c>
      <c r="L714" s="88">
        <f>IF(OR(Data[[#This Row],[Service Follow-up Date]]="",Data[[#This Row],[Delivery Date]]=""),"",INT(Data[[#This Row],[Service Follow-up Date]]-Data[[#This Row],[Delivery Date]]))</f>
        <v>30</v>
      </c>
      <c r="M714" s="1">
        <v>1</v>
      </c>
      <c r="N714" s="1">
        <v>5</v>
      </c>
      <c r="O714" s="1">
        <v>4</v>
      </c>
      <c r="P714" s="1">
        <v>5</v>
      </c>
      <c r="Q714" t="str">
        <f>IF(ISBLANK(Data[[#This Row],[Customer Rating]]),"No Rating",IF(Data[[#This Row],[Customer Rating]]&gt;=9,"Promoter",IF(Data[[#This Row],[Customer Rating]]&gt;=7,"Passive","Detractor")))</f>
        <v>Detractor</v>
      </c>
    </row>
    <row r="715" spans="1:17" ht="14.25" customHeight="1" x14ac:dyDescent="0.3">
      <c r="A715" s="1" t="s">
        <v>741</v>
      </c>
      <c r="B715" s="1" t="s">
        <v>19</v>
      </c>
      <c r="C715" s="1" t="s">
        <v>16</v>
      </c>
      <c r="D715" s="1" t="str">
        <f>IF(Data[[#This Row],[Cancellation Status]]="No", "High Potential", "Normal")</f>
        <v>High Potential</v>
      </c>
      <c r="E715" s="2">
        <v>45937</v>
      </c>
      <c r="F715" s="2">
        <v>45939</v>
      </c>
      <c r="G715" s="2">
        <v>45942</v>
      </c>
      <c r="H715" s="2">
        <v>45949</v>
      </c>
      <c r="I715" s="1" t="s">
        <v>17</v>
      </c>
      <c r="K715" s="2">
        <v>45964</v>
      </c>
      <c r="L715" s="88">
        <f>IF(OR(Data[[#This Row],[Service Follow-up Date]]="",Data[[#This Row],[Delivery Date]]=""),"",INT(Data[[#This Row],[Service Follow-up Date]]-Data[[#This Row],[Delivery Date]]))</f>
        <v>15</v>
      </c>
      <c r="M715" s="1">
        <v>2</v>
      </c>
      <c r="N715" s="1">
        <v>3</v>
      </c>
      <c r="O715" s="1">
        <v>7</v>
      </c>
      <c r="P715" s="1">
        <v>8</v>
      </c>
      <c r="Q715" t="str">
        <f>IF(ISBLANK(Data[[#This Row],[Customer Rating]]),"No Rating",IF(Data[[#This Row],[Customer Rating]]&gt;=9,"Promoter",IF(Data[[#This Row],[Customer Rating]]&gt;=7,"Passive","Detractor")))</f>
        <v>Passive</v>
      </c>
    </row>
    <row r="716" spans="1:17" ht="14.25" customHeight="1" x14ac:dyDescent="0.3">
      <c r="A716" s="1" t="s">
        <v>742</v>
      </c>
      <c r="B716" s="1" t="s">
        <v>19</v>
      </c>
      <c r="C716" s="1" t="s">
        <v>30</v>
      </c>
      <c r="D716" s="1" t="str">
        <f>IF(Data[[#This Row],[Cancellation Status]]="No", "High Potential", "Normal")</f>
        <v>High Potential</v>
      </c>
      <c r="E716" s="2">
        <v>45935</v>
      </c>
      <c r="F716" s="2">
        <v>45936</v>
      </c>
      <c r="G716" s="2">
        <v>45937</v>
      </c>
      <c r="H716" s="2">
        <v>45944</v>
      </c>
      <c r="I716" s="1" t="s">
        <v>17</v>
      </c>
      <c r="K716" s="2">
        <v>45964</v>
      </c>
      <c r="L716" s="88">
        <f>IF(OR(Data[[#This Row],[Service Follow-up Date]]="",Data[[#This Row],[Delivery Date]]=""),"",INT(Data[[#This Row],[Service Follow-up Date]]-Data[[#This Row],[Delivery Date]]))</f>
        <v>20</v>
      </c>
      <c r="M716" s="1">
        <v>1</v>
      </c>
      <c r="N716" s="1">
        <v>1</v>
      </c>
      <c r="O716" s="1">
        <v>7</v>
      </c>
      <c r="P716" s="1">
        <v>7</v>
      </c>
      <c r="Q716" t="str">
        <f>IF(ISBLANK(Data[[#This Row],[Customer Rating]]),"No Rating",IF(Data[[#This Row],[Customer Rating]]&gt;=9,"Promoter",IF(Data[[#This Row],[Customer Rating]]&gt;=7,"Passive","Detractor")))</f>
        <v>Passive</v>
      </c>
    </row>
    <row r="717" spans="1:17" ht="14.25" customHeight="1" x14ac:dyDescent="0.3">
      <c r="A717" s="1" t="s">
        <v>743</v>
      </c>
      <c r="B717" s="1" t="s">
        <v>32</v>
      </c>
      <c r="C717" s="1" t="s">
        <v>30</v>
      </c>
      <c r="D717" s="1" t="str">
        <f>IF(Data[[#This Row],[Cancellation Status]]="No", "High Potential", "Normal")</f>
        <v>High Potential</v>
      </c>
      <c r="E717" s="2">
        <v>45956</v>
      </c>
      <c r="F717" s="2">
        <v>45960</v>
      </c>
      <c r="G717" s="2">
        <v>45961</v>
      </c>
      <c r="H717" s="2">
        <v>45963</v>
      </c>
      <c r="I717" s="1" t="s">
        <v>17</v>
      </c>
      <c r="K717" s="2">
        <v>45993</v>
      </c>
      <c r="L717" s="88">
        <f>IF(OR(Data[[#This Row],[Service Follow-up Date]]="",Data[[#This Row],[Delivery Date]]=""),"",INT(Data[[#This Row],[Service Follow-up Date]]-Data[[#This Row],[Delivery Date]]))</f>
        <v>30</v>
      </c>
      <c r="M717" s="1">
        <v>4</v>
      </c>
      <c r="N717" s="1">
        <v>1</v>
      </c>
      <c r="O717" s="1">
        <v>2</v>
      </c>
      <c r="P717" s="1">
        <v>7</v>
      </c>
      <c r="Q717" t="str">
        <f>IF(ISBLANK(Data[[#This Row],[Customer Rating]]),"No Rating",IF(Data[[#This Row],[Customer Rating]]&gt;=9,"Promoter",IF(Data[[#This Row],[Customer Rating]]&gt;=7,"Passive","Detractor")))</f>
        <v>Passive</v>
      </c>
    </row>
    <row r="718" spans="1:17" ht="14.25" customHeight="1" x14ac:dyDescent="0.3">
      <c r="A718" s="1" t="s">
        <v>744</v>
      </c>
      <c r="B718" s="1" t="s">
        <v>15</v>
      </c>
      <c r="C718" s="1" t="s">
        <v>16</v>
      </c>
      <c r="D718" s="1" t="str">
        <f>IF(Data[[#This Row],[Cancellation Status]]="No", "High Potential", "Normal")</f>
        <v>High Potential</v>
      </c>
      <c r="E718" s="2">
        <v>45948</v>
      </c>
      <c r="F718" s="2">
        <v>45950</v>
      </c>
      <c r="G718" s="2">
        <v>45954</v>
      </c>
      <c r="H718" s="2">
        <v>45958</v>
      </c>
      <c r="I718" s="1" t="s">
        <v>17</v>
      </c>
      <c r="K718" s="2">
        <v>45969</v>
      </c>
      <c r="L718" s="88">
        <f>IF(OR(Data[[#This Row],[Service Follow-up Date]]="",Data[[#This Row],[Delivery Date]]=""),"",INT(Data[[#This Row],[Service Follow-up Date]]-Data[[#This Row],[Delivery Date]]))</f>
        <v>11</v>
      </c>
      <c r="M718" s="1">
        <v>2</v>
      </c>
      <c r="N718" s="1">
        <v>4</v>
      </c>
      <c r="O718" s="1">
        <v>4</v>
      </c>
      <c r="P718" s="1">
        <v>9</v>
      </c>
      <c r="Q718" t="str">
        <f>IF(ISBLANK(Data[[#This Row],[Customer Rating]]),"No Rating",IF(Data[[#This Row],[Customer Rating]]&gt;=9,"Promoter",IF(Data[[#This Row],[Customer Rating]]&gt;=7,"Passive","Detractor")))</f>
        <v>Promoter</v>
      </c>
    </row>
    <row r="719" spans="1:17" ht="14.25" customHeight="1" x14ac:dyDescent="0.3">
      <c r="A719" s="1" t="s">
        <v>745</v>
      </c>
      <c r="B719" s="1" t="s">
        <v>19</v>
      </c>
      <c r="C719" s="1" t="s">
        <v>30</v>
      </c>
      <c r="D719" s="1" t="str">
        <f>IF(Data[[#This Row],[Cancellation Status]]="No", "High Potential", "Normal")</f>
        <v>High Potential</v>
      </c>
      <c r="E719" s="2">
        <v>45959</v>
      </c>
      <c r="F719" s="2">
        <v>45963</v>
      </c>
      <c r="G719" s="2">
        <v>45965</v>
      </c>
      <c r="H719" s="2">
        <v>45967</v>
      </c>
      <c r="I719" s="1" t="s">
        <v>17</v>
      </c>
      <c r="K719" s="2">
        <v>45977</v>
      </c>
      <c r="L719" s="88">
        <f>IF(OR(Data[[#This Row],[Service Follow-up Date]]="",Data[[#This Row],[Delivery Date]]=""),"",INT(Data[[#This Row],[Service Follow-up Date]]-Data[[#This Row],[Delivery Date]]))</f>
        <v>10</v>
      </c>
      <c r="M719" s="1">
        <v>4</v>
      </c>
      <c r="N719" s="1">
        <v>2</v>
      </c>
      <c r="O719" s="1">
        <v>2</v>
      </c>
      <c r="P719" s="1">
        <v>7</v>
      </c>
      <c r="Q719" t="str">
        <f>IF(ISBLANK(Data[[#This Row],[Customer Rating]]),"No Rating",IF(Data[[#This Row],[Customer Rating]]&gt;=9,"Promoter",IF(Data[[#This Row],[Customer Rating]]&gt;=7,"Passive","Detractor")))</f>
        <v>Passive</v>
      </c>
    </row>
    <row r="720" spans="1:17" ht="14.25" customHeight="1" x14ac:dyDescent="0.3">
      <c r="A720" s="1" t="s">
        <v>746</v>
      </c>
      <c r="B720" s="1" t="s">
        <v>19</v>
      </c>
      <c r="C720" s="1" t="s">
        <v>30</v>
      </c>
      <c r="D720" s="1" t="str">
        <f>IF(Data[[#This Row],[Cancellation Status]]="No", "High Potential", "Normal")</f>
        <v>High Potential</v>
      </c>
      <c r="E720" s="2">
        <v>45942</v>
      </c>
      <c r="F720" s="2">
        <v>45943</v>
      </c>
      <c r="G720" s="2">
        <v>45944</v>
      </c>
      <c r="H720" s="2">
        <v>45951</v>
      </c>
      <c r="I720" s="1" t="s">
        <v>17</v>
      </c>
      <c r="K720" s="2">
        <v>45975</v>
      </c>
      <c r="L720" s="88">
        <f>IF(OR(Data[[#This Row],[Service Follow-up Date]]="",Data[[#This Row],[Delivery Date]]=""),"",INT(Data[[#This Row],[Service Follow-up Date]]-Data[[#This Row],[Delivery Date]]))</f>
        <v>24</v>
      </c>
      <c r="M720" s="1">
        <v>1</v>
      </c>
      <c r="N720" s="1">
        <v>1</v>
      </c>
      <c r="O720" s="1">
        <v>7</v>
      </c>
      <c r="P720" s="1">
        <v>2</v>
      </c>
      <c r="Q720" t="str">
        <f>IF(ISBLANK(Data[[#This Row],[Customer Rating]]),"No Rating",IF(Data[[#This Row],[Customer Rating]]&gt;=9,"Promoter",IF(Data[[#This Row],[Customer Rating]]&gt;=7,"Passive","Detractor")))</f>
        <v>Detractor</v>
      </c>
    </row>
    <row r="721" spans="1:17" ht="14.25" customHeight="1" x14ac:dyDescent="0.3">
      <c r="A721" s="1" t="s">
        <v>747</v>
      </c>
      <c r="B721" s="1" t="s">
        <v>19</v>
      </c>
      <c r="C721" s="1" t="s">
        <v>16</v>
      </c>
      <c r="D721" s="1" t="str">
        <f>IF(Data[[#This Row],[Cancellation Status]]="No", "High Potential", "Normal")</f>
        <v>High Potential</v>
      </c>
      <c r="E721" s="2">
        <v>45947</v>
      </c>
      <c r="F721" s="2">
        <v>45950</v>
      </c>
      <c r="G721" s="2">
        <v>45953</v>
      </c>
      <c r="H721" s="2">
        <v>45958</v>
      </c>
      <c r="I721" s="1" t="s">
        <v>17</v>
      </c>
      <c r="K721" s="2">
        <v>45976</v>
      </c>
      <c r="L721" s="88">
        <f>IF(OR(Data[[#This Row],[Service Follow-up Date]]="",Data[[#This Row],[Delivery Date]]=""),"",INT(Data[[#This Row],[Service Follow-up Date]]-Data[[#This Row],[Delivery Date]]))</f>
        <v>18</v>
      </c>
      <c r="M721" s="1">
        <v>3</v>
      </c>
      <c r="N721" s="1">
        <v>3</v>
      </c>
      <c r="O721" s="1">
        <v>5</v>
      </c>
      <c r="P721" s="1">
        <v>7</v>
      </c>
      <c r="Q721" t="str">
        <f>IF(ISBLANK(Data[[#This Row],[Customer Rating]]),"No Rating",IF(Data[[#This Row],[Customer Rating]]&gt;=9,"Promoter",IF(Data[[#This Row],[Customer Rating]]&gt;=7,"Passive","Detractor")))</f>
        <v>Passive</v>
      </c>
    </row>
    <row r="722" spans="1:17" ht="14.25" customHeight="1" x14ac:dyDescent="0.3">
      <c r="A722" s="1" t="s">
        <v>748</v>
      </c>
      <c r="B722" s="1" t="s">
        <v>21</v>
      </c>
      <c r="C722" s="1" t="s">
        <v>16</v>
      </c>
      <c r="D722" s="1" t="str">
        <f>IF(Data[[#This Row],[Cancellation Status]]="No", "High Potential", "Normal")</f>
        <v>High Potential</v>
      </c>
      <c r="E722" s="2">
        <v>45947</v>
      </c>
      <c r="F722" s="2">
        <v>45950</v>
      </c>
      <c r="G722" s="2">
        <v>45955</v>
      </c>
      <c r="H722" s="2">
        <v>45962</v>
      </c>
      <c r="I722" s="1" t="s">
        <v>17</v>
      </c>
      <c r="K722" s="2">
        <v>45978</v>
      </c>
      <c r="L722" s="88">
        <f>IF(OR(Data[[#This Row],[Service Follow-up Date]]="",Data[[#This Row],[Delivery Date]]=""),"",INT(Data[[#This Row],[Service Follow-up Date]]-Data[[#This Row],[Delivery Date]]))</f>
        <v>16</v>
      </c>
      <c r="M722" s="1">
        <v>3</v>
      </c>
      <c r="N722" s="1">
        <v>5</v>
      </c>
      <c r="O722" s="1">
        <v>7</v>
      </c>
      <c r="P722" s="1">
        <v>4</v>
      </c>
      <c r="Q722" t="str">
        <f>IF(ISBLANK(Data[[#This Row],[Customer Rating]]),"No Rating",IF(Data[[#This Row],[Customer Rating]]&gt;=9,"Promoter",IF(Data[[#This Row],[Customer Rating]]&gt;=7,"Passive","Detractor")))</f>
        <v>Detractor</v>
      </c>
    </row>
    <row r="723" spans="1:17" ht="14.25" customHeight="1" x14ac:dyDescent="0.3">
      <c r="A723" s="1" t="s">
        <v>749</v>
      </c>
      <c r="B723" s="1" t="s">
        <v>21</v>
      </c>
      <c r="C723" s="1" t="s">
        <v>16</v>
      </c>
      <c r="D723" s="1" t="str">
        <f>IF(Data[[#This Row],[Cancellation Status]]="No", "High Potential", "Normal")</f>
        <v>High Potential</v>
      </c>
      <c r="E723" s="2">
        <v>45960</v>
      </c>
      <c r="F723" s="2">
        <v>45961</v>
      </c>
      <c r="G723" s="2">
        <v>45966</v>
      </c>
      <c r="H723" s="2">
        <v>45973</v>
      </c>
      <c r="I723" s="1" t="s">
        <v>17</v>
      </c>
      <c r="K723" s="2">
        <v>45988</v>
      </c>
      <c r="L723" s="88">
        <f>IF(OR(Data[[#This Row],[Service Follow-up Date]]="",Data[[#This Row],[Delivery Date]]=""),"",INT(Data[[#This Row],[Service Follow-up Date]]-Data[[#This Row],[Delivery Date]]))</f>
        <v>15</v>
      </c>
      <c r="M723" s="1">
        <v>1</v>
      </c>
      <c r="N723" s="1">
        <v>5</v>
      </c>
      <c r="O723" s="1">
        <v>7</v>
      </c>
      <c r="P723" s="1">
        <v>6</v>
      </c>
      <c r="Q723" t="str">
        <f>IF(ISBLANK(Data[[#This Row],[Customer Rating]]),"No Rating",IF(Data[[#This Row],[Customer Rating]]&gt;=9,"Promoter",IF(Data[[#This Row],[Customer Rating]]&gt;=7,"Passive","Detractor")))</f>
        <v>Detractor</v>
      </c>
    </row>
    <row r="724" spans="1:17" ht="14.25" customHeight="1" x14ac:dyDescent="0.3">
      <c r="A724" s="1" t="s">
        <v>750</v>
      </c>
      <c r="B724" s="1" t="s">
        <v>32</v>
      </c>
      <c r="C724" s="1" t="s">
        <v>30</v>
      </c>
      <c r="D724" s="1" t="str">
        <f>IF(Data[[#This Row],[Cancellation Status]]="No", "High Potential", "Normal")</f>
        <v>High Potential</v>
      </c>
      <c r="E724" s="2">
        <v>45939</v>
      </c>
      <c r="F724" s="2">
        <v>45944</v>
      </c>
      <c r="G724" s="2">
        <v>45949</v>
      </c>
      <c r="H724" s="2">
        <v>45953</v>
      </c>
      <c r="I724" s="1" t="s">
        <v>17</v>
      </c>
      <c r="K724" s="2">
        <v>45981</v>
      </c>
      <c r="L724" s="88">
        <f>IF(OR(Data[[#This Row],[Service Follow-up Date]]="",Data[[#This Row],[Delivery Date]]=""),"",INT(Data[[#This Row],[Service Follow-up Date]]-Data[[#This Row],[Delivery Date]]))</f>
        <v>28</v>
      </c>
      <c r="M724" s="1">
        <v>5</v>
      </c>
      <c r="N724" s="1">
        <v>5</v>
      </c>
      <c r="O724" s="1">
        <v>4</v>
      </c>
      <c r="P724" s="1">
        <v>3</v>
      </c>
      <c r="Q724" t="str">
        <f>IF(ISBLANK(Data[[#This Row],[Customer Rating]]),"No Rating",IF(Data[[#This Row],[Customer Rating]]&gt;=9,"Promoter",IF(Data[[#This Row],[Customer Rating]]&gt;=7,"Passive","Detractor")))</f>
        <v>Detractor</v>
      </c>
    </row>
    <row r="725" spans="1:17" ht="14.25" customHeight="1" x14ac:dyDescent="0.3">
      <c r="A725" s="1" t="s">
        <v>751</v>
      </c>
      <c r="B725" s="1" t="s">
        <v>15</v>
      </c>
      <c r="C725" s="1" t="s">
        <v>30</v>
      </c>
      <c r="D725" s="1" t="str">
        <f>IF(Data[[#This Row],[Cancellation Status]]="No", "High Potential", "Normal")</f>
        <v>High Potential</v>
      </c>
      <c r="E725" s="2">
        <v>45957</v>
      </c>
      <c r="F725" s="2">
        <v>45962</v>
      </c>
      <c r="G725" s="2">
        <v>45966</v>
      </c>
      <c r="H725" s="2">
        <v>45968</v>
      </c>
      <c r="I725" s="1" t="s">
        <v>17</v>
      </c>
      <c r="K725" s="2">
        <v>45983</v>
      </c>
      <c r="L725" s="88">
        <f>IF(OR(Data[[#This Row],[Service Follow-up Date]]="",Data[[#This Row],[Delivery Date]]=""),"",INT(Data[[#This Row],[Service Follow-up Date]]-Data[[#This Row],[Delivery Date]]))</f>
        <v>15</v>
      </c>
      <c r="M725" s="1">
        <v>5</v>
      </c>
      <c r="N725" s="1">
        <v>4</v>
      </c>
      <c r="O725" s="1">
        <v>2</v>
      </c>
      <c r="P725" s="1">
        <v>4</v>
      </c>
      <c r="Q725" t="str">
        <f>IF(ISBLANK(Data[[#This Row],[Customer Rating]]),"No Rating",IF(Data[[#This Row],[Customer Rating]]&gt;=9,"Promoter",IF(Data[[#This Row],[Customer Rating]]&gt;=7,"Passive","Detractor")))</f>
        <v>Detractor</v>
      </c>
    </row>
    <row r="726" spans="1:17" ht="14.25" customHeight="1" x14ac:dyDescent="0.3">
      <c r="A726" s="1" t="s">
        <v>752</v>
      </c>
      <c r="B726" s="1" t="s">
        <v>32</v>
      </c>
      <c r="C726" s="1" t="s">
        <v>30</v>
      </c>
      <c r="D726" s="1" t="str">
        <f>IF(Data[[#This Row],[Cancellation Status]]="No", "High Potential", "Normal")</f>
        <v>High Potential</v>
      </c>
      <c r="E726" s="2">
        <v>45936</v>
      </c>
      <c r="F726" s="2">
        <v>45939</v>
      </c>
      <c r="G726" s="2">
        <v>45942</v>
      </c>
      <c r="H726" s="2">
        <v>45945</v>
      </c>
      <c r="I726" s="1" t="s">
        <v>17</v>
      </c>
      <c r="K726" s="2">
        <v>45970</v>
      </c>
      <c r="L726" s="88">
        <f>IF(OR(Data[[#This Row],[Service Follow-up Date]]="",Data[[#This Row],[Delivery Date]]=""),"",INT(Data[[#This Row],[Service Follow-up Date]]-Data[[#This Row],[Delivery Date]]))</f>
        <v>25</v>
      </c>
      <c r="M726" s="1">
        <v>3</v>
      </c>
      <c r="N726" s="1">
        <v>3</v>
      </c>
      <c r="O726" s="1">
        <v>3</v>
      </c>
      <c r="P726" s="1">
        <v>10</v>
      </c>
      <c r="Q726" t="str">
        <f>IF(ISBLANK(Data[[#This Row],[Customer Rating]]),"No Rating",IF(Data[[#This Row],[Customer Rating]]&gt;=9,"Promoter",IF(Data[[#This Row],[Customer Rating]]&gt;=7,"Passive","Detractor")))</f>
        <v>Promoter</v>
      </c>
    </row>
    <row r="727" spans="1:17" ht="14.25" customHeight="1" x14ac:dyDescent="0.3">
      <c r="A727" s="1" t="s">
        <v>753</v>
      </c>
      <c r="B727" s="1" t="s">
        <v>15</v>
      </c>
      <c r="C727" s="1" t="s">
        <v>30</v>
      </c>
      <c r="D727" s="1" t="str">
        <f>IF(Data[[#This Row],[Cancellation Status]]="No", "High Potential", "Normal")</f>
        <v>High Potential</v>
      </c>
      <c r="E727" s="2">
        <v>45939</v>
      </c>
      <c r="F727" s="2">
        <v>45942</v>
      </c>
      <c r="G727" s="2">
        <v>45943</v>
      </c>
      <c r="H727" s="2">
        <v>45949</v>
      </c>
      <c r="I727" s="1" t="s">
        <v>17</v>
      </c>
      <c r="K727" s="2">
        <v>45961</v>
      </c>
      <c r="L727" s="88">
        <f>IF(OR(Data[[#This Row],[Service Follow-up Date]]="",Data[[#This Row],[Delivery Date]]=""),"",INT(Data[[#This Row],[Service Follow-up Date]]-Data[[#This Row],[Delivery Date]]))</f>
        <v>12</v>
      </c>
      <c r="M727" s="1">
        <v>3</v>
      </c>
      <c r="N727" s="1">
        <v>1</v>
      </c>
      <c r="O727" s="1">
        <v>6</v>
      </c>
      <c r="P727" s="1">
        <v>8</v>
      </c>
      <c r="Q727" t="str">
        <f>IF(ISBLANK(Data[[#This Row],[Customer Rating]]),"No Rating",IF(Data[[#This Row],[Customer Rating]]&gt;=9,"Promoter",IF(Data[[#This Row],[Customer Rating]]&gt;=7,"Passive","Detractor")))</f>
        <v>Passive</v>
      </c>
    </row>
    <row r="728" spans="1:17" ht="14.25" customHeight="1" x14ac:dyDescent="0.3">
      <c r="A728" s="1" t="s">
        <v>754</v>
      </c>
      <c r="B728" s="1" t="s">
        <v>21</v>
      </c>
      <c r="C728" s="1" t="s">
        <v>16</v>
      </c>
      <c r="D728" s="1" t="str">
        <f>IF(Data[[#This Row],[Cancellation Status]]="No", "High Potential", "Normal")</f>
        <v>High Potential</v>
      </c>
      <c r="E728" s="2">
        <v>45960</v>
      </c>
      <c r="F728" s="2">
        <v>45962</v>
      </c>
      <c r="G728" s="2">
        <v>45965</v>
      </c>
      <c r="H728" s="2">
        <v>45968</v>
      </c>
      <c r="I728" s="1" t="s">
        <v>17</v>
      </c>
      <c r="K728" s="2">
        <v>45982</v>
      </c>
      <c r="L728" s="88">
        <f>IF(OR(Data[[#This Row],[Service Follow-up Date]]="",Data[[#This Row],[Delivery Date]]=""),"",INT(Data[[#This Row],[Service Follow-up Date]]-Data[[#This Row],[Delivery Date]]))</f>
        <v>14</v>
      </c>
      <c r="M728" s="1">
        <v>2</v>
      </c>
      <c r="N728" s="1">
        <v>3</v>
      </c>
      <c r="O728" s="1">
        <v>3</v>
      </c>
      <c r="P728" s="1">
        <v>10</v>
      </c>
      <c r="Q728" t="str">
        <f>IF(ISBLANK(Data[[#This Row],[Customer Rating]]),"No Rating",IF(Data[[#This Row],[Customer Rating]]&gt;=9,"Promoter",IF(Data[[#This Row],[Customer Rating]]&gt;=7,"Passive","Detractor")))</f>
        <v>Promoter</v>
      </c>
    </row>
    <row r="729" spans="1:17" ht="14.25" customHeight="1" x14ac:dyDescent="0.3">
      <c r="A729" s="1" t="s">
        <v>755</v>
      </c>
      <c r="B729" s="1" t="s">
        <v>21</v>
      </c>
      <c r="C729" s="1" t="s">
        <v>22</v>
      </c>
      <c r="D729" s="1" t="str">
        <f>IF(Data[[#This Row],[Cancellation Status]]="No", "High Potential", "Normal")</f>
        <v>Normal</v>
      </c>
      <c r="E729" s="2">
        <v>45957</v>
      </c>
      <c r="I729" s="1" t="s">
        <v>23</v>
      </c>
      <c r="J729" s="1" t="s">
        <v>33</v>
      </c>
      <c r="L729" s="88" t="str">
        <f>IF(OR(Data[[#This Row],[Service Follow-up Date]]="",Data[[#This Row],[Delivery Date]]=""),"",INT(Data[[#This Row],[Service Follow-up Date]]-Data[[#This Row],[Delivery Date]]))</f>
        <v/>
      </c>
      <c r="Q729" t="str">
        <f>IF(ISBLANK(Data[[#This Row],[Customer Rating]]),"No Rating",IF(Data[[#This Row],[Customer Rating]]&gt;=9,"Promoter",IF(Data[[#This Row],[Customer Rating]]&gt;=7,"Passive","Detractor")))</f>
        <v>No Rating</v>
      </c>
    </row>
    <row r="730" spans="1:17" ht="14.25" customHeight="1" x14ac:dyDescent="0.3">
      <c r="A730" s="1" t="s">
        <v>756</v>
      </c>
      <c r="B730" s="1" t="s">
        <v>21</v>
      </c>
      <c r="C730" s="1" t="s">
        <v>16</v>
      </c>
      <c r="D730" s="1" t="str">
        <f>IF(Data[[#This Row],[Cancellation Status]]="No", "High Potential", "Normal")</f>
        <v>High Potential</v>
      </c>
      <c r="E730" s="2">
        <v>45961</v>
      </c>
      <c r="F730" s="2">
        <v>45963</v>
      </c>
      <c r="G730" s="2">
        <v>45967</v>
      </c>
      <c r="H730" s="2">
        <v>45972</v>
      </c>
      <c r="I730" s="1" t="s">
        <v>17</v>
      </c>
      <c r="K730" s="2">
        <v>46001</v>
      </c>
      <c r="L730" s="88">
        <f>IF(OR(Data[[#This Row],[Service Follow-up Date]]="",Data[[#This Row],[Delivery Date]]=""),"",INT(Data[[#This Row],[Service Follow-up Date]]-Data[[#This Row],[Delivery Date]]))</f>
        <v>29</v>
      </c>
      <c r="M730" s="1">
        <v>2</v>
      </c>
      <c r="N730" s="1">
        <v>4</v>
      </c>
      <c r="O730" s="1">
        <v>5</v>
      </c>
      <c r="P730" s="1">
        <v>3</v>
      </c>
      <c r="Q730" t="str">
        <f>IF(ISBLANK(Data[[#This Row],[Customer Rating]]),"No Rating",IF(Data[[#This Row],[Customer Rating]]&gt;=9,"Promoter",IF(Data[[#This Row],[Customer Rating]]&gt;=7,"Passive","Detractor")))</f>
        <v>Detractor</v>
      </c>
    </row>
    <row r="731" spans="1:17" ht="14.25" customHeight="1" x14ac:dyDescent="0.3">
      <c r="A731" s="1" t="s">
        <v>757</v>
      </c>
      <c r="B731" s="1" t="s">
        <v>32</v>
      </c>
      <c r="C731" s="1" t="s">
        <v>16</v>
      </c>
      <c r="D731" s="1" t="str">
        <f>IF(Data[[#This Row],[Cancellation Status]]="No", "High Potential", "Normal")</f>
        <v>High Potential</v>
      </c>
      <c r="E731" s="2">
        <v>45946</v>
      </c>
      <c r="F731" s="2">
        <v>45949</v>
      </c>
      <c r="G731" s="2">
        <v>45953</v>
      </c>
      <c r="H731" s="2">
        <v>45958</v>
      </c>
      <c r="I731" s="1" t="s">
        <v>17</v>
      </c>
      <c r="K731" s="2">
        <v>45981</v>
      </c>
      <c r="L731" s="88">
        <f>IF(OR(Data[[#This Row],[Service Follow-up Date]]="",Data[[#This Row],[Delivery Date]]=""),"",INT(Data[[#This Row],[Service Follow-up Date]]-Data[[#This Row],[Delivery Date]]))</f>
        <v>23</v>
      </c>
      <c r="M731" s="1">
        <v>3</v>
      </c>
      <c r="N731" s="1">
        <v>4</v>
      </c>
      <c r="O731" s="1">
        <v>5</v>
      </c>
      <c r="P731" s="1">
        <v>9</v>
      </c>
      <c r="Q731" t="str">
        <f>IF(ISBLANK(Data[[#This Row],[Customer Rating]]),"No Rating",IF(Data[[#This Row],[Customer Rating]]&gt;=9,"Promoter",IF(Data[[#This Row],[Customer Rating]]&gt;=7,"Passive","Detractor")))</f>
        <v>Promoter</v>
      </c>
    </row>
    <row r="732" spans="1:17" ht="14.25" customHeight="1" x14ac:dyDescent="0.3">
      <c r="A732" s="1" t="s">
        <v>758</v>
      </c>
      <c r="B732" s="1" t="s">
        <v>19</v>
      </c>
      <c r="C732" s="1" t="s">
        <v>16</v>
      </c>
      <c r="D732" s="1" t="str">
        <f>IF(Data[[#This Row],[Cancellation Status]]="No", "High Potential", "Normal")</f>
        <v>High Potential</v>
      </c>
      <c r="E732" s="2">
        <v>45961</v>
      </c>
      <c r="F732" s="2">
        <v>45966</v>
      </c>
      <c r="G732" s="2">
        <v>45968</v>
      </c>
      <c r="H732" s="2">
        <v>45970</v>
      </c>
      <c r="I732" s="1" t="s">
        <v>17</v>
      </c>
      <c r="K732" s="2">
        <v>46000</v>
      </c>
      <c r="L732" s="88">
        <f>IF(OR(Data[[#This Row],[Service Follow-up Date]]="",Data[[#This Row],[Delivery Date]]=""),"",INT(Data[[#This Row],[Service Follow-up Date]]-Data[[#This Row],[Delivery Date]]))</f>
        <v>30</v>
      </c>
      <c r="M732" s="1">
        <v>5</v>
      </c>
      <c r="N732" s="1">
        <v>2</v>
      </c>
      <c r="O732" s="1">
        <v>2</v>
      </c>
      <c r="P732" s="1">
        <v>1</v>
      </c>
      <c r="Q732" t="str">
        <f>IF(ISBLANK(Data[[#This Row],[Customer Rating]]),"No Rating",IF(Data[[#This Row],[Customer Rating]]&gt;=9,"Promoter",IF(Data[[#This Row],[Customer Rating]]&gt;=7,"Passive","Detractor")))</f>
        <v>Detractor</v>
      </c>
    </row>
    <row r="733" spans="1:17" ht="14.25" customHeight="1" x14ac:dyDescent="0.3">
      <c r="A733" s="1" t="s">
        <v>759</v>
      </c>
      <c r="B733" s="1" t="s">
        <v>19</v>
      </c>
      <c r="C733" s="1" t="s">
        <v>16</v>
      </c>
      <c r="D733" s="1" t="str">
        <f>IF(Data[[#This Row],[Cancellation Status]]="No", "High Potential", "Normal")</f>
        <v>High Potential</v>
      </c>
      <c r="E733" s="2">
        <v>45956</v>
      </c>
      <c r="F733" s="2">
        <v>45958</v>
      </c>
      <c r="G733" s="2">
        <v>45961</v>
      </c>
      <c r="H733" s="2">
        <v>45964</v>
      </c>
      <c r="I733" s="1" t="s">
        <v>17</v>
      </c>
      <c r="K733" s="2">
        <v>45987</v>
      </c>
      <c r="L733" s="88">
        <f>IF(OR(Data[[#This Row],[Service Follow-up Date]]="",Data[[#This Row],[Delivery Date]]=""),"",INT(Data[[#This Row],[Service Follow-up Date]]-Data[[#This Row],[Delivery Date]]))</f>
        <v>23</v>
      </c>
      <c r="M733" s="1">
        <v>2</v>
      </c>
      <c r="N733" s="1">
        <v>3</v>
      </c>
      <c r="O733" s="1">
        <v>3</v>
      </c>
      <c r="P733" s="1">
        <v>8</v>
      </c>
      <c r="Q733" t="str">
        <f>IF(ISBLANK(Data[[#This Row],[Customer Rating]]),"No Rating",IF(Data[[#This Row],[Customer Rating]]&gt;=9,"Promoter",IF(Data[[#This Row],[Customer Rating]]&gt;=7,"Passive","Detractor")))</f>
        <v>Passive</v>
      </c>
    </row>
    <row r="734" spans="1:17" ht="14.25" customHeight="1" x14ac:dyDescent="0.3">
      <c r="A734" s="1" t="s">
        <v>760</v>
      </c>
      <c r="B734" s="1" t="s">
        <v>21</v>
      </c>
      <c r="C734" s="1" t="s">
        <v>16</v>
      </c>
      <c r="D734" s="1" t="str">
        <f>IF(Data[[#This Row],[Cancellation Status]]="No", "High Potential", "Normal")</f>
        <v>High Potential</v>
      </c>
      <c r="E734" s="2">
        <v>45940</v>
      </c>
      <c r="F734" s="2">
        <v>45941</v>
      </c>
      <c r="G734" s="2">
        <v>45946</v>
      </c>
      <c r="H734" s="2">
        <v>45953</v>
      </c>
      <c r="I734" s="1" t="s">
        <v>17</v>
      </c>
      <c r="K734" s="2">
        <v>45975</v>
      </c>
      <c r="L734" s="88">
        <f>IF(OR(Data[[#This Row],[Service Follow-up Date]]="",Data[[#This Row],[Delivery Date]]=""),"",INT(Data[[#This Row],[Service Follow-up Date]]-Data[[#This Row],[Delivery Date]]))</f>
        <v>22</v>
      </c>
      <c r="M734" s="1">
        <v>1</v>
      </c>
      <c r="N734" s="1">
        <v>5</v>
      </c>
      <c r="O734" s="1">
        <v>7</v>
      </c>
      <c r="P734" s="1">
        <v>6</v>
      </c>
      <c r="Q734" t="str">
        <f>IF(ISBLANK(Data[[#This Row],[Customer Rating]]),"No Rating",IF(Data[[#This Row],[Customer Rating]]&gt;=9,"Promoter",IF(Data[[#This Row],[Customer Rating]]&gt;=7,"Passive","Detractor")))</f>
        <v>Detractor</v>
      </c>
    </row>
    <row r="735" spans="1:17" ht="14.25" customHeight="1" x14ac:dyDescent="0.3">
      <c r="A735" s="1" t="s">
        <v>761</v>
      </c>
      <c r="B735" s="1" t="s">
        <v>19</v>
      </c>
      <c r="C735" s="1" t="s">
        <v>16</v>
      </c>
      <c r="D735" s="1" t="str">
        <f>IF(Data[[#This Row],[Cancellation Status]]="No", "High Potential", "Normal")</f>
        <v>High Potential</v>
      </c>
      <c r="E735" s="2">
        <v>45954</v>
      </c>
      <c r="F735" s="2">
        <v>45956</v>
      </c>
      <c r="G735" s="2">
        <v>45960</v>
      </c>
      <c r="H735" s="2">
        <v>45964</v>
      </c>
      <c r="I735" s="1" t="s">
        <v>17</v>
      </c>
      <c r="K735" s="2">
        <v>45987</v>
      </c>
      <c r="L735" s="88">
        <f>IF(OR(Data[[#This Row],[Service Follow-up Date]]="",Data[[#This Row],[Delivery Date]]=""),"",INT(Data[[#This Row],[Service Follow-up Date]]-Data[[#This Row],[Delivery Date]]))</f>
        <v>23</v>
      </c>
      <c r="M735" s="1">
        <v>2</v>
      </c>
      <c r="N735" s="1">
        <v>4</v>
      </c>
      <c r="O735" s="1">
        <v>4</v>
      </c>
      <c r="P735" s="1">
        <v>4</v>
      </c>
      <c r="Q735" t="str">
        <f>IF(ISBLANK(Data[[#This Row],[Customer Rating]]),"No Rating",IF(Data[[#This Row],[Customer Rating]]&gt;=9,"Promoter",IF(Data[[#This Row],[Customer Rating]]&gt;=7,"Passive","Detractor")))</f>
        <v>Detractor</v>
      </c>
    </row>
    <row r="736" spans="1:17" ht="14.25" customHeight="1" x14ac:dyDescent="0.3">
      <c r="A736" s="1" t="s">
        <v>762</v>
      </c>
      <c r="B736" s="1" t="s">
        <v>19</v>
      </c>
      <c r="C736" s="1" t="s">
        <v>16</v>
      </c>
      <c r="D736" s="1" t="str">
        <f>IF(Data[[#This Row],[Cancellation Status]]="No", "High Potential", "Normal")</f>
        <v>High Potential</v>
      </c>
      <c r="E736" s="2">
        <v>45958</v>
      </c>
      <c r="F736" s="2">
        <v>45960</v>
      </c>
      <c r="G736" s="2">
        <v>45964</v>
      </c>
      <c r="H736" s="2">
        <v>45966</v>
      </c>
      <c r="I736" s="1" t="s">
        <v>17</v>
      </c>
      <c r="K736" s="2">
        <v>45991</v>
      </c>
      <c r="L736" s="88">
        <f>IF(OR(Data[[#This Row],[Service Follow-up Date]]="",Data[[#This Row],[Delivery Date]]=""),"",INT(Data[[#This Row],[Service Follow-up Date]]-Data[[#This Row],[Delivery Date]]))</f>
        <v>25</v>
      </c>
      <c r="M736" s="1">
        <v>2</v>
      </c>
      <c r="N736" s="1">
        <v>4</v>
      </c>
      <c r="O736" s="1">
        <v>2</v>
      </c>
      <c r="P736" s="1">
        <v>4</v>
      </c>
      <c r="Q736" t="str">
        <f>IF(ISBLANK(Data[[#This Row],[Customer Rating]]),"No Rating",IF(Data[[#This Row],[Customer Rating]]&gt;=9,"Promoter",IF(Data[[#This Row],[Customer Rating]]&gt;=7,"Passive","Detractor")))</f>
        <v>Detractor</v>
      </c>
    </row>
    <row r="737" spans="1:17" ht="14.25" customHeight="1" x14ac:dyDescent="0.3">
      <c r="A737" s="1" t="s">
        <v>763</v>
      </c>
      <c r="B737" s="1" t="s">
        <v>32</v>
      </c>
      <c r="C737" s="1" t="s">
        <v>30</v>
      </c>
      <c r="D737" s="1" t="str">
        <f>IF(Data[[#This Row],[Cancellation Status]]="No", "High Potential", "Normal")</f>
        <v>High Potential</v>
      </c>
      <c r="E737" s="2">
        <v>45941</v>
      </c>
      <c r="F737" s="2">
        <v>45943</v>
      </c>
      <c r="G737" s="2">
        <v>45945</v>
      </c>
      <c r="H737" s="2">
        <v>45947</v>
      </c>
      <c r="I737" s="1" t="s">
        <v>17</v>
      </c>
      <c r="K737" s="2">
        <v>45969</v>
      </c>
      <c r="L737" s="88">
        <f>IF(OR(Data[[#This Row],[Service Follow-up Date]]="",Data[[#This Row],[Delivery Date]]=""),"",INT(Data[[#This Row],[Service Follow-up Date]]-Data[[#This Row],[Delivery Date]]))</f>
        <v>22</v>
      </c>
      <c r="M737" s="1">
        <v>2</v>
      </c>
      <c r="N737" s="1">
        <v>2</v>
      </c>
      <c r="O737" s="1">
        <v>2</v>
      </c>
      <c r="P737" s="1">
        <v>9</v>
      </c>
      <c r="Q737" t="str">
        <f>IF(ISBLANK(Data[[#This Row],[Customer Rating]]),"No Rating",IF(Data[[#This Row],[Customer Rating]]&gt;=9,"Promoter",IF(Data[[#This Row],[Customer Rating]]&gt;=7,"Passive","Detractor")))</f>
        <v>Promoter</v>
      </c>
    </row>
    <row r="738" spans="1:17" ht="14.25" customHeight="1" x14ac:dyDescent="0.3">
      <c r="A738" s="1" t="s">
        <v>764</v>
      </c>
      <c r="B738" s="1" t="s">
        <v>15</v>
      </c>
      <c r="C738" s="1" t="s">
        <v>16</v>
      </c>
      <c r="D738" s="1" t="str">
        <f>IF(Data[[#This Row],[Cancellation Status]]="No", "High Potential", "Normal")</f>
        <v>High Potential</v>
      </c>
      <c r="E738" s="2">
        <v>45956</v>
      </c>
      <c r="F738" s="2">
        <v>45960</v>
      </c>
      <c r="G738" s="2">
        <v>45965</v>
      </c>
      <c r="H738" s="2">
        <v>45968</v>
      </c>
      <c r="I738" s="1" t="s">
        <v>17</v>
      </c>
      <c r="K738" s="2">
        <v>45978</v>
      </c>
      <c r="L738" s="88">
        <f>IF(OR(Data[[#This Row],[Service Follow-up Date]]="",Data[[#This Row],[Delivery Date]]=""),"",INT(Data[[#This Row],[Service Follow-up Date]]-Data[[#This Row],[Delivery Date]]))</f>
        <v>10</v>
      </c>
      <c r="M738" s="1">
        <v>4</v>
      </c>
      <c r="N738" s="1">
        <v>5</v>
      </c>
      <c r="O738" s="1">
        <v>3</v>
      </c>
      <c r="P738" s="1">
        <v>0</v>
      </c>
      <c r="Q738" t="str">
        <f>IF(ISBLANK(Data[[#This Row],[Customer Rating]]),"No Rating",IF(Data[[#This Row],[Customer Rating]]&gt;=9,"Promoter",IF(Data[[#This Row],[Customer Rating]]&gt;=7,"Passive","Detractor")))</f>
        <v>Detractor</v>
      </c>
    </row>
    <row r="739" spans="1:17" ht="14.25" customHeight="1" x14ac:dyDescent="0.3">
      <c r="A739" s="1" t="s">
        <v>765</v>
      </c>
      <c r="B739" s="1" t="s">
        <v>21</v>
      </c>
      <c r="C739" s="1" t="s">
        <v>22</v>
      </c>
      <c r="D739" s="1" t="str">
        <f>IF(Data[[#This Row],[Cancellation Status]]="No", "High Potential", "Normal")</f>
        <v>Normal</v>
      </c>
      <c r="E739" s="2">
        <v>45934</v>
      </c>
      <c r="I739" s="1" t="s">
        <v>23</v>
      </c>
      <c r="J739" s="1" t="s">
        <v>26</v>
      </c>
      <c r="L739" s="88" t="str">
        <f>IF(OR(Data[[#This Row],[Service Follow-up Date]]="",Data[[#This Row],[Delivery Date]]=""),"",INT(Data[[#This Row],[Service Follow-up Date]]-Data[[#This Row],[Delivery Date]]))</f>
        <v/>
      </c>
      <c r="Q739" t="str">
        <f>IF(ISBLANK(Data[[#This Row],[Customer Rating]]),"No Rating",IF(Data[[#This Row],[Customer Rating]]&gt;=9,"Promoter",IF(Data[[#This Row],[Customer Rating]]&gt;=7,"Passive","Detractor")))</f>
        <v>No Rating</v>
      </c>
    </row>
    <row r="740" spans="1:17" ht="14.25" customHeight="1" x14ac:dyDescent="0.3">
      <c r="A740" s="1" t="s">
        <v>766</v>
      </c>
      <c r="B740" s="1" t="s">
        <v>21</v>
      </c>
      <c r="C740" s="1" t="s">
        <v>30</v>
      </c>
      <c r="D740" s="1" t="str">
        <f>IF(Data[[#This Row],[Cancellation Status]]="No", "High Potential", "Normal")</f>
        <v>High Potential</v>
      </c>
      <c r="E740" s="2">
        <v>45945</v>
      </c>
      <c r="F740" s="2">
        <v>45946</v>
      </c>
      <c r="G740" s="2">
        <v>45950</v>
      </c>
      <c r="H740" s="2">
        <v>45956</v>
      </c>
      <c r="I740" s="1" t="s">
        <v>17</v>
      </c>
      <c r="K740" s="2">
        <v>45967</v>
      </c>
      <c r="L740" s="88">
        <f>IF(OR(Data[[#This Row],[Service Follow-up Date]]="",Data[[#This Row],[Delivery Date]]=""),"",INT(Data[[#This Row],[Service Follow-up Date]]-Data[[#This Row],[Delivery Date]]))</f>
        <v>11</v>
      </c>
      <c r="M740" s="1">
        <v>1</v>
      </c>
      <c r="N740" s="1">
        <v>4</v>
      </c>
      <c r="O740" s="1">
        <v>6</v>
      </c>
      <c r="P740" s="1">
        <v>7</v>
      </c>
      <c r="Q740" t="str">
        <f>IF(ISBLANK(Data[[#This Row],[Customer Rating]]),"No Rating",IF(Data[[#This Row],[Customer Rating]]&gt;=9,"Promoter",IF(Data[[#This Row],[Customer Rating]]&gt;=7,"Passive","Detractor")))</f>
        <v>Passive</v>
      </c>
    </row>
    <row r="741" spans="1:17" ht="14.25" customHeight="1" x14ac:dyDescent="0.3">
      <c r="A741" s="1" t="s">
        <v>767</v>
      </c>
      <c r="B741" s="1" t="s">
        <v>32</v>
      </c>
      <c r="C741" s="1" t="s">
        <v>30</v>
      </c>
      <c r="D741" s="1" t="str">
        <f>IF(Data[[#This Row],[Cancellation Status]]="No", "High Potential", "Normal")</f>
        <v>High Potential</v>
      </c>
      <c r="E741" s="2">
        <v>45961</v>
      </c>
      <c r="F741" s="2">
        <v>45964</v>
      </c>
      <c r="G741" s="2">
        <v>45965</v>
      </c>
      <c r="H741" s="2">
        <v>45970</v>
      </c>
      <c r="I741" s="1" t="s">
        <v>17</v>
      </c>
      <c r="K741" s="2">
        <v>45997</v>
      </c>
      <c r="L741" s="88">
        <f>IF(OR(Data[[#This Row],[Service Follow-up Date]]="",Data[[#This Row],[Delivery Date]]=""),"",INT(Data[[#This Row],[Service Follow-up Date]]-Data[[#This Row],[Delivery Date]]))</f>
        <v>27</v>
      </c>
      <c r="M741" s="1">
        <v>3</v>
      </c>
      <c r="N741" s="1">
        <v>1</v>
      </c>
      <c r="O741" s="1">
        <v>5</v>
      </c>
      <c r="P741" s="1">
        <v>7</v>
      </c>
      <c r="Q741" t="str">
        <f>IF(ISBLANK(Data[[#This Row],[Customer Rating]]),"No Rating",IF(Data[[#This Row],[Customer Rating]]&gt;=9,"Promoter",IF(Data[[#This Row],[Customer Rating]]&gt;=7,"Passive","Detractor")))</f>
        <v>Passive</v>
      </c>
    </row>
    <row r="742" spans="1:17" ht="14.25" customHeight="1" x14ac:dyDescent="0.3">
      <c r="A742" s="1" t="s">
        <v>768</v>
      </c>
      <c r="B742" s="1" t="s">
        <v>32</v>
      </c>
      <c r="C742" s="1" t="s">
        <v>16</v>
      </c>
      <c r="D742" s="1" t="str">
        <f>IF(Data[[#This Row],[Cancellation Status]]="No", "High Potential", "Normal")</f>
        <v>High Potential</v>
      </c>
      <c r="E742" s="2">
        <v>45933</v>
      </c>
      <c r="F742" s="2">
        <v>45938</v>
      </c>
      <c r="G742" s="2">
        <v>45943</v>
      </c>
      <c r="H742" s="2">
        <v>45950</v>
      </c>
      <c r="I742" s="1" t="s">
        <v>17</v>
      </c>
      <c r="K742" s="2">
        <v>45966</v>
      </c>
      <c r="L742" s="88">
        <f>IF(OR(Data[[#This Row],[Service Follow-up Date]]="",Data[[#This Row],[Delivery Date]]=""),"",INT(Data[[#This Row],[Service Follow-up Date]]-Data[[#This Row],[Delivery Date]]))</f>
        <v>16</v>
      </c>
      <c r="M742" s="1">
        <v>5</v>
      </c>
      <c r="N742" s="1">
        <v>5</v>
      </c>
      <c r="O742" s="1">
        <v>7</v>
      </c>
      <c r="P742" s="1">
        <v>1</v>
      </c>
      <c r="Q742" t="str">
        <f>IF(ISBLANK(Data[[#This Row],[Customer Rating]]),"No Rating",IF(Data[[#This Row],[Customer Rating]]&gt;=9,"Promoter",IF(Data[[#This Row],[Customer Rating]]&gt;=7,"Passive","Detractor")))</f>
        <v>Detractor</v>
      </c>
    </row>
    <row r="743" spans="1:17" ht="14.25" customHeight="1" x14ac:dyDescent="0.3">
      <c r="A743" s="1" t="s">
        <v>769</v>
      </c>
      <c r="B743" s="1" t="s">
        <v>19</v>
      </c>
      <c r="C743" s="1" t="s">
        <v>16</v>
      </c>
      <c r="D743" s="1" t="str">
        <f>IF(Data[[#This Row],[Cancellation Status]]="No", "High Potential", "Normal")</f>
        <v>High Potential</v>
      </c>
      <c r="E743" s="2">
        <v>45935</v>
      </c>
      <c r="F743" s="2">
        <v>45940</v>
      </c>
      <c r="G743" s="2">
        <v>45943</v>
      </c>
      <c r="H743" s="2">
        <v>45947</v>
      </c>
      <c r="I743" s="1" t="s">
        <v>17</v>
      </c>
      <c r="K743" s="2">
        <v>45968</v>
      </c>
      <c r="L743" s="88">
        <f>IF(OR(Data[[#This Row],[Service Follow-up Date]]="",Data[[#This Row],[Delivery Date]]=""),"",INT(Data[[#This Row],[Service Follow-up Date]]-Data[[#This Row],[Delivery Date]]))</f>
        <v>21</v>
      </c>
      <c r="M743" s="1">
        <v>5</v>
      </c>
      <c r="N743" s="1">
        <v>3</v>
      </c>
      <c r="O743" s="1">
        <v>4</v>
      </c>
      <c r="P743" s="1">
        <v>2</v>
      </c>
      <c r="Q743" t="str">
        <f>IF(ISBLANK(Data[[#This Row],[Customer Rating]]),"No Rating",IF(Data[[#This Row],[Customer Rating]]&gt;=9,"Promoter",IF(Data[[#This Row],[Customer Rating]]&gt;=7,"Passive","Detractor")))</f>
        <v>Detractor</v>
      </c>
    </row>
    <row r="744" spans="1:17" ht="14.25" customHeight="1" x14ac:dyDescent="0.3">
      <c r="A744" s="1" t="s">
        <v>770</v>
      </c>
      <c r="B744" s="1" t="s">
        <v>21</v>
      </c>
      <c r="C744" s="1" t="s">
        <v>16</v>
      </c>
      <c r="D744" s="1" t="str">
        <f>IF(Data[[#This Row],[Cancellation Status]]="No", "High Potential", "Normal")</f>
        <v>High Potential</v>
      </c>
      <c r="E744" s="2">
        <v>45955</v>
      </c>
      <c r="F744" s="2">
        <v>45958</v>
      </c>
      <c r="G744" s="2">
        <v>45960</v>
      </c>
      <c r="H744" s="2">
        <v>45965</v>
      </c>
      <c r="I744" s="1" t="s">
        <v>17</v>
      </c>
      <c r="K744" s="2">
        <v>45975</v>
      </c>
      <c r="L744" s="88">
        <f>IF(OR(Data[[#This Row],[Service Follow-up Date]]="",Data[[#This Row],[Delivery Date]]=""),"",INT(Data[[#This Row],[Service Follow-up Date]]-Data[[#This Row],[Delivery Date]]))</f>
        <v>10</v>
      </c>
      <c r="M744" s="1">
        <v>3</v>
      </c>
      <c r="N744" s="1">
        <v>2</v>
      </c>
      <c r="O744" s="1">
        <v>5</v>
      </c>
      <c r="P744" s="1">
        <v>2</v>
      </c>
      <c r="Q744" t="str">
        <f>IF(ISBLANK(Data[[#This Row],[Customer Rating]]),"No Rating",IF(Data[[#This Row],[Customer Rating]]&gt;=9,"Promoter",IF(Data[[#This Row],[Customer Rating]]&gt;=7,"Passive","Detractor")))</f>
        <v>Detractor</v>
      </c>
    </row>
    <row r="745" spans="1:17" ht="14.25" customHeight="1" x14ac:dyDescent="0.3">
      <c r="A745" s="1" t="s">
        <v>771</v>
      </c>
      <c r="B745" s="1" t="s">
        <v>15</v>
      </c>
      <c r="C745" s="1" t="s">
        <v>16</v>
      </c>
      <c r="D745" s="1" t="str">
        <f>IF(Data[[#This Row],[Cancellation Status]]="No", "High Potential", "Normal")</f>
        <v>High Potential</v>
      </c>
      <c r="E745" s="2">
        <v>45961</v>
      </c>
      <c r="F745" s="2">
        <v>45965</v>
      </c>
      <c r="G745" s="2">
        <v>45966</v>
      </c>
      <c r="H745" s="2">
        <v>45973</v>
      </c>
      <c r="I745" s="1" t="s">
        <v>17</v>
      </c>
      <c r="K745" s="2">
        <v>45993</v>
      </c>
      <c r="L745" s="88">
        <f>IF(OR(Data[[#This Row],[Service Follow-up Date]]="",Data[[#This Row],[Delivery Date]]=""),"",INT(Data[[#This Row],[Service Follow-up Date]]-Data[[#This Row],[Delivery Date]]))</f>
        <v>20</v>
      </c>
      <c r="M745" s="1">
        <v>4</v>
      </c>
      <c r="N745" s="1">
        <v>1</v>
      </c>
      <c r="O745" s="1">
        <v>7</v>
      </c>
      <c r="P745" s="1">
        <v>1</v>
      </c>
      <c r="Q745" t="str">
        <f>IF(ISBLANK(Data[[#This Row],[Customer Rating]]),"No Rating",IF(Data[[#This Row],[Customer Rating]]&gt;=9,"Promoter",IF(Data[[#This Row],[Customer Rating]]&gt;=7,"Passive","Detractor")))</f>
        <v>Detractor</v>
      </c>
    </row>
    <row r="746" spans="1:17" ht="14.25" customHeight="1" x14ac:dyDescent="0.3">
      <c r="A746" s="1" t="s">
        <v>772</v>
      </c>
      <c r="B746" s="1" t="s">
        <v>32</v>
      </c>
      <c r="C746" s="1" t="s">
        <v>30</v>
      </c>
      <c r="D746" s="1" t="str">
        <f>IF(Data[[#This Row],[Cancellation Status]]="No", "High Potential", "Normal")</f>
        <v>High Potential</v>
      </c>
      <c r="E746" s="2">
        <v>45938</v>
      </c>
      <c r="F746" s="2">
        <v>45943</v>
      </c>
      <c r="G746" s="2">
        <v>45944</v>
      </c>
      <c r="H746" s="2">
        <v>45946</v>
      </c>
      <c r="I746" s="1" t="s">
        <v>17</v>
      </c>
      <c r="K746" s="2">
        <v>45972</v>
      </c>
      <c r="L746" s="88">
        <f>IF(OR(Data[[#This Row],[Service Follow-up Date]]="",Data[[#This Row],[Delivery Date]]=""),"",INT(Data[[#This Row],[Service Follow-up Date]]-Data[[#This Row],[Delivery Date]]))</f>
        <v>26</v>
      </c>
      <c r="M746" s="1">
        <v>5</v>
      </c>
      <c r="N746" s="1">
        <v>1</v>
      </c>
      <c r="O746" s="1">
        <v>2</v>
      </c>
      <c r="P746" s="1">
        <v>5</v>
      </c>
      <c r="Q746" t="str">
        <f>IF(ISBLANK(Data[[#This Row],[Customer Rating]]),"No Rating",IF(Data[[#This Row],[Customer Rating]]&gt;=9,"Promoter",IF(Data[[#This Row],[Customer Rating]]&gt;=7,"Passive","Detractor")))</f>
        <v>Detractor</v>
      </c>
    </row>
    <row r="747" spans="1:17" ht="14.25" customHeight="1" x14ac:dyDescent="0.3">
      <c r="A747" s="1" t="s">
        <v>773</v>
      </c>
      <c r="B747" s="1" t="s">
        <v>15</v>
      </c>
      <c r="C747" s="1" t="s">
        <v>16</v>
      </c>
      <c r="D747" s="1" t="str">
        <f>IF(Data[[#This Row],[Cancellation Status]]="No", "High Potential", "Normal")</f>
        <v>High Potential</v>
      </c>
      <c r="E747" s="2">
        <v>45958</v>
      </c>
      <c r="F747" s="2">
        <v>45960</v>
      </c>
      <c r="G747" s="2">
        <v>45963</v>
      </c>
      <c r="H747" s="2">
        <v>45969</v>
      </c>
      <c r="I747" s="1" t="s">
        <v>17</v>
      </c>
      <c r="K747" s="2">
        <v>45985</v>
      </c>
      <c r="L747" s="88">
        <f>IF(OR(Data[[#This Row],[Service Follow-up Date]]="",Data[[#This Row],[Delivery Date]]=""),"",INT(Data[[#This Row],[Service Follow-up Date]]-Data[[#This Row],[Delivery Date]]))</f>
        <v>16</v>
      </c>
      <c r="M747" s="1">
        <v>2</v>
      </c>
      <c r="N747" s="1">
        <v>3</v>
      </c>
      <c r="O747" s="1">
        <v>6</v>
      </c>
      <c r="P747" s="1">
        <v>9</v>
      </c>
      <c r="Q747" t="str">
        <f>IF(ISBLANK(Data[[#This Row],[Customer Rating]]),"No Rating",IF(Data[[#This Row],[Customer Rating]]&gt;=9,"Promoter",IF(Data[[#This Row],[Customer Rating]]&gt;=7,"Passive","Detractor")))</f>
        <v>Promoter</v>
      </c>
    </row>
    <row r="748" spans="1:17" ht="14.25" customHeight="1" x14ac:dyDescent="0.3">
      <c r="A748" s="1" t="s">
        <v>774</v>
      </c>
      <c r="B748" s="1" t="s">
        <v>15</v>
      </c>
      <c r="C748" s="1" t="s">
        <v>16</v>
      </c>
      <c r="D748" s="1" t="str">
        <f>IF(Data[[#This Row],[Cancellation Status]]="No", "High Potential", "Normal")</f>
        <v>Normal</v>
      </c>
      <c r="E748" s="2">
        <v>45952</v>
      </c>
      <c r="F748" s="2">
        <v>45957</v>
      </c>
      <c r="G748" s="2">
        <v>45959</v>
      </c>
      <c r="H748" s="2">
        <v>45961</v>
      </c>
      <c r="I748" s="1" t="s">
        <v>23</v>
      </c>
      <c r="J748" s="1" t="s">
        <v>101</v>
      </c>
      <c r="L748" s="88" t="str">
        <f>IF(OR(Data[[#This Row],[Service Follow-up Date]]="",Data[[#This Row],[Delivery Date]]=""),"",INT(Data[[#This Row],[Service Follow-up Date]]-Data[[#This Row],[Delivery Date]]))</f>
        <v/>
      </c>
      <c r="M748" s="1">
        <v>5</v>
      </c>
      <c r="N748" s="1">
        <v>2</v>
      </c>
      <c r="O748" s="1">
        <v>2</v>
      </c>
      <c r="Q748" t="str">
        <f>IF(ISBLANK(Data[[#This Row],[Customer Rating]]),"No Rating",IF(Data[[#This Row],[Customer Rating]]&gt;=9,"Promoter",IF(Data[[#This Row],[Customer Rating]]&gt;=7,"Passive","Detractor")))</f>
        <v>No Rating</v>
      </c>
    </row>
    <row r="749" spans="1:17" ht="14.25" customHeight="1" x14ac:dyDescent="0.3">
      <c r="A749" s="1" t="s">
        <v>775</v>
      </c>
      <c r="B749" s="1" t="s">
        <v>21</v>
      </c>
      <c r="C749" s="1" t="s">
        <v>22</v>
      </c>
      <c r="D749" s="1" t="str">
        <f>IF(Data[[#This Row],[Cancellation Status]]="No", "High Potential", "Normal")</f>
        <v>Normal</v>
      </c>
      <c r="E749" s="2">
        <v>45954</v>
      </c>
      <c r="I749" s="1" t="s">
        <v>23</v>
      </c>
      <c r="J749" s="1" t="s">
        <v>63</v>
      </c>
      <c r="L749" s="88" t="str">
        <f>IF(OR(Data[[#This Row],[Service Follow-up Date]]="",Data[[#This Row],[Delivery Date]]=""),"",INT(Data[[#This Row],[Service Follow-up Date]]-Data[[#This Row],[Delivery Date]]))</f>
        <v/>
      </c>
      <c r="Q749" t="str">
        <f>IF(ISBLANK(Data[[#This Row],[Customer Rating]]),"No Rating",IF(Data[[#This Row],[Customer Rating]]&gt;=9,"Promoter",IF(Data[[#This Row],[Customer Rating]]&gt;=7,"Passive","Detractor")))</f>
        <v>No Rating</v>
      </c>
    </row>
    <row r="750" spans="1:17" ht="14.25" customHeight="1" x14ac:dyDescent="0.3">
      <c r="A750" s="1" t="s">
        <v>776</v>
      </c>
      <c r="B750" s="1" t="s">
        <v>21</v>
      </c>
      <c r="C750" s="1" t="s">
        <v>16</v>
      </c>
      <c r="D750" s="1" t="str">
        <f>IF(Data[[#This Row],[Cancellation Status]]="No", "High Potential", "Normal")</f>
        <v>High Potential</v>
      </c>
      <c r="E750" s="2">
        <v>45952</v>
      </c>
      <c r="F750" s="2">
        <v>45953</v>
      </c>
      <c r="G750" s="2">
        <v>45957</v>
      </c>
      <c r="H750" s="2">
        <v>45963</v>
      </c>
      <c r="I750" s="1" t="s">
        <v>17</v>
      </c>
      <c r="K750" s="2">
        <v>45973</v>
      </c>
      <c r="L750" s="88">
        <f>IF(OR(Data[[#This Row],[Service Follow-up Date]]="",Data[[#This Row],[Delivery Date]]=""),"",INT(Data[[#This Row],[Service Follow-up Date]]-Data[[#This Row],[Delivery Date]]))</f>
        <v>10</v>
      </c>
      <c r="M750" s="1">
        <v>1</v>
      </c>
      <c r="N750" s="1">
        <v>4</v>
      </c>
      <c r="O750" s="1">
        <v>6</v>
      </c>
      <c r="P750" s="1">
        <v>7</v>
      </c>
      <c r="Q750" t="str">
        <f>IF(ISBLANK(Data[[#This Row],[Customer Rating]]),"No Rating",IF(Data[[#This Row],[Customer Rating]]&gt;=9,"Promoter",IF(Data[[#This Row],[Customer Rating]]&gt;=7,"Passive","Detractor")))</f>
        <v>Passive</v>
      </c>
    </row>
    <row r="751" spans="1:17" ht="14.25" customHeight="1" x14ac:dyDescent="0.3">
      <c r="A751" s="1" t="s">
        <v>777</v>
      </c>
      <c r="B751" s="1" t="s">
        <v>32</v>
      </c>
      <c r="C751" s="1" t="s">
        <v>30</v>
      </c>
      <c r="D751" s="1" t="str">
        <f>IF(Data[[#This Row],[Cancellation Status]]="No", "High Potential", "Normal")</f>
        <v>High Potential</v>
      </c>
      <c r="E751" s="2">
        <v>45943</v>
      </c>
      <c r="F751" s="2">
        <v>45944</v>
      </c>
      <c r="G751" s="2">
        <v>45946</v>
      </c>
      <c r="H751" s="2">
        <v>45949</v>
      </c>
      <c r="I751" s="1" t="s">
        <v>17</v>
      </c>
      <c r="K751" s="2">
        <v>45959</v>
      </c>
      <c r="L751" s="88">
        <f>IF(OR(Data[[#This Row],[Service Follow-up Date]]="",Data[[#This Row],[Delivery Date]]=""),"",INT(Data[[#This Row],[Service Follow-up Date]]-Data[[#This Row],[Delivery Date]]))</f>
        <v>10</v>
      </c>
      <c r="M751" s="1">
        <v>1</v>
      </c>
      <c r="N751" s="1">
        <v>2</v>
      </c>
      <c r="O751" s="1">
        <v>3</v>
      </c>
      <c r="P751" s="1">
        <v>0</v>
      </c>
      <c r="Q751" t="str">
        <f>IF(ISBLANK(Data[[#This Row],[Customer Rating]]),"No Rating",IF(Data[[#This Row],[Customer Rating]]&gt;=9,"Promoter",IF(Data[[#This Row],[Customer Rating]]&gt;=7,"Passive","Detractor")))</f>
        <v>Detractor</v>
      </c>
    </row>
    <row r="752" spans="1:17" ht="14.25" customHeight="1" x14ac:dyDescent="0.3">
      <c r="A752" s="1" t="s">
        <v>778</v>
      </c>
      <c r="B752" s="1" t="s">
        <v>21</v>
      </c>
      <c r="C752" s="1" t="s">
        <v>30</v>
      </c>
      <c r="D752" s="1" t="str">
        <f>IF(Data[[#This Row],[Cancellation Status]]="No", "High Potential", "Normal")</f>
        <v>High Potential</v>
      </c>
      <c r="E752" s="2">
        <v>45961</v>
      </c>
      <c r="F752" s="2">
        <v>45964</v>
      </c>
      <c r="G752" s="2">
        <v>45968</v>
      </c>
      <c r="H752" s="2">
        <v>45975</v>
      </c>
      <c r="I752" s="1" t="s">
        <v>17</v>
      </c>
      <c r="K752" s="2">
        <v>46005</v>
      </c>
      <c r="L752" s="88">
        <f>IF(OR(Data[[#This Row],[Service Follow-up Date]]="",Data[[#This Row],[Delivery Date]]=""),"",INT(Data[[#This Row],[Service Follow-up Date]]-Data[[#This Row],[Delivery Date]]))</f>
        <v>30</v>
      </c>
      <c r="M752" s="1">
        <v>3</v>
      </c>
      <c r="N752" s="1">
        <v>4</v>
      </c>
      <c r="O752" s="1">
        <v>7</v>
      </c>
      <c r="P752" s="1">
        <v>7</v>
      </c>
      <c r="Q752" t="str">
        <f>IF(ISBLANK(Data[[#This Row],[Customer Rating]]),"No Rating",IF(Data[[#This Row],[Customer Rating]]&gt;=9,"Promoter",IF(Data[[#This Row],[Customer Rating]]&gt;=7,"Passive","Detractor")))</f>
        <v>Passive</v>
      </c>
    </row>
    <row r="753" spans="1:17" ht="14.25" customHeight="1" x14ac:dyDescent="0.3">
      <c r="A753" s="1" t="s">
        <v>779</v>
      </c>
      <c r="B753" s="1" t="s">
        <v>21</v>
      </c>
      <c r="C753" s="1" t="s">
        <v>30</v>
      </c>
      <c r="D753" s="1" t="str">
        <f>IF(Data[[#This Row],[Cancellation Status]]="No", "High Potential", "Normal")</f>
        <v>High Potential</v>
      </c>
      <c r="E753" s="2">
        <v>45958</v>
      </c>
      <c r="F753" s="2">
        <v>45962</v>
      </c>
      <c r="G753" s="2">
        <v>45965</v>
      </c>
      <c r="H753" s="2">
        <v>45970</v>
      </c>
      <c r="I753" s="1" t="s">
        <v>17</v>
      </c>
      <c r="K753" s="2">
        <v>45987</v>
      </c>
      <c r="L753" s="88">
        <f>IF(OR(Data[[#This Row],[Service Follow-up Date]]="",Data[[#This Row],[Delivery Date]]=""),"",INT(Data[[#This Row],[Service Follow-up Date]]-Data[[#This Row],[Delivery Date]]))</f>
        <v>17</v>
      </c>
      <c r="M753" s="1">
        <v>4</v>
      </c>
      <c r="N753" s="1">
        <v>3</v>
      </c>
      <c r="O753" s="1">
        <v>5</v>
      </c>
      <c r="P753" s="1">
        <v>4</v>
      </c>
      <c r="Q753" t="str">
        <f>IF(ISBLANK(Data[[#This Row],[Customer Rating]]),"No Rating",IF(Data[[#This Row],[Customer Rating]]&gt;=9,"Promoter",IF(Data[[#This Row],[Customer Rating]]&gt;=7,"Passive","Detractor")))</f>
        <v>Detractor</v>
      </c>
    </row>
    <row r="754" spans="1:17" ht="14.25" customHeight="1" x14ac:dyDescent="0.3">
      <c r="A754" s="1" t="s">
        <v>780</v>
      </c>
      <c r="B754" s="1" t="s">
        <v>21</v>
      </c>
      <c r="C754" s="1" t="s">
        <v>16</v>
      </c>
      <c r="D754" s="1" t="str">
        <f>IF(Data[[#This Row],[Cancellation Status]]="No", "High Potential", "Normal")</f>
        <v>High Potential</v>
      </c>
      <c r="E754" s="2">
        <v>45956</v>
      </c>
      <c r="F754" s="2">
        <v>45960</v>
      </c>
      <c r="G754" s="2">
        <v>45963</v>
      </c>
      <c r="H754" s="2">
        <v>45965</v>
      </c>
      <c r="I754" s="1" t="s">
        <v>17</v>
      </c>
      <c r="K754" s="2">
        <v>45982</v>
      </c>
      <c r="L754" s="88">
        <f>IF(OR(Data[[#This Row],[Service Follow-up Date]]="",Data[[#This Row],[Delivery Date]]=""),"",INT(Data[[#This Row],[Service Follow-up Date]]-Data[[#This Row],[Delivery Date]]))</f>
        <v>17</v>
      </c>
      <c r="M754" s="1">
        <v>4</v>
      </c>
      <c r="N754" s="1">
        <v>3</v>
      </c>
      <c r="O754" s="1">
        <v>2</v>
      </c>
      <c r="P754" s="1">
        <v>4</v>
      </c>
      <c r="Q754" t="str">
        <f>IF(ISBLANK(Data[[#This Row],[Customer Rating]]),"No Rating",IF(Data[[#This Row],[Customer Rating]]&gt;=9,"Promoter",IF(Data[[#This Row],[Customer Rating]]&gt;=7,"Passive","Detractor")))</f>
        <v>Detractor</v>
      </c>
    </row>
    <row r="755" spans="1:17" ht="14.25" customHeight="1" x14ac:dyDescent="0.3">
      <c r="A755" s="1" t="s">
        <v>781</v>
      </c>
      <c r="B755" s="1" t="s">
        <v>15</v>
      </c>
      <c r="C755" s="1" t="s">
        <v>30</v>
      </c>
      <c r="D755" s="1" t="str">
        <f>IF(Data[[#This Row],[Cancellation Status]]="No", "High Potential", "Normal")</f>
        <v>High Potential</v>
      </c>
      <c r="E755" s="2">
        <v>45948</v>
      </c>
      <c r="F755" s="2">
        <v>45953</v>
      </c>
      <c r="G755" s="2">
        <v>45954</v>
      </c>
      <c r="H755" s="2">
        <v>45960</v>
      </c>
      <c r="I755" s="1" t="s">
        <v>17</v>
      </c>
      <c r="K755" s="2">
        <v>45981</v>
      </c>
      <c r="L755" s="88">
        <f>IF(OR(Data[[#This Row],[Service Follow-up Date]]="",Data[[#This Row],[Delivery Date]]=""),"",INT(Data[[#This Row],[Service Follow-up Date]]-Data[[#This Row],[Delivery Date]]))</f>
        <v>21</v>
      </c>
      <c r="M755" s="1">
        <v>5</v>
      </c>
      <c r="N755" s="1">
        <v>1</v>
      </c>
      <c r="O755" s="1">
        <v>6</v>
      </c>
      <c r="P755" s="1">
        <v>9</v>
      </c>
      <c r="Q755" t="str">
        <f>IF(ISBLANK(Data[[#This Row],[Customer Rating]]),"No Rating",IF(Data[[#This Row],[Customer Rating]]&gt;=9,"Promoter",IF(Data[[#This Row],[Customer Rating]]&gt;=7,"Passive","Detractor")))</f>
        <v>Promoter</v>
      </c>
    </row>
    <row r="756" spans="1:17" ht="14.25" customHeight="1" x14ac:dyDescent="0.3">
      <c r="A756" s="1" t="s">
        <v>782</v>
      </c>
      <c r="B756" s="1" t="s">
        <v>32</v>
      </c>
      <c r="C756" s="1" t="s">
        <v>16</v>
      </c>
      <c r="D756" s="1" t="str">
        <f>IF(Data[[#This Row],[Cancellation Status]]="No", "High Potential", "Normal")</f>
        <v>High Potential</v>
      </c>
      <c r="E756" s="2">
        <v>45942</v>
      </c>
      <c r="F756" s="2">
        <v>45946</v>
      </c>
      <c r="G756" s="2">
        <v>45947</v>
      </c>
      <c r="H756" s="2">
        <v>45953</v>
      </c>
      <c r="I756" s="1" t="s">
        <v>17</v>
      </c>
      <c r="K756" s="2">
        <v>45972</v>
      </c>
      <c r="L756" s="88">
        <f>IF(OR(Data[[#This Row],[Service Follow-up Date]]="",Data[[#This Row],[Delivery Date]]=""),"",INT(Data[[#This Row],[Service Follow-up Date]]-Data[[#This Row],[Delivery Date]]))</f>
        <v>19</v>
      </c>
      <c r="M756" s="1">
        <v>4</v>
      </c>
      <c r="N756" s="1">
        <v>1</v>
      </c>
      <c r="O756" s="1">
        <v>6</v>
      </c>
      <c r="P756" s="1">
        <v>6</v>
      </c>
      <c r="Q756" t="str">
        <f>IF(ISBLANK(Data[[#This Row],[Customer Rating]]),"No Rating",IF(Data[[#This Row],[Customer Rating]]&gt;=9,"Promoter",IF(Data[[#This Row],[Customer Rating]]&gt;=7,"Passive","Detractor")))</f>
        <v>Detractor</v>
      </c>
    </row>
    <row r="757" spans="1:17" ht="14.25" customHeight="1" x14ac:dyDescent="0.3">
      <c r="A757" s="1" t="s">
        <v>783</v>
      </c>
      <c r="B757" s="1" t="s">
        <v>19</v>
      </c>
      <c r="C757" s="1" t="s">
        <v>16</v>
      </c>
      <c r="D757" s="1" t="str">
        <f>IF(Data[[#This Row],[Cancellation Status]]="No", "High Potential", "Normal")</f>
        <v>High Potential</v>
      </c>
      <c r="E757" s="2">
        <v>45933</v>
      </c>
      <c r="F757" s="2">
        <v>45937</v>
      </c>
      <c r="G757" s="2">
        <v>45938</v>
      </c>
      <c r="H757" s="2">
        <v>45940</v>
      </c>
      <c r="I757" s="1" t="s">
        <v>17</v>
      </c>
      <c r="K757" s="2">
        <v>45954</v>
      </c>
      <c r="L757" s="88">
        <f>IF(OR(Data[[#This Row],[Service Follow-up Date]]="",Data[[#This Row],[Delivery Date]]=""),"",INT(Data[[#This Row],[Service Follow-up Date]]-Data[[#This Row],[Delivery Date]]))</f>
        <v>14</v>
      </c>
      <c r="M757" s="1">
        <v>4</v>
      </c>
      <c r="N757" s="1">
        <v>1</v>
      </c>
      <c r="O757" s="1">
        <v>2</v>
      </c>
      <c r="P757" s="1">
        <v>5</v>
      </c>
      <c r="Q757" t="str">
        <f>IF(ISBLANK(Data[[#This Row],[Customer Rating]]),"No Rating",IF(Data[[#This Row],[Customer Rating]]&gt;=9,"Promoter",IF(Data[[#This Row],[Customer Rating]]&gt;=7,"Passive","Detractor")))</f>
        <v>Detractor</v>
      </c>
    </row>
    <row r="758" spans="1:17" ht="14.25" customHeight="1" x14ac:dyDescent="0.3">
      <c r="A758" s="1" t="s">
        <v>784</v>
      </c>
      <c r="B758" s="1" t="s">
        <v>15</v>
      </c>
      <c r="C758" s="1" t="s">
        <v>30</v>
      </c>
      <c r="D758" s="1" t="str">
        <f>IF(Data[[#This Row],[Cancellation Status]]="No", "High Potential", "Normal")</f>
        <v>High Potential</v>
      </c>
      <c r="E758" s="2">
        <v>45956</v>
      </c>
      <c r="F758" s="2">
        <v>45961</v>
      </c>
      <c r="G758" s="2">
        <v>45964</v>
      </c>
      <c r="H758" s="2">
        <v>45969</v>
      </c>
      <c r="I758" s="1" t="s">
        <v>17</v>
      </c>
      <c r="K758" s="2">
        <v>45982</v>
      </c>
      <c r="L758" s="88">
        <f>IF(OR(Data[[#This Row],[Service Follow-up Date]]="",Data[[#This Row],[Delivery Date]]=""),"",INT(Data[[#This Row],[Service Follow-up Date]]-Data[[#This Row],[Delivery Date]]))</f>
        <v>13</v>
      </c>
      <c r="M758" s="1">
        <v>5</v>
      </c>
      <c r="N758" s="1">
        <v>3</v>
      </c>
      <c r="O758" s="1">
        <v>5</v>
      </c>
      <c r="P758" s="1">
        <v>7</v>
      </c>
      <c r="Q758" t="str">
        <f>IF(ISBLANK(Data[[#This Row],[Customer Rating]]),"No Rating",IF(Data[[#This Row],[Customer Rating]]&gt;=9,"Promoter",IF(Data[[#This Row],[Customer Rating]]&gt;=7,"Passive","Detractor")))</f>
        <v>Passive</v>
      </c>
    </row>
    <row r="759" spans="1:17" ht="14.25" customHeight="1" x14ac:dyDescent="0.3">
      <c r="A759" s="1" t="s">
        <v>785</v>
      </c>
      <c r="B759" s="1" t="s">
        <v>21</v>
      </c>
      <c r="C759" s="1" t="s">
        <v>30</v>
      </c>
      <c r="D759" s="1" t="str">
        <f>IF(Data[[#This Row],[Cancellation Status]]="No", "High Potential", "Normal")</f>
        <v>High Potential</v>
      </c>
      <c r="E759" s="2">
        <v>45943</v>
      </c>
      <c r="F759" s="2">
        <v>45944</v>
      </c>
      <c r="G759" s="2">
        <v>45948</v>
      </c>
      <c r="H759" s="2">
        <v>45955</v>
      </c>
      <c r="I759" s="1" t="s">
        <v>17</v>
      </c>
      <c r="K759" s="2">
        <v>45977</v>
      </c>
      <c r="L759" s="88">
        <f>IF(OR(Data[[#This Row],[Service Follow-up Date]]="",Data[[#This Row],[Delivery Date]]=""),"",INT(Data[[#This Row],[Service Follow-up Date]]-Data[[#This Row],[Delivery Date]]))</f>
        <v>22</v>
      </c>
      <c r="M759" s="1">
        <v>1</v>
      </c>
      <c r="N759" s="1">
        <v>4</v>
      </c>
      <c r="O759" s="1">
        <v>7</v>
      </c>
      <c r="P759" s="1">
        <v>6</v>
      </c>
      <c r="Q759" t="str">
        <f>IF(ISBLANK(Data[[#This Row],[Customer Rating]]),"No Rating",IF(Data[[#This Row],[Customer Rating]]&gt;=9,"Promoter",IF(Data[[#This Row],[Customer Rating]]&gt;=7,"Passive","Detractor")))</f>
        <v>Detractor</v>
      </c>
    </row>
    <row r="760" spans="1:17" ht="14.25" customHeight="1" x14ac:dyDescent="0.3">
      <c r="A760" s="1" t="s">
        <v>786</v>
      </c>
      <c r="B760" s="1" t="s">
        <v>15</v>
      </c>
      <c r="C760" s="1" t="s">
        <v>30</v>
      </c>
      <c r="D760" s="1" t="str">
        <f>IF(Data[[#This Row],[Cancellation Status]]="No", "High Potential", "Normal")</f>
        <v>High Potential</v>
      </c>
      <c r="E760" s="2">
        <v>45931</v>
      </c>
      <c r="F760" s="2">
        <v>45933</v>
      </c>
      <c r="G760" s="2">
        <v>45936</v>
      </c>
      <c r="H760" s="2">
        <v>45939</v>
      </c>
      <c r="I760" s="1" t="s">
        <v>17</v>
      </c>
      <c r="K760" s="2">
        <v>45965</v>
      </c>
      <c r="L760" s="88">
        <f>IF(OR(Data[[#This Row],[Service Follow-up Date]]="",Data[[#This Row],[Delivery Date]]=""),"",INT(Data[[#This Row],[Service Follow-up Date]]-Data[[#This Row],[Delivery Date]]))</f>
        <v>26</v>
      </c>
      <c r="M760" s="1">
        <v>2</v>
      </c>
      <c r="N760" s="1">
        <v>3</v>
      </c>
      <c r="O760" s="1">
        <v>3</v>
      </c>
      <c r="P760" s="1">
        <v>6</v>
      </c>
      <c r="Q760" t="str">
        <f>IF(ISBLANK(Data[[#This Row],[Customer Rating]]),"No Rating",IF(Data[[#This Row],[Customer Rating]]&gt;=9,"Promoter",IF(Data[[#This Row],[Customer Rating]]&gt;=7,"Passive","Detractor")))</f>
        <v>Detractor</v>
      </c>
    </row>
    <row r="761" spans="1:17" ht="14.25" customHeight="1" x14ac:dyDescent="0.3">
      <c r="A761" s="1" t="s">
        <v>787</v>
      </c>
      <c r="B761" s="1" t="s">
        <v>21</v>
      </c>
      <c r="C761" s="1" t="s">
        <v>22</v>
      </c>
      <c r="D761" s="1" t="str">
        <f>IF(Data[[#This Row],[Cancellation Status]]="No", "High Potential", "Normal")</f>
        <v>Normal</v>
      </c>
      <c r="E761" s="2">
        <v>45939</v>
      </c>
      <c r="I761" s="1" t="s">
        <v>23</v>
      </c>
      <c r="J761" s="1" t="s">
        <v>63</v>
      </c>
      <c r="L761" s="88" t="str">
        <f>IF(OR(Data[[#This Row],[Service Follow-up Date]]="",Data[[#This Row],[Delivery Date]]=""),"",INT(Data[[#This Row],[Service Follow-up Date]]-Data[[#This Row],[Delivery Date]]))</f>
        <v/>
      </c>
      <c r="Q761" t="str">
        <f>IF(ISBLANK(Data[[#This Row],[Customer Rating]]),"No Rating",IF(Data[[#This Row],[Customer Rating]]&gt;=9,"Promoter",IF(Data[[#This Row],[Customer Rating]]&gt;=7,"Passive","Detractor")))</f>
        <v>No Rating</v>
      </c>
    </row>
    <row r="762" spans="1:17" ht="14.25" customHeight="1" x14ac:dyDescent="0.3">
      <c r="A762" s="1" t="s">
        <v>788</v>
      </c>
      <c r="B762" s="1" t="s">
        <v>21</v>
      </c>
      <c r="C762" s="1" t="s">
        <v>30</v>
      </c>
      <c r="D762" s="1" t="str">
        <f>IF(Data[[#This Row],[Cancellation Status]]="No", "High Potential", "Normal")</f>
        <v>High Potential</v>
      </c>
      <c r="E762" s="2">
        <v>45948</v>
      </c>
      <c r="F762" s="2">
        <v>45951</v>
      </c>
      <c r="G762" s="2">
        <v>45954</v>
      </c>
      <c r="H762" s="2">
        <v>45957</v>
      </c>
      <c r="I762" s="1" t="s">
        <v>17</v>
      </c>
      <c r="K762" s="2">
        <v>45985</v>
      </c>
      <c r="L762" s="88">
        <f>IF(OR(Data[[#This Row],[Service Follow-up Date]]="",Data[[#This Row],[Delivery Date]]=""),"",INT(Data[[#This Row],[Service Follow-up Date]]-Data[[#This Row],[Delivery Date]]))</f>
        <v>28</v>
      </c>
      <c r="M762" s="1">
        <v>3</v>
      </c>
      <c r="N762" s="1">
        <v>3</v>
      </c>
      <c r="O762" s="1">
        <v>3</v>
      </c>
      <c r="P762" s="1">
        <v>2</v>
      </c>
      <c r="Q762" t="str">
        <f>IF(ISBLANK(Data[[#This Row],[Customer Rating]]),"No Rating",IF(Data[[#This Row],[Customer Rating]]&gt;=9,"Promoter",IF(Data[[#This Row],[Customer Rating]]&gt;=7,"Passive","Detractor")))</f>
        <v>Detractor</v>
      </c>
    </row>
    <row r="763" spans="1:17" ht="14.25" customHeight="1" x14ac:dyDescent="0.3">
      <c r="A763" s="1" t="s">
        <v>789</v>
      </c>
      <c r="B763" s="1" t="s">
        <v>15</v>
      </c>
      <c r="C763" s="1" t="s">
        <v>16</v>
      </c>
      <c r="D763" s="1" t="str">
        <f>IF(Data[[#This Row],[Cancellation Status]]="No", "High Potential", "Normal")</f>
        <v>High Potential</v>
      </c>
      <c r="E763" s="2">
        <v>45934</v>
      </c>
      <c r="F763" s="2">
        <v>45935</v>
      </c>
      <c r="G763" s="2">
        <v>45936</v>
      </c>
      <c r="H763" s="2">
        <v>45940</v>
      </c>
      <c r="I763" s="1" t="s">
        <v>17</v>
      </c>
      <c r="K763" s="2">
        <v>45959</v>
      </c>
      <c r="L763" s="88">
        <f>IF(OR(Data[[#This Row],[Service Follow-up Date]]="",Data[[#This Row],[Delivery Date]]=""),"",INT(Data[[#This Row],[Service Follow-up Date]]-Data[[#This Row],[Delivery Date]]))</f>
        <v>19</v>
      </c>
      <c r="M763" s="1">
        <v>1</v>
      </c>
      <c r="N763" s="1">
        <v>1</v>
      </c>
      <c r="O763" s="1">
        <v>4</v>
      </c>
      <c r="P763" s="1">
        <v>8</v>
      </c>
      <c r="Q763" t="str">
        <f>IF(ISBLANK(Data[[#This Row],[Customer Rating]]),"No Rating",IF(Data[[#This Row],[Customer Rating]]&gt;=9,"Promoter",IF(Data[[#This Row],[Customer Rating]]&gt;=7,"Passive","Detractor")))</f>
        <v>Passive</v>
      </c>
    </row>
    <row r="764" spans="1:17" ht="14.25" customHeight="1" x14ac:dyDescent="0.3">
      <c r="A764" s="1" t="s">
        <v>790</v>
      </c>
      <c r="B764" s="1" t="s">
        <v>32</v>
      </c>
      <c r="C764" s="1" t="s">
        <v>22</v>
      </c>
      <c r="D764" s="1" t="str">
        <f>IF(Data[[#This Row],[Cancellation Status]]="No", "High Potential", "Normal")</f>
        <v>Normal</v>
      </c>
      <c r="E764" s="2">
        <v>45945</v>
      </c>
      <c r="I764" s="1" t="s">
        <v>23</v>
      </c>
      <c r="J764" s="1" t="s">
        <v>33</v>
      </c>
      <c r="L764" s="88" t="str">
        <f>IF(OR(Data[[#This Row],[Service Follow-up Date]]="",Data[[#This Row],[Delivery Date]]=""),"",INT(Data[[#This Row],[Service Follow-up Date]]-Data[[#This Row],[Delivery Date]]))</f>
        <v/>
      </c>
      <c r="Q764" t="str">
        <f>IF(ISBLANK(Data[[#This Row],[Customer Rating]]),"No Rating",IF(Data[[#This Row],[Customer Rating]]&gt;=9,"Promoter",IF(Data[[#This Row],[Customer Rating]]&gt;=7,"Passive","Detractor")))</f>
        <v>No Rating</v>
      </c>
    </row>
    <row r="765" spans="1:17" ht="14.25" customHeight="1" x14ac:dyDescent="0.3">
      <c r="A765" s="1" t="s">
        <v>791</v>
      </c>
      <c r="B765" s="1" t="s">
        <v>21</v>
      </c>
      <c r="C765" s="1" t="s">
        <v>16</v>
      </c>
      <c r="D765" s="1" t="str">
        <f>IF(Data[[#This Row],[Cancellation Status]]="No", "High Potential", "Normal")</f>
        <v>Normal</v>
      </c>
      <c r="E765" s="2">
        <v>45942</v>
      </c>
      <c r="F765" s="2">
        <v>45946</v>
      </c>
      <c r="G765" s="2">
        <v>45948</v>
      </c>
      <c r="H765" s="2">
        <v>45952</v>
      </c>
      <c r="I765" s="1" t="s">
        <v>23</v>
      </c>
      <c r="J765" s="1" t="s">
        <v>63</v>
      </c>
      <c r="L765" s="88" t="str">
        <f>IF(OR(Data[[#This Row],[Service Follow-up Date]]="",Data[[#This Row],[Delivery Date]]=""),"",INT(Data[[#This Row],[Service Follow-up Date]]-Data[[#This Row],[Delivery Date]]))</f>
        <v/>
      </c>
      <c r="M765" s="1">
        <v>4</v>
      </c>
      <c r="N765" s="1">
        <v>2</v>
      </c>
      <c r="O765" s="1">
        <v>4</v>
      </c>
      <c r="Q765" t="str">
        <f>IF(ISBLANK(Data[[#This Row],[Customer Rating]]),"No Rating",IF(Data[[#This Row],[Customer Rating]]&gt;=9,"Promoter",IF(Data[[#This Row],[Customer Rating]]&gt;=7,"Passive","Detractor")))</f>
        <v>No Rating</v>
      </c>
    </row>
    <row r="766" spans="1:17" ht="14.25" customHeight="1" x14ac:dyDescent="0.3">
      <c r="A766" s="1" t="s">
        <v>792</v>
      </c>
      <c r="B766" s="1" t="s">
        <v>32</v>
      </c>
      <c r="C766" s="1" t="s">
        <v>22</v>
      </c>
      <c r="D766" s="1" t="str">
        <f>IF(Data[[#This Row],[Cancellation Status]]="No", "High Potential", "Normal")</f>
        <v>Normal</v>
      </c>
      <c r="E766" s="2">
        <v>45952</v>
      </c>
      <c r="I766" s="1" t="s">
        <v>23</v>
      </c>
      <c r="J766" s="1" t="s">
        <v>26</v>
      </c>
      <c r="L766" s="88" t="str">
        <f>IF(OR(Data[[#This Row],[Service Follow-up Date]]="",Data[[#This Row],[Delivery Date]]=""),"",INT(Data[[#This Row],[Service Follow-up Date]]-Data[[#This Row],[Delivery Date]]))</f>
        <v/>
      </c>
      <c r="Q766" t="str">
        <f>IF(ISBLANK(Data[[#This Row],[Customer Rating]]),"No Rating",IF(Data[[#This Row],[Customer Rating]]&gt;=9,"Promoter",IF(Data[[#This Row],[Customer Rating]]&gt;=7,"Passive","Detractor")))</f>
        <v>No Rating</v>
      </c>
    </row>
    <row r="767" spans="1:17" ht="14.25" customHeight="1" x14ac:dyDescent="0.3">
      <c r="A767" s="1" t="s">
        <v>793</v>
      </c>
      <c r="B767" s="1" t="s">
        <v>19</v>
      </c>
      <c r="C767" s="1" t="s">
        <v>16</v>
      </c>
      <c r="D767" s="1" t="str">
        <f>IF(Data[[#This Row],[Cancellation Status]]="No", "High Potential", "Normal")</f>
        <v>High Potential</v>
      </c>
      <c r="E767" s="2">
        <v>45954</v>
      </c>
      <c r="F767" s="2">
        <v>45958</v>
      </c>
      <c r="G767" s="2">
        <v>45959</v>
      </c>
      <c r="H767" s="2">
        <v>45963</v>
      </c>
      <c r="I767" s="1" t="s">
        <v>17</v>
      </c>
      <c r="K767" s="2">
        <v>45978</v>
      </c>
      <c r="L767" s="88">
        <f>IF(OR(Data[[#This Row],[Service Follow-up Date]]="",Data[[#This Row],[Delivery Date]]=""),"",INT(Data[[#This Row],[Service Follow-up Date]]-Data[[#This Row],[Delivery Date]]))</f>
        <v>15</v>
      </c>
      <c r="M767" s="1">
        <v>4</v>
      </c>
      <c r="N767" s="1">
        <v>1</v>
      </c>
      <c r="O767" s="1">
        <v>4</v>
      </c>
      <c r="P767" s="1">
        <v>1</v>
      </c>
      <c r="Q767" t="str">
        <f>IF(ISBLANK(Data[[#This Row],[Customer Rating]]),"No Rating",IF(Data[[#This Row],[Customer Rating]]&gt;=9,"Promoter",IF(Data[[#This Row],[Customer Rating]]&gt;=7,"Passive","Detractor")))</f>
        <v>Detractor</v>
      </c>
    </row>
    <row r="768" spans="1:17" ht="14.25" customHeight="1" x14ac:dyDescent="0.3">
      <c r="A768" s="1" t="s">
        <v>794</v>
      </c>
      <c r="B768" s="1" t="s">
        <v>21</v>
      </c>
      <c r="C768" s="1" t="s">
        <v>22</v>
      </c>
      <c r="D768" s="1" t="str">
        <f>IF(Data[[#This Row],[Cancellation Status]]="No", "High Potential", "Normal")</f>
        <v>Normal</v>
      </c>
      <c r="E768" s="2">
        <v>45952</v>
      </c>
      <c r="I768" s="1" t="s">
        <v>23</v>
      </c>
      <c r="J768" s="1" t="s">
        <v>101</v>
      </c>
      <c r="L768" s="88" t="str">
        <f>IF(OR(Data[[#This Row],[Service Follow-up Date]]="",Data[[#This Row],[Delivery Date]]=""),"",INT(Data[[#This Row],[Service Follow-up Date]]-Data[[#This Row],[Delivery Date]]))</f>
        <v/>
      </c>
      <c r="Q768" t="str">
        <f>IF(ISBLANK(Data[[#This Row],[Customer Rating]]),"No Rating",IF(Data[[#This Row],[Customer Rating]]&gt;=9,"Promoter",IF(Data[[#This Row],[Customer Rating]]&gt;=7,"Passive","Detractor")))</f>
        <v>No Rating</v>
      </c>
    </row>
    <row r="769" spans="1:17" ht="14.25" customHeight="1" x14ac:dyDescent="0.3">
      <c r="A769" s="1" t="s">
        <v>795</v>
      </c>
      <c r="B769" s="1" t="s">
        <v>32</v>
      </c>
      <c r="C769" s="1" t="s">
        <v>30</v>
      </c>
      <c r="D769" s="1" t="str">
        <f>IF(Data[[#This Row],[Cancellation Status]]="No", "High Potential", "Normal")</f>
        <v>High Potential</v>
      </c>
      <c r="E769" s="2">
        <v>45939</v>
      </c>
      <c r="F769" s="2">
        <v>45944</v>
      </c>
      <c r="G769" s="2">
        <v>45946</v>
      </c>
      <c r="H769" s="2">
        <v>45951</v>
      </c>
      <c r="I769" s="1" t="s">
        <v>17</v>
      </c>
      <c r="K769" s="2">
        <v>45963</v>
      </c>
      <c r="L769" s="88">
        <f>IF(OR(Data[[#This Row],[Service Follow-up Date]]="",Data[[#This Row],[Delivery Date]]=""),"",INT(Data[[#This Row],[Service Follow-up Date]]-Data[[#This Row],[Delivery Date]]))</f>
        <v>12</v>
      </c>
      <c r="M769" s="1">
        <v>5</v>
      </c>
      <c r="N769" s="1">
        <v>2</v>
      </c>
      <c r="O769" s="1">
        <v>5</v>
      </c>
      <c r="P769" s="1">
        <v>0</v>
      </c>
      <c r="Q769" t="str">
        <f>IF(ISBLANK(Data[[#This Row],[Customer Rating]]),"No Rating",IF(Data[[#This Row],[Customer Rating]]&gt;=9,"Promoter",IF(Data[[#This Row],[Customer Rating]]&gt;=7,"Passive","Detractor")))</f>
        <v>Detractor</v>
      </c>
    </row>
    <row r="770" spans="1:17" ht="14.25" customHeight="1" x14ac:dyDescent="0.3">
      <c r="A770" s="1" t="s">
        <v>796</v>
      </c>
      <c r="B770" s="1" t="s">
        <v>32</v>
      </c>
      <c r="C770" s="1" t="s">
        <v>30</v>
      </c>
      <c r="D770" s="1" t="str">
        <f>IF(Data[[#This Row],[Cancellation Status]]="No", "High Potential", "Normal")</f>
        <v>High Potential</v>
      </c>
      <c r="E770" s="2">
        <v>45949</v>
      </c>
      <c r="F770" s="2">
        <v>45952</v>
      </c>
      <c r="G770" s="2">
        <v>45956</v>
      </c>
      <c r="H770" s="2">
        <v>45963</v>
      </c>
      <c r="I770" s="1" t="s">
        <v>17</v>
      </c>
      <c r="K770" s="2">
        <v>45974</v>
      </c>
      <c r="L770" s="88">
        <f>IF(OR(Data[[#This Row],[Service Follow-up Date]]="",Data[[#This Row],[Delivery Date]]=""),"",INT(Data[[#This Row],[Service Follow-up Date]]-Data[[#This Row],[Delivery Date]]))</f>
        <v>11</v>
      </c>
      <c r="M770" s="1">
        <v>3</v>
      </c>
      <c r="N770" s="1">
        <v>4</v>
      </c>
      <c r="O770" s="1">
        <v>7</v>
      </c>
      <c r="P770" s="1">
        <v>4</v>
      </c>
      <c r="Q770" t="str">
        <f>IF(ISBLANK(Data[[#This Row],[Customer Rating]]),"No Rating",IF(Data[[#This Row],[Customer Rating]]&gt;=9,"Promoter",IF(Data[[#This Row],[Customer Rating]]&gt;=7,"Passive","Detractor")))</f>
        <v>Detractor</v>
      </c>
    </row>
    <row r="771" spans="1:17" ht="14.25" customHeight="1" x14ac:dyDescent="0.3">
      <c r="A771" s="1" t="s">
        <v>797</v>
      </c>
      <c r="B771" s="1" t="s">
        <v>19</v>
      </c>
      <c r="C771" s="1" t="s">
        <v>16</v>
      </c>
      <c r="D771" s="1" t="str">
        <f>IF(Data[[#This Row],[Cancellation Status]]="No", "High Potential", "Normal")</f>
        <v>High Potential</v>
      </c>
      <c r="E771" s="2">
        <v>45943</v>
      </c>
      <c r="F771" s="2">
        <v>45945</v>
      </c>
      <c r="G771" s="2">
        <v>45949</v>
      </c>
      <c r="H771" s="2">
        <v>45956</v>
      </c>
      <c r="I771" s="1" t="s">
        <v>17</v>
      </c>
      <c r="K771" s="2">
        <v>45975</v>
      </c>
      <c r="L771" s="88">
        <f>IF(OR(Data[[#This Row],[Service Follow-up Date]]="",Data[[#This Row],[Delivery Date]]=""),"",INT(Data[[#This Row],[Service Follow-up Date]]-Data[[#This Row],[Delivery Date]]))</f>
        <v>19</v>
      </c>
      <c r="M771" s="1">
        <v>2</v>
      </c>
      <c r="N771" s="1">
        <v>4</v>
      </c>
      <c r="O771" s="1">
        <v>7</v>
      </c>
      <c r="P771" s="1">
        <v>0</v>
      </c>
      <c r="Q771" t="str">
        <f>IF(ISBLANK(Data[[#This Row],[Customer Rating]]),"No Rating",IF(Data[[#This Row],[Customer Rating]]&gt;=9,"Promoter",IF(Data[[#This Row],[Customer Rating]]&gt;=7,"Passive","Detractor")))</f>
        <v>Detractor</v>
      </c>
    </row>
    <row r="772" spans="1:17" ht="14.25" customHeight="1" x14ac:dyDescent="0.3">
      <c r="A772" s="1" t="s">
        <v>798</v>
      </c>
      <c r="B772" s="1" t="s">
        <v>32</v>
      </c>
      <c r="C772" s="1" t="s">
        <v>22</v>
      </c>
      <c r="D772" s="1" t="str">
        <f>IF(Data[[#This Row],[Cancellation Status]]="No", "High Potential", "Normal")</f>
        <v>Normal</v>
      </c>
      <c r="E772" s="2">
        <v>45957</v>
      </c>
      <c r="I772" s="1" t="s">
        <v>23</v>
      </c>
      <c r="J772" s="1" t="s">
        <v>26</v>
      </c>
      <c r="L772" s="88" t="str">
        <f>IF(OR(Data[[#This Row],[Service Follow-up Date]]="",Data[[#This Row],[Delivery Date]]=""),"",INT(Data[[#This Row],[Service Follow-up Date]]-Data[[#This Row],[Delivery Date]]))</f>
        <v/>
      </c>
      <c r="Q772" t="str">
        <f>IF(ISBLANK(Data[[#This Row],[Customer Rating]]),"No Rating",IF(Data[[#This Row],[Customer Rating]]&gt;=9,"Promoter",IF(Data[[#This Row],[Customer Rating]]&gt;=7,"Passive","Detractor")))</f>
        <v>No Rating</v>
      </c>
    </row>
    <row r="773" spans="1:17" ht="14.25" customHeight="1" x14ac:dyDescent="0.3">
      <c r="A773" s="1" t="s">
        <v>799</v>
      </c>
      <c r="B773" s="1" t="s">
        <v>32</v>
      </c>
      <c r="C773" s="1" t="s">
        <v>22</v>
      </c>
      <c r="D773" s="1" t="str">
        <f>IF(Data[[#This Row],[Cancellation Status]]="No", "High Potential", "Normal")</f>
        <v>Normal</v>
      </c>
      <c r="E773" s="2">
        <v>45951</v>
      </c>
      <c r="I773" s="1" t="s">
        <v>23</v>
      </c>
      <c r="J773" s="1" t="s">
        <v>24</v>
      </c>
      <c r="L773" s="88" t="str">
        <f>IF(OR(Data[[#This Row],[Service Follow-up Date]]="",Data[[#This Row],[Delivery Date]]=""),"",INT(Data[[#This Row],[Service Follow-up Date]]-Data[[#This Row],[Delivery Date]]))</f>
        <v/>
      </c>
      <c r="Q773" t="str">
        <f>IF(ISBLANK(Data[[#This Row],[Customer Rating]]),"No Rating",IF(Data[[#This Row],[Customer Rating]]&gt;=9,"Promoter",IF(Data[[#This Row],[Customer Rating]]&gt;=7,"Passive","Detractor")))</f>
        <v>No Rating</v>
      </c>
    </row>
    <row r="774" spans="1:17" ht="14.25" customHeight="1" x14ac:dyDescent="0.3">
      <c r="A774" s="1" t="s">
        <v>800</v>
      </c>
      <c r="B774" s="1" t="s">
        <v>19</v>
      </c>
      <c r="C774" s="1" t="s">
        <v>30</v>
      </c>
      <c r="D774" s="1" t="str">
        <f>IF(Data[[#This Row],[Cancellation Status]]="No", "High Potential", "Normal")</f>
        <v>High Potential</v>
      </c>
      <c r="E774" s="2">
        <v>45961</v>
      </c>
      <c r="F774" s="2">
        <v>45966</v>
      </c>
      <c r="G774" s="2">
        <v>45971</v>
      </c>
      <c r="H774" s="2">
        <v>45975</v>
      </c>
      <c r="I774" s="1" t="s">
        <v>17</v>
      </c>
      <c r="K774" s="2">
        <v>45994</v>
      </c>
      <c r="L774" s="88">
        <f>IF(OR(Data[[#This Row],[Service Follow-up Date]]="",Data[[#This Row],[Delivery Date]]=""),"",INT(Data[[#This Row],[Service Follow-up Date]]-Data[[#This Row],[Delivery Date]]))</f>
        <v>19</v>
      </c>
      <c r="M774" s="1">
        <v>5</v>
      </c>
      <c r="N774" s="1">
        <v>5</v>
      </c>
      <c r="O774" s="1">
        <v>4</v>
      </c>
      <c r="P774" s="1">
        <v>4</v>
      </c>
      <c r="Q774" t="str">
        <f>IF(ISBLANK(Data[[#This Row],[Customer Rating]]),"No Rating",IF(Data[[#This Row],[Customer Rating]]&gt;=9,"Promoter",IF(Data[[#This Row],[Customer Rating]]&gt;=7,"Passive","Detractor")))</f>
        <v>Detractor</v>
      </c>
    </row>
    <row r="775" spans="1:17" ht="14.25" customHeight="1" x14ac:dyDescent="0.3">
      <c r="A775" s="1" t="s">
        <v>801</v>
      </c>
      <c r="B775" s="1" t="s">
        <v>21</v>
      </c>
      <c r="C775" s="1" t="s">
        <v>30</v>
      </c>
      <c r="D775" s="1" t="str">
        <f>IF(Data[[#This Row],[Cancellation Status]]="No", "High Potential", "Normal")</f>
        <v>High Potential</v>
      </c>
      <c r="E775" s="2">
        <v>45942</v>
      </c>
      <c r="F775" s="2">
        <v>45947</v>
      </c>
      <c r="G775" s="2">
        <v>45952</v>
      </c>
      <c r="H775" s="2">
        <v>45956</v>
      </c>
      <c r="I775" s="1" t="s">
        <v>17</v>
      </c>
      <c r="K775" s="2">
        <v>45980</v>
      </c>
      <c r="L775" s="88">
        <f>IF(OR(Data[[#This Row],[Service Follow-up Date]]="",Data[[#This Row],[Delivery Date]]=""),"",INT(Data[[#This Row],[Service Follow-up Date]]-Data[[#This Row],[Delivery Date]]))</f>
        <v>24</v>
      </c>
      <c r="M775" s="1">
        <v>5</v>
      </c>
      <c r="N775" s="1">
        <v>5</v>
      </c>
      <c r="O775" s="1">
        <v>4</v>
      </c>
      <c r="P775" s="1">
        <v>1</v>
      </c>
      <c r="Q775" t="str">
        <f>IF(ISBLANK(Data[[#This Row],[Customer Rating]]),"No Rating",IF(Data[[#This Row],[Customer Rating]]&gt;=9,"Promoter",IF(Data[[#This Row],[Customer Rating]]&gt;=7,"Passive","Detractor")))</f>
        <v>Detractor</v>
      </c>
    </row>
    <row r="776" spans="1:17" ht="14.25" customHeight="1" x14ac:dyDescent="0.3">
      <c r="A776" s="1" t="s">
        <v>802</v>
      </c>
      <c r="B776" s="1" t="s">
        <v>32</v>
      </c>
      <c r="C776" s="1" t="s">
        <v>22</v>
      </c>
      <c r="D776" s="1" t="str">
        <f>IF(Data[[#This Row],[Cancellation Status]]="No", "High Potential", "Normal")</f>
        <v>Normal</v>
      </c>
      <c r="E776" s="2">
        <v>45934</v>
      </c>
      <c r="I776" s="1" t="s">
        <v>23</v>
      </c>
      <c r="J776" s="1" t="s">
        <v>33</v>
      </c>
      <c r="L776" s="88" t="str">
        <f>IF(OR(Data[[#This Row],[Service Follow-up Date]]="",Data[[#This Row],[Delivery Date]]=""),"",INT(Data[[#This Row],[Service Follow-up Date]]-Data[[#This Row],[Delivery Date]]))</f>
        <v/>
      </c>
      <c r="Q776" t="str">
        <f>IF(ISBLANK(Data[[#This Row],[Customer Rating]]),"No Rating",IF(Data[[#This Row],[Customer Rating]]&gt;=9,"Promoter",IF(Data[[#This Row],[Customer Rating]]&gt;=7,"Passive","Detractor")))</f>
        <v>No Rating</v>
      </c>
    </row>
    <row r="777" spans="1:17" ht="14.25" customHeight="1" x14ac:dyDescent="0.3">
      <c r="A777" s="1" t="s">
        <v>803</v>
      </c>
      <c r="B777" s="1" t="s">
        <v>32</v>
      </c>
      <c r="C777" s="1" t="s">
        <v>30</v>
      </c>
      <c r="D777" s="1" t="str">
        <f>IF(Data[[#This Row],[Cancellation Status]]="No", "High Potential", "Normal")</f>
        <v>High Potential</v>
      </c>
      <c r="E777" s="2">
        <v>45952</v>
      </c>
      <c r="F777" s="2">
        <v>45954</v>
      </c>
      <c r="G777" s="2">
        <v>45959</v>
      </c>
      <c r="H777" s="2">
        <v>45964</v>
      </c>
      <c r="I777" s="1" t="s">
        <v>17</v>
      </c>
      <c r="K777" s="2">
        <v>45990</v>
      </c>
      <c r="L777" s="88">
        <f>IF(OR(Data[[#This Row],[Service Follow-up Date]]="",Data[[#This Row],[Delivery Date]]=""),"",INT(Data[[#This Row],[Service Follow-up Date]]-Data[[#This Row],[Delivery Date]]))</f>
        <v>26</v>
      </c>
      <c r="M777" s="1">
        <v>2</v>
      </c>
      <c r="N777" s="1">
        <v>5</v>
      </c>
      <c r="O777" s="1">
        <v>5</v>
      </c>
      <c r="P777" s="1">
        <v>10</v>
      </c>
      <c r="Q777" t="str">
        <f>IF(ISBLANK(Data[[#This Row],[Customer Rating]]),"No Rating",IF(Data[[#This Row],[Customer Rating]]&gt;=9,"Promoter",IF(Data[[#This Row],[Customer Rating]]&gt;=7,"Passive","Detractor")))</f>
        <v>Promoter</v>
      </c>
    </row>
    <row r="778" spans="1:17" ht="14.25" customHeight="1" x14ac:dyDescent="0.3">
      <c r="A778" s="1" t="s">
        <v>804</v>
      </c>
      <c r="B778" s="1" t="s">
        <v>32</v>
      </c>
      <c r="C778" s="1" t="s">
        <v>16</v>
      </c>
      <c r="D778" s="1" t="str">
        <f>IF(Data[[#This Row],[Cancellation Status]]="No", "High Potential", "Normal")</f>
        <v>High Potential</v>
      </c>
      <c r="E778" s="2">
        <v>45938</v>
      </c>
      <c r="F778" s="2">
        <v>45940</v>
      </c>
      <c r="G778" s="2">
        <v>45944</v>
      </c>
      <c r="H778" s="2">
        <v>45948</v>
      </c>
      <c r="I778" s="1" t="s">
        <v>17</v>
      </c>
      <c r="K778" s="2">
        <v>45977</v>
      </c>
      <c r="L778" s="88">
        <f>IF(OR(Data[[#This Row],[Service Follow-up Date]]="",Data[[#This Row],[Delivery Date]]=""),"",INT(Data[[#This Row],[Service Follow-up Date]]-Data[[#This Row],[Delivery Date]]))</f>
        <v>29</v>
      </c>
      <c r="M778" s="1">
        <v>2</v>
      </c>
      <c r="N778" s="1">
        <v>4</v>
      </c>
      <c r="O778" s="1">
        <v>4</v>
      </c>
      <c r="P778" s="1">
        <v>1</v>
      </c>
      <c r="Q778" t="str">
        <f>IF(ISBLANK(Data[[#This Row],[Customer Rating]]),"No Rating",IF(Data[[#This Row],[Customer Rating]]&gt;=9,"Promoter",IF(Data[[#This Row],[Customer Rating]]&gt;=7,"Passive","Detractor")))</f>
        <v>Detractor</v>
      </c>
    </row>
    <row r="779" spans="1:17" ht="14.25" customHeight="1" x14ac:dyDescent="0.3">
      <c r="A779" s="1" t="s">
        <v>805</v>
      </c>
      <c r="B779" s="1" t="s">
        <v>15</v>
      </c>
      <c r="C779" s="1" t="s">
        <v>22</v>
      </c>
      <c r="D779" s="1" t="str">
        <f>IF(Data[[#This Row],[Cancellation Status]]="No", "High Potential", "Normal")</f>
        <v>Normal</v>
      </c>
      <c r="E779" s="2">
        <v>45946</v>
      </c>
      <c r="I779" s="1" t="s">
        <v>23</v>
      </c>
      <c r="J779" s="1" t="s">
        <v>63</v>
      </c>
      <c r="L779" s="88" t="str">
        <f>IF(OR(Data[[#This Row],[Service Follow-up Date]]="",Data[[#This Row],[Delivery Date]]=""),"",INT(Data[[#This Row],[Service Follow-up Date]]-Data[[#This Row],[Delivery Date]]))</f>
        <v/>
      </c>
      <c r="Q779" t="str">
        <f>IF(ISBLANK(Data[[#This Row],[Customer Rating]]),"No Rating",IF(Data[[#This Row],[Customer Rating]]&gt;=9,"Promoter",IF(Data[[#This Row],[Customer Rating]]&gt;=7,"Passive","Detractor")))</f>
        <v>No Rating</v>
      </c>
    </row>
    <row r="780" spans="1:17" ht="14.25" customHeight="1" x14ac:dyDescent="0.3">
      <c r="A780" s="1" t="s">
        <v>806</v>
      </c>
      <c r="B780" s="1" t="s">
        <v>19</v>
      </c>
      <c r="C780" s="1" t="s">
        <v>16</v>
      </c>
      <c r="D780" s="1" t="str">
        <f>IF(Data[[#This Row],[Cancellation Status]]="No", "High Potential", "Normal")</f>
        <v>High Potential</v>
      </c>
      <c r="E780" s="2">
        <v>45931</v>
      </c>
      <c r="F780" s="2">
        <v>45935</v>
      </c>
      <c r="G780" s="2">
        <v>45936</v>
      </c>
      <c r="H780" s="2">
        <v>45939</v>
      </c>
      <c r="I780" s="1" t="s">
        <v>17</v>
      </c>
      <c r="K780" s="2">
        <v>45965</v>
      </c>
      <c r="L780" s="88">
        <f>IF(OR(Data[[#This Row],[Service Follow-up Date]]="",Data[[#This Row],[Delivery Date]]=""),"",INT(Data[[#This Row],[Service Follow-up Date]]-Data[[#This Row],[Delivery Date]]))</f>
        <v>26</v>
      </c>
      <c r="M780" s="1">
        <v>4</v>
      </c>
      <c r="N780" s="1">
        <v>1</v>
      </c>
      <c r="O780" s="1">
        <v>3</v>
      </c>
      <c r="P780" s="1">
        <v>3</v>
      </c>
      <c r="Q780" t="str">
        <f>IF(ISBLANK(Data[[#This Row],[Customer Rating]]),"No Rating",IF(Data[[#This Row],[Customer Rating]]&gt;=9,"Promoter",IF(Data[[#This Row],[Customer Rating]]&gt;=7,"Passive","Detractor")))</f>
        <v>Detractor</v>
      </c>
    </row>
    <row r="781" spans="1:17" ht="14.25" customHeight="1" x14ac:dyDescent="0.3">
      <c r="A781" s="1" t="s">
        <v>807</v>
      </c>
      <c r="B781" s="1" t="s">
        <v>15</v>
      </c>
      <c r="C781" s="1" t="s">
        <v>16</v>
      </c>
      <c r="D781" s="1" t="str">
        <f>IF(Data[[#This Row],[Cancellation Status]]="No", "High Potential", "Normal")</f>
        <v>High Potential</v>
      </c>
      <c r="E781" s="2">
        <v>45950</v>
      </c>
      <c r="F781" s="2">
        <v>45955</v>
      </c>
      <c r="G781" s="2">
        <v>45956</v>
      </c>
      <c r="H781" s="2">
        <v>45958</v>
      </c>
      <c r="I781" s="1" t="s">
        <v>17</v>
      </c>
      <c r="K781" s="2">
        <v>45978</v>
      </c>
      <c r="L781" s="88">
        <f>IF(OR(Data[[#This Row],[Service Follow-up Date]]="",Data[[#This Row],[Delivery Date]]=""),"",INT(Data[[#This Row],[Service Follow-up Date]]-Data[[#This Row],[Delivery Date]]))</f>
        <v>20</v>
      </c>
      <c r="M781" s="1">
        <v>5</v>
      </c>
      <c r="N781" s="1">
        <v>1</v>
      </c>
      <c r="O781" s="1">
        <v>2</v>
      </c>
      <c r="P781" s="1">
        <v>2</v>
      </c>
      <c r="Q781" t="str">
        <f>IF(ISBLANK(Data[[#This Row],[Customer Rating]]),"No Rating",IF(Data[[#This Row],[Customer Rating]]&gt;=9,"Promoter",IF(Data[[#This Row],[Customer Rating]]&gt;=7,"Passive","Detractor")))</f>
        <v>Detractor</v>
      </c>
    </row>
    <row r="782" spans="1:17" ht="14.25" customHeight="1" x14ac:dyDescent="0.3">
      <c r="A782" s="1" t="s">
        <v>808</v>
      </c>
      <c r="B782" s="1" t="s">
        <v>19</v>
      </c>
      <c r="C782" s="1" t="s">
        <v>16</v>
      </c>
      <c r="D782" s="1" t="str">
        <f>IF(Data[[#This Row],[Cancellation Status]]="No", "High Potential", "Normal")</f>
        <v>High Potential</v>
      </c>
      <c r="E782" s="2">
        <v>45959</v>
      </c>
      <c r="F782" s="2">
        <v>45960</v>
      </c>
      <c r="G782" s="2">
        <v>45961</v>
      </c>
      <c r="H782" s="2">
        <v>45964</v>
      </c>
      <c r="I782" s="1" t="s">
        <v>17</v>
      </c>
      <c r="K782" s="2">
        <v>45987</v>
      </c>
      <c r="L782" s="88">
        <f>IF(OR(Data[[#This Row],[Service Follow-up Date]]="",Data[[#This Row],[Delivery Date]]=""),"",INT(Data[[#This Row],[Service Follow-up Date]]-Data[[#This Row],[Delivery Date]]))</f>
        <v>23</v>
      </c>
      <c r="M782" s="1">
        <v>1</v>
      </c>
      <c r="N782" s="1">
        <v>1</v>
      </c>
      <c r="O782" s="1">
        <v>3</v>
      </c>
      <c r="P782" s="1">
        <v>2</v>
      </c>
      <c r="Q782" t="str">
        <f>IF(ISBLANK(Data[[#This Row],[Customer Rating]]),"No Rating",IF(Data[[#This Row],[Customer Rating]]&gt;=9,"Promoter",IF(Data[[#This Row],[Customer Rating]]&gt;=7,"Passive","Detractor")))</f>
        <v>Detractor</v>
      </c>
    </row>
    <row r="783" spans="1:17" ht="14.25" customHeight="1" x14ac:dyDescent="0.3">
      <c r="A783" s="1" t="s">
        <v>809</v>
      </c>
      <c r="B783" s="1" t="s">
        <v>21</v>
      </c>
      <c r="C783" s="1" t="s">
        <v>30</v>
      </c>
      <c r="D783" s="1" t="str">
        <f>IF(Data[[#This Row],[Cancellation Status]]="No", "High Potential", "Normal")</f>
        <v>High Potential</v>
      </c>
      <c r="E783" s="2">
        <v>45961</v>
      </c>
      <c r="F783" s="2">
        <v>45962</v>
      </c>
      <c r="G783" s="2">
        <v>45965</v>
      </c>
      <c r="H783" s="2">
        <v>45968</v>
      </c>
      <c r="I783" s="1" t="s">
        <v>17</v>
      </c>
      <c r="K783" s="2">
        <v>45982</v>
      </c>
      <c r="L783" s="88">
        <f>IF(OR(Data[[#This Row],[Service Follow-up Date]]="",Data[[#This Row],[Delivery Date]]=""),"",INT(Data[[#This Row],[Service Follow-up Date]]-Data[[#This Row],[Delivery Date]]))</f>
        <v>14</v>
      </c>
      <c r="M783" s="1">
        <v>1</v>
      </c>
      <c r="N783" s="1">
        <v>3</v>
      </c>
      <c r="O783" s="1">
        <v>3</v>
      </c>
      <c r="P783" s="1">
        <v>4</v>
      </c>
      <c r="Q783" t="str">
        <f>IF(ISBLANK(Data[[#This Row],[Customer Rating]]),"No Rating",IF(Data[[#This Row],[Customer Rating]]&gt;=9,"Promoter",IF(Data[[#This Row],[Customer Rating]]&gt;=7,"Passive","Detractor")))</f>
        <v>Detractor</v>
      </c>
    </row>
    <row r="784" spans="1:17" ht="14.25" customHeight="1" x14ac:dyDescent="0.3">
      <c r="A784" s="1" t="s">
        <v>810</v>
      </c>
      <c r="B784" s="1" t="s">
        <v>21</v>
      </c>
      <c r="C784" s="1" t="s">
        <v>22</v>
      </c>
      <c r="D784" s="1" t="str">
        <f>IF(Data[[#This Row],[Cancellation Status]]="No", "High Potential", "Normal")</f>
        <v>Normal</v>
      </c>
      <c r="E784" s="2">
        <v>45948</v>
      </c>
      <c r="I784" s="1" t="s">
        <v>23</v>
      </c>
      <c r="J784" s="1" t="s">
        <v>24</v>
      </c>
      <c r="L784" s="88" t="str">
        <f>IF(OR(Data[[#This Row],[Service Follow-up Date]]="",Data[[#This Row],[Delivery Date]]=""),"",INT(Data[[#This Row],[Service Follow-up Date]]-Data[[#This Row],[Delivery Date]]))</f>
        <v/>
      </c>
      <c r="Q784" t="str">
        <f>IF(ISBLANK(Data[[#This Row],[Customer Rating]]),"No Rating",IF(Data[[#This Row],[Customer Rating]]&gt;=9,"Promoter",IF(Data[[#This Row],[Customer Rating]]&gt;=7,"Passive","Detractor")))</f>
        <v>No Rating</v>
      </c>
    </row>
    <row r="785" spans="1:17" ht="14.25" customHeight="1" x14ac:dyDescent="0.3">
      <c r="A785" s="1" t="s">
        <v>811</v>
      </c>
      <c r="B785" s="1" t="s">
        <v>32</v>
      </c>
      <c r="C785" s="1" t="s">
        <v>16</v>
      </c>
      <c r="D785" s="1" t="str">
        <f>IF(Data[[#This Row],[Cancellation Status]]="No", "High Potential", "Normal")</f>
        <v>High Potential</v>
      </c>
      <c r="E785" s="2">
        <v>45941</v>
      </c>
      <c r="F785" s="2">
        <v>45946</v>
      </c>
      <c r="G785" s="2">
        <v>45951</v>
      </c>
      <c r="H785" s="2">
        <v>45957</v>
      </c>
      <c r="I785" s="1" t="s">
        <v>17</v>
      </c>
      <c r="K785" s="2">
        <v>45977</v>
      </c>
      <c r="L785" s="88">
        <f>IF(OR(Data[[#This Row],[Service Follow-up Date]]="",Data[[#This Row],[Delivery Date]]=""),"",INT(Data[[#This Row],[Service Follow-up Date]]-Data[[#This Row],[Delivery Date]]))</f>
        <v>20</v>
      </c>
      <c r="M785" s="1">
        <v>5</v>
      </c>
      <c r="N785" s="1">
        <v>5</v>
      </c>
      <c r="O785" s="1">
        <v>6</v>
      </c>
      <c r="P785" s="1">
        <v>9</v>
      </c>
      <c r="Q785" t="str">
        <f>IF(ISBLANK(Data[[#This Row],[Customer Rating]]),"No Rating",IF(Data[[#This Row],[Customer Rating]]&gt;=9,"Promoter",IF(Data[[#This Row],[Customer Rating]]&gt;=7,"Passive","Detractor")))</f>
        <v>Promoter</v>
      </c>
    </row>
    <row r="786" spans="1:17" ht="14.25" customHeight="1" x14ac:dyDescent="0.3">
      <c r="A786" s="1" t="s">
        <v>812</v>
      </c>
      <c r="B786" s="1" t="s">
        <v>19</v>
      </c>
      <c r="C786" s="1" t="s">
        <v>22</v>
      </c>
      <c r="D786" s="1" t="str">
        <f>IF(Data[[#This Row],[Cancellation Status]]="No", "High Potential", "Normal")</f>
        <v>Normal</v>
      </c>
      <c r="E786" s="2">
        <v>45960</v>
      </c>
      <c r="I786" s="1" t="s">
        <v>23</v>
      </c>
      <c r="J786" s="1" t="s">
        <v>63</v>
      </c>
      <c r="L786" s="88" t="str">
        <f>IF(OR(Data[[#This Row],[Service Follow-up Date]]="",Data[[#This Row],[Delivery Date]]=""),"",INT(Data[[#This Row],[Service Follow-up Date]]-Data[[#This Row],[Delivery Date]]))</f>
        <v/>
      </c>
      <c r="Q786" t="str">
        <f>IF(ISBLANK(Data[[#This Row],[Customer Rating]]),"No Rating",IF(Data[[#This Row],[Customer Rating]]&gt;=9,"Promoter",IF(Data[[#This Row],[Customer Rating]]&gt;=7,"Passive","Detractor")))</f>
        <v>No Rating</v>
      </c>
    </row>
    <row r="787" spans="1:17" ht="14.25" customHeight="1" x14ac:dyDescent="0.3">
      <c r="A787" s="1" t="s">
        <v>813</v>
      </c>
      <c r="B787" s="1" t="s">
        <v>21</v>
      </c>
      <c r="C787" s="1" t="s">
        <v>30</v>
      </c>
      <c r="D787" s="1" t="str">
        <f>IF(Data[[#This Row],[Cancellation Status]]="No", "High Potential", "Normal")</f>
        <v>High Potential</v>
      </c>
      <c r="E787" s="2">
        <v>45950</v>
      </c>
      <c r="F787" s="2">
        <v>45952</v>
      </c>
      <c r="G787" s="2">
        <v>45953</v>
      </c>
      <c r="H787" s="2">
        <v>45955</v>
      </c>
      <c r="I787" s="1" t="s">
        <v>17</v>
      </c>
      <c r="K787" s="2">
        <v>45980</v>
      </c>
      <c r="L787" s="88">
        <f>IF(OR(Data[[#This Row],[Service Follow-up Date]]="",Data[[#This Row],[Delivery Date]]=""),"",INT(Data[[#This Row],[Service Follow-up Date]]-Data[[#This Row],[Delivery Date]]))</f>
        <v>25</v>
      </c>
      <c r="M787" s="1">
        <v>2</v>
      </c>
      <c r="N787" s="1">
        <v>1</v>
      </c>
      <c r="O787" s="1">
        <v>2</v>
      </c>
      <c r="P787" s="1">
        <v>7</v>
      </c>
      <c r="Q787" t="str">
        <f>IF(ISBLANK(Data[[#This Row],[Customer Rating]]),"No Rating",IF(Data[[#This Row],[Customer Rating]]&gt;=9,"Promoter",IF(Data[[#This Row],[Customer Rating]]&gt;=7,"Passive","Detractor")))</f>
        <v>Passive</v>
      </c>
    </row>
    <row r="788" spans="1:17" ht="14.25" customHeight="1" x14ac:dyDescent="0.3">
      <c r="A788" s="1" t="s">
        <v>814</v>
      </c>
      <c r="B788" s="1" t="s">
        <v>19</v>
      </c>
      <c r="C788" s="1" t="s">
        <v>22</v>
      </c>
      <c r="D788" s="1" t="str">
        <f>IF(Data[[#This Row],[Cancellation Status]]="No", "High Potential", "Normal")</f>
        <v>Normal</v>
      </c>
      <c r="E788" s="2">
        <v>45938</v>
      </c>
      <c r="I788" s="1" t="s">
        <v>23</v>
      </c>
      <c r="J788" s="1" t="s">
        <v>101</v>
      </c>
      <c r="L788" s="88" t="str">
        <f>IF(OR(Data[[#This Row],[Service Follow-up Date]]="",Data[[#This Row],[Delivery Date]]=""),"",INT(Data[[#This Row],[Service Follow-up Date]]-Data[[#This Row],[Delivery Date]]))</f>
        <v/>
      </c>
      <c r="Q788" t="str">
        <f>IF(ISBLANK(Data[[#This Row],[Customer Rating]]),"No Rating",IF(Data[[#This Row],[Customer Rating]]&gt;=9,"Promoter",IF(Data[[#This Row],[Customer Rating]]&gt;=7,"Passive","Detractor")))</f>
        <v>No Rating</v>
      </c>
    </row>
    <row r="789" spans="1:17" ht="14.25" customHeight="1" x14ac:dyDescent="0.3">
      <c r="A789" s="1" t="s">
        <v>815</v>
      </c>
      <c r="B789" s="1" t="s">
        <v>21</v>
      </c>
      <c r="C789" s="1" t="s">
        <v>16</v>
      </c>
      <c r="D789" s="1" t="str">
        <f>IF(Data[[#This Row],[Cancellation Status]]="No", "High Potential", "Normal")</f>
        <v>High Potential</v>
      </c>
      <c r="E789" s="2">
        <v>45951</v>
      </c>
      <c r="F789" s="2">
        <v>45954</v>
      </c>
      <c r="G789" s="2">
        <v>45959</v>
      </c>
      <c r="H789" s="2">
        <v>45962</v>
      </c>
      <c r="I789" s="1" t="s">
        <v>17</v>
      </c>
      <c r="K789" s="2">
        <v>45983</v>
      </c>
      <c r="L789" s="88">
        <f>IF(OR(Data[[#This Row],[Service Follow-up Date]]="",Data[[#This Row],[Delivery Date]]=""),"",INT(Data[[#This Row],[Service Follow-up Date]]-Data[[#This Row],[Delivery Date]]))</f>
        <v>21</v>
      </c>
      <c r="M789" s="1">
        <v>3</v>
      </c>
      <c r="N789" s="1">
        <v>5</v>
      </c>
      <c r="O789" s="1">
        <v>3</v>
      </c>
      <c r="P789" s="1">
        <v>3</v>
      </c>
      <c r="Q789" t="str">
        <f>IF(ISBLANK(Data[[#This Row],[Customer Rating]]),"No Rating",IF(Data[[#This Row],[Customer Rating]]&gt;=9,"Promoter",IF(Data[[#This Row],[Customer Rating]]&gt;=7,"Passive","Detractor")))</f>
        <v>Detractor</v>
      </c>
    </row>
    <row r="790" spans="1:17" ht="14.25" customHeight="1" x14ac:dyDescent="0.3">
      <c r="A790" s="1" t="s">
        <v>816</v>
      </c>
      <c r="B790" s="1" t="s">
        <v>15</v>
      </c>
      <c r="C790" s="1" t="s">
        <v>30</v>
      </c>
      <c r="D790" s="1" t="str">
        <f>IF(Data[[#This Row],[Cancellation Status]]="No", "High Potential", "Normal")</f>
        <v>High Potential</v>
      </c>
      <c r="E790" s="2">
        <v>45933</v>
      </c>
      <c r="F790" s="2">
        <v>45935</v>
      </c>
      <c r="G790" s="2">
        <v>45940</v>
      </c>
      <c r="H790" s="2">
        <v>45942</v>
      </c>
      <c r="I790" s="1" t="s">
        <v>17</v>
      </c>
      <c r="K790" s="2">
        <v>45958</v>
      </c>
      <c r="L790" s="88">
        <f>IF(OR(Data[[#This Row],[Service Follow-up Date]]="",Data[[#This Row],[Delivery Date]]=""),"",INT(Data[[#This Row],[Service Follow-up Date]]-Data[[#This Row],[Delivery Date]]))</f>
        <v>16</v>
      </c>
      <c r="M790" s="1">
        <v>2</v>
      </c>
      <c r="N790" s="1">
        <v>5</v>
      </c>
      <c r="O790" s="1">
        <v>2</v>
      </c>
      <c r="P790" s="1">
        <v>3</v>
      </c>
      <c r="Q790" t="str">
        <f>IF(ISBLANK(Data[[#This Row],[Customer Rating]]),"No Rating",IF(Data[[#This Row],[Customer Rating]]&gt;=9,"Promoter",IF(Data[[#This Row],[Customer Rating]]&gt;=7,"Passive","Detractor")))</f>
        <v>Detractor</v>
      </c>
    </row>
    <row r="791" spans="1:17" ht="14.25" customHeight="1" x14ac:dyDescent="0.3">
      <c r="A791" s="1" t="s">
        <v>817</v>
      </c>
      <c r="B791" s="1" t="s">
        <v>21</v>
      </c>
      <c r="C791" s="1" t="s">
        <v>30</v>
      </c>
      <c r="D791" s="1" t="str">
        <f>IF(Data[[#This Row],[Cancellation Status]]="No", "High Potential", "Normal")</f>
        <v>High Potential</v>
      </c>
      <c r="E791" s="2">
        <v>45951</v>
      </c>
      <c r="F791" s="2">
        <v>45953</v>
      </c>
      <c r="G791" s="2">
        <v>45956</v>
      </c>
      <c r="H791" s="2">
        <v>45959</v>
      </c>
      <c r="I791" s="1" t="s">
        <v>17</v>
      </c>
      <c r="K791" s="2">
        <v>45974</v>
      </c>
      <c r="L791" s="88">
        <f>IF(OR(Data[[#This Row],[Service Follow-up Date]]="",Data[[#This Row],[Delivery Date]]=""),"",INT(Data[[#This Row],[Service Follow-up Date]]-Data[[#This Row],[Delivery Date]]))</f>
        <v>15</v>
      </c>
      <c r="M791" s="1">
        <v>2</v>
      </c>
      <c r="N791" s="1">
        <v>3</v>
      </c>
      <c r="O791" s="1">
        <v>3</v>
      </c>
      <c r="P791" s="1">
        <v>3</v>
      </c>
      <c r="Q791" t="str">
        <f>IF(ISBLANK(Data[[#This Row],[Customer Rating]]),"No Rating",IF(Data[[#This Row],[Customer Rating]]&gt;=9,"Promoter",IF(Data[[#This Row],[Customer Rating]]&gt;=7,"Passive","Detractor")))</f>
        <v>Detractor</v>
      </c>
    </row>
    <row r="792" spans="1:17" ht="14.25" customHeight="1" x14ac:dyDescent="0.3">
      <c r="A792" s="1" t="s">
        <v>818</v>
      </c>
      <c r="B792" s="1" t="s">
        <v>15</v>
      </c>
      <c r="C792" s="1" t="s">
        <v>16</v>
      </c>
      <c r="D792" s="1" t="str">
        <f>IF(Data[[#This Row],[Cancellation Status]]="No", "High Potential", "Normal")</f>
        <v>High Potential</v>
      </c>
      <c r="E792" s="2">
        <v>45957</v>
      </c>
      <c r="F792" s="2">
        <v>45960</v>
      </c>
      <c r="G792" s="2">
        <v>45964</v>
      </c>
      <c r="H792" s="2">
        <v>45969</v>
      </c>
      <c r="I792" s="1" t="s">
        <v>17</v>
      </c>
      <c r="K792" s="2">
        <v>45991</v>
      </c>
      <c r="L792" s="88">
        <f>IF(OR(Data[[#This Row],[Service Follow-up Date]]="",Data[[#This Row],[Delivery Date]]=""),"",INT(Data[[#This Row],[Service Follow-up Date]]-Data[[#This Row],[Delivery Date]]))</f>
        <v>22</v>
      </c>
      <c r="M792" s="1">
        <v>3</v>
      </c>
      <c r="N792" s="1">
        <v>4</v>
      </c>
      <c r="O792" s="1">
        <v>5</v>
      </c>
      <c r="P792" s="1">
        <v>5</v>
      </c>
      <c r="Q792" t="str">
        <f>IF(ISBLANK(Data[[#This Row],[Customer Rating]]),"No Rating",IF(Data[[#This Row],[Customer Rating]]&gt;=9,"Promoter",IF(Data[[#This Row],[Customer Rating]]&gt;=7,"Passive","Detractor")))</f>
        <v>Detractor</v>
      </c>
    </row>
    <row r="793" spans="1:17" ht="14.25" customHeight="1" x14ac:dyDescent="0.3">
      <c r="A793" s="1" t="s">
        <v>819</v>
      </c>
      <c r="B793" s="1" t="s">
        <v>21</v>
      </c>
      <c r="C793" s="1" t="s">
        <v>16</v>
      </c>
      <c r="D793" s="1" t="str">
        <f>IF(Data[[#This Row],[Cancellation Status]]="No", "High Potential", "Normal")</f>
        <v>High Potential</v>
      </c>
      <c r="E793" s="2">
        <v>45945</v>
      </c>
      <c r="F793" s="2">
        <v>45947</v>
      </c>
      <c r="G793" s="2">
        <v>45948</v>
      </c>
      <c r="H793" s="2">
        <v>45953</v>
      </c>
      <c r="I793" s="1" t="s">
        <v>17</v>
      </c>
      <c r="K793" s="2">
        <v>45963</v>
      </c>
      <c r="L793" s="88">
        <f>IF(OR(Data[[#This Row],[Service Follow-up Date]]="",Data[[#This Row],[Delivery Date]]=""),"",INT(Data[[#This Row],[Service Follow-up Date]]-Data[[#This Row],[Delivery Date]]))</f>
        <v>10</v>
      </c>
      <c r="M793" s="1">
        <v>2</v>
      </c>
      <c r="N793" s="1">
        <v>1</v>
      </c>
      <c r="O793" s="1">
        <v>5</v>
      </c>
      <c r="P793" s="1">
        <v>8</v>
      </c>
      <c r="Q793" t="str">
        <f>IF(ISBLANK(Data[[#This Row],[Customer Rating]]),"No Rating",IF(Data[[#This Row],[Customer Rating]]&gt;=9,"Promoter",IF(Data[[#This Row],[Customer Rating]]&gt;=7,"Passive","Detractor")))</f>
        <v>Passive</v>
      </c>
    </row>
    <row r="794" spans="1:17" ht="14.25" customHeight="1" x14ac:dyDescent="0.3">
      <c r="A794" s="1" t="s">
        <v>820</v>
      </c>
      <c r="B794" s="1" t="s">
        <v>32</v>
      </c>
      <c r="C794" s="1" t="s">
        <v>22</v>
      </c>
      <c r="D794" s="1" t="str">
        <f>IF(Data[[#This Row],[Cancellation Status]]="No", "High Potential", "Normal")</f>
        <v>Normal</v>
      </c>
      <c r="E794" s="2">
        <v>45960</v>
      </c>
      <c r="I794" s="1" t="s">
        <v>23</v>
      </c>
      <c r="J794" s="1" t="s">
        <v>101</v>
      </c>
      <c r="L794" s="88" t="str">
        <f>IF(OR(Data[[#This Row],[Service Follow-up Date]]="",Data[[#This Row],[Delivery Date]]=""),"",INT(Data[[#This Row],[Service Follow-up Date]]-Data[[#This Row],[Delivery Date]]))</f>
        <v/>
      </c>
      <c r="Q794" t="str">
        <f>IF(ISBLANK(Data[[#This Row],[Customer Rating]]),"No Rating",IF(Data[[#This Row],[Customer Rating]]&gt;=9,"Promoter",IF(Data[[#This Row],[Customer Rating]]&gt;=7,"Passive","Detractor")))</f>
        <v>No Rating</v>
      </c>
    </row>
    <row r="795" spans="1:17" ht="14.25" customHeight="1" x14ac:dyDescent="0.3">
      <c r="A795" s="1" t="s">
        <v>821</v>
      </c>
      <c r="B795" s="1" t="s">
        <v>15</v>
      </c>
      <c r="C795" s="1" t="s">
        <v>30</v>
      </c>
      <c r="D795" s="1" t="str">
        <f>IF(Data[[#This Row],[Cancellation Status]]="No", "High Potential", "Normal")</f>
        <v>High Potential</v>
      </c>
      <c r="E795" s="2">
        <v>45953</v>
      </c>
      <c r="F795" s="2">
        <v>45956</v>
      </c>
      <c r="G795" s="2">
        <v>45959</v>
      </c>
      <c r="H795" s="2">
        <v>45963</v>
      </c>
      <c r="I795" s="1" t="s">
        <v>17</v>
      </c>
      <c r="K795" s="2">
        <v>45980</v>
      </c>
      <c r="L795" s="88">
        <f>IF(OR(Data[[#This Row],[Service Follow-up Date]]="",Data[[#This Row],[Delivery Date]]=""),"",INT(Data[[#This Row],[Service Follow-up Date]]-Data[[#This Row],[Delivery Date]]))</f>
        <v>17</v>
      </c>
      <c r="M795" s="1">
        <v>3</v>
      </c>
      <c r="N795" s="1">
        <v>3</v>
      </c>
      <c r="O795" s="1">
        <v>4</v>
      </c>
      <c r="P795" s="1">
        <v>1</v>
      </c>
      <c r="Q795" t="str">
        <f>IF(ISBLANK(Data[[#This Row],[Customer Rating]]),"No Rating",IF(Data[[#This Row],[Customer Rating]]&gt;=9,"Promoter",IF(Data[[#This Row],[Customer Rating]]&gt;=7,"Passive","Detractor")))</f>
        <v>Detractor</v>
      </c>
    </row>
    <row r="796" spans="1:17" ht="14.25" customHeight="1" x14ac:dyDescent="0.3">
      <c r="A796" s="1" t="s">
        <v>822</v>
      </c>
      <c r="B796" s="1" t="s">
        <v>21</v>
      </c>
      <c r="C796" s="1" t="s">
        <v>30</v>
      </c>
      <c r="D796" s="1" t="str">
        <f>IF(Data[[#This Row],[Cancellation Status]]="No", "High Potential", "Normal")</f>
        <v>High Potential</v>
      </c>
      <c r="E796" s="2">
        <v>45940</v>
      </c>
      <c r="F796" s="2">
        <v>45945</v>
      </c>
      <c r="G796" s="2">
        <v>45949</v>
      </c>
      <c r="H796" s="2">
        <v>45954</v>
      </c>
      <c r="I796" s="1" t="s">
        <v>17</v>
      </c>
      <c r="K796" s="2">
        <v>45971</v>
      </c>
      <c r="L796" s="88">
        <f>IF(OR(Data[[#This Row],[Service Follow-up Date]]="",Data[[#This Row],[Delivery Date]]=""),"",INT(Data[[#This Row],[Service Follow-up Date]]-Data[[#This Row],[Delivery Date]]))</f>
        <v>17</v>
      </c>
      <c r="M796" s="1">
        <v>5</v>
      </c>
      <c r="N796" s="1">
        <v>4</v>
      </c>
      <c r="O796" s="1">
        <v>5</v>
      </c>
      <c r="P796" s="1">
        <v>10</v>
      </c>
      <c r="Q796" t="str">
        <f>IF(ISBLANK(Data[[#This Row],[Customer Rating]]),"No Rating",IF(Data[[#This Row],[Customer Rating]]&gt;=9,"Promoter",IF(Data[[#This Row],[Customer Rating]]&gt;=7,"Passive","Detractor")))</f>
        <v>Promoter</v>
      </c>
    </row>
    <row r="797" spans="1:17" ht="14.25" customHeight="1" x14ac:dyDescent="0.3">
      <c r="A797" s="1" t="s">
        <v>823</v>
      </c>
      <c r="B797" s="1" t="s">
        <v>32</v>
      </c>
      <c r="C797" s="1" t="s">
        <v>16</v>
      </c>
      <c r="D797" s="1" t="str">
        <f>IF(Data[[#This Row],[Cancellation Status]]="No", "High Potential", "Normal")</f>
        <v>High Potential</v>
      </c>
      <c r="E797" s="2">
        <v>45951</v>
      </c>
      <c r="F797" s="2">
        <v>45954</v>
      </c>
      <c r="G797" s="2">
        <v>45958</v>
      </c>
      <c r="H797" s="2">
        <v>45960</v>
      </c>
      <c r="I797" s="1" t="s">
        <v>17</v>
      </c>
      <c r="K797" s="2">
        <v>45974</v>
      </c>
      <c r="L797" s="88">
        <f>IF(OR(Data[[#This Row],[Service Follow-up Date]]="",Data[[#This Row],[Delivery Date]]=""),"",INT(Data[[#This Row],[Service Follow-up Date]]-Data[[#This Row],[Delivery Date]]))</f>
        <v>14</v>
      </c>
      <c r="M797" s="1">
        <v>3</v>
      </c>
      <c r="N797" s="1">
        <v>4</v>
      </c>
      <c r="O797" s="1">
        <v>2</v>
      </c>
      <c r="P797" s="1">
        <v>4</v>
      </c>
      <c r="Q797" t="str">
        <f>IF(ISBLANK(Data[[#This Row],[Customer Rating]]),"No Rating",IF(Data[[#This Row],[Customer Rating]]&gt;=9,"Promoter",IF(Data[[#This Row],[Customer Rating]]&gt;=7,"Passive","Detractor")))</f>
        <v>Detractor</v>
      </c>
    </row>
    <row r="798" spans="1:17" ht="14.25" customHeight="1" x14ac:dyDescent="0.3">
      <c r="A798" s="1" t="s">
        <v>824</v>
      </c>
      <c r="B798" s="1" t="s">
        <v>15</v>
      </c>
      <c r="C798" s="1" t="s">
        <v>16</v>
      </c>
      <c r="D798" s="1" t="str">
        <f>IF(Data[[#This Row],[Cancellation Status]]="No", "High Potential", "Normal")</f>
        <v>High Potential</v>
      </c>
      <c r="E798" s="2">
        <v>45944</v>
      </c>
      <c r="F798" s="2">
        <v>45945</v>
      </c>
      <c r="G798" s="2">
        <v>45946</v>
      </c>
      <c r="H798" s="2">
        <v>45952</v>
      </c>
      <c r="I798" s="1" t="s">
        <v>17</v>
      </c>
      <c r="K798" s="2">
        <v>45968</v>
      </c>
      <c r="L798" s="88">
        <f>IF(OR(Data[[#This Row],[Service Follow-up Date]]="",Data[[#This Row],[Delivery Date]]=""),"",INT(Data[[#This Row],[Service Follow-up Date]]-Data[[#This Row],[Delivery Date]]))</f>
        <v>16</v>
      </c>
      <c r="M798" s="1">
        <v>1</v>
      </c>
      <c r="N798" s="1">
        <v>1</v>
      </c>
      <c r="O798" s="1">
        <v>6</v>
      </c>
      <c r="P798" s="1">
        <v>8</v>
      </c>
      <c r="Q798" t="str">
        <f>IF(ISBLANK(Data[[#This Row],[Customer Rating]]),"No Rating",IF(Data[[#This Row],[Customer Rating]]&gt;=9,"Promoter",IF(Data[[#This Row],[Customer Rating]]&gt;=7,"Passive","Detractor")))</f>
        <v>Passive</v>
      </c>
    </row>
    <row r="799" spans="1:17" ht="14.25" customHeight="1" x14ac:dyDescent="0.3">
      <c r="A799" s="1" t="s">
        <v>825</v>
      </c>
      <c r="B799" s="1" t="s">
        <v>32</v>
      </c>
      <c r="C799" s="1" t="s">
        <v>16</v>
      </c>
      <c r="D799" s="1" t="str">
        <f>IF(Data[[#This Row],[Cancellation Status]]="No", "High Potential", "Normal")</f>
        <v>High Potential</v>
      </c>
      <c r="E799" s="2">
        <v>45934</v>
      </c>
      <c r="F799" s="2">
        <v>45937</v>
      </c>
      <c r="G799" s="2">
        <v>45942</v>
      </c>
      <c r="H799" s="2">
        <v>45946</v>
      </c>
      <c r="I799" s="1" t="s">
        <v>17</v>
      </c>
      <c r="K799" s="2">
        <v>45956</v>
      </c>
      <c r="L799" s="88">
        <f>IF(OR(Data[[#This Row],[Service Follow-up Date]]="",Data[[#This Row],[Delivery Date]]=""),"",INT(Data[[#This Row],[Service Follow-up Date]]-Data[[#This Row],[Delivery Date]]))</f>
        <v>10</v>
      </c>
      <c r="M799" s="1">
        <v>3</v>
      </c>
      <c r="N799" s="1">
        <v>5</v>
      </c>
      <c r="O799" s="1">
        <v>4</v>
      </c>
      <c r="P799" s="1">
        <v>7</v>
      </c>
      <c r="Q799" t="str">
        <f>IF(ISBLANK(Data[[#This Row],[Customer Rating]]),"No Rating",IF(Data[[#This Row],[Customer Rating]]&gt;=9,"Promoter",IF(Data[[#This Row],[Customer Rating]]&gt;=7,"Passive","Detractor")))</f>
        <v>Passive</v>
      </c>
    </row>
    <row r="800" spans="1:17" ht="14.25" customHeight="1" x14ac:dyDescent="0.3">
      <c r="A800" s="1" t="s">
        <v>826</v>
      </c>
      <c r="B800" s="1" t="s">
        <v>19</v>
      </c>
      <c r="C800" s="1" t="s">
        <v>22</v>
      </c>
      <c r="D800" s="1" t="str">
        <f>IF(Data[[#This Row],[Cancellation Status]]="No", "High Potential", "Normal")</f>
        <v>Normal</v>
      </c>
      <c r="E800" s="2">
        <v>45935</v>
      </c>
      <c r="I800" s="1" t="s">
        <v>23</v>
      </c>
      <c r="J800" s="1" t="s">
        <v>101</v>
      </c>
      <c r="L800" s="88" t="str">
        <f>IF(OR(Data[[#This Row],[Service Follow-up Date]]="",Data[[#This Row],[Delivery Date]]=""),"",INT(Data[[#This Row],[Service Follow-up Date]]-Data[[#This Row],[Delivery Date]]))</f>
        <v/>
      </c>
      <c r="Q800" t="str">
        <f>IF(ISBLANK(Data[[#This Row],[Customer Rating]]),"No Rating",IF(Data[[#This Row],[Customer Rating]]&gt;=9,"Promoter",IF(Data[[#This Row],[Customer Rating]]&gt;=7,"Passive","Detractor")))</f>
        <v>No Rating</v>
      </c>
    </row>
    <row r="801" spans="1:17" ht="14.25" customHeight="1" x14ac:dyDescent="0.3">
      <c r="A801" s="1" t="s">
        <v>827</v>
      </c>
      <c r="B801" s="1" t="s">
        <v>19</v>
      </c>
      <c r="C801" s="1" t="s">
        <v>22</v>
      </c>
      <c r="D801" s="1" t="str">
        <f>IF(Data[[#This Row],[Cancellation Status]]="No", "High Potential", "Normal")</f>
        <v>Normal</v>
      </c>
      <c r="E801" s="2">
        <v>45932</v>
      </c>
      <c r="I801" s="1" t="s">
        <v>23</v>
      </c>
      <c r="J801" s="1" t="s">
        <v>63</v>
      </c>
      <c r="L801" s="88" t="str">
        <f>IF(OR(Data[[#This Row],[Service Follow-up Date]]="",Data[[#This Row],[Delivery Date]]=""),"",INT(Data[[#This Row],[Service Follow-up Date]]-Data[[#This Row],[Delivery Date]]))</f>
        <v/>
      </c>
      <c r="Q801" t="str">
        <f>IF(ISBLANK(Data[[#This Row],[Customer Rating]]),"No Rating",IF(Data[[#This Row],[Customer Rating]]&gt;=9,"Promoter",IF(Data[[#This Row],[Customer Rating]]&gt;=7,"Passive","Detractor")))</f>
        <v>No Rating</v>
      </c>
    </row>
    <row r="802" spans="1:17" ht="14.25" customHeight="1" x14ac:dyDescent="0.3">
      <c r="A802" s="1" t="s">
        <v>828</v>
      </c>
      <c r="B802" s="1" t="s">
        <v>15</v>
      </c>
      <c r="C802" s="1" t="s">
        <v>22</v>
      </c>
      <c r="D802" s="1" t="str">
        <f>IF(Data[[#This Row],[Cancellation Status]]="No", "High Potential", "Normal")</f>
        <v>Normal</v>
      </c>
      <c r="E802" s="2">
        <v>45961</v>
      </c>
      <c r="I802" s="1" t="s">
        <v>23</v>
      </c>
      <c r="J802" s="1" t="s">
        <v>24</v>
      </c>
      <c r="L802" s="88" t="str">
        <f>IF(OR(Data[[#This Row],[Service Follow-up Date]]="",Data[[#This Row],[Delivery Date]]=""),"",INT(Data[[#This Row],[Service Follow-up Date]]-Data[[#This Row],[Delivery Date]]))</f>
        <v/>
      </c>
      <c r="Q802" t="str">
        <f>IF(ISBLANK(Data[[#This Row],[Customer Rating]]),"No Rating",IF(Data[[#This Row],[Customer Rating]]&gt;=9,"Promoter",IF(Data[[#This Row],[Customer Rating]]&gt;=7,"Passive","Detractor")))</f>
        <v>No Rating</v>
      </c>
    </row>
    <row r="803" spans="1:17" ht="14.25" customHeight="1" x14ac:dyDescent="0.3">
      <c r="A803" s="1" t="s">
        <v>829</v>
      </c>
      <c r="B803" s="1" t="s">
        <v>21</v>
      </c>
      <c r="C803" s="1" t="s">
        <v>16</v>
      </c>
      <c r="D803" s="1" t="str">
        <f>IF(Data[[#This Row],[Cancellation Status]]="No", "High Potential", "Normal")</f>
        <v>Normal</v>
      </c>
      <c r="E803" s="2">
        <v>45932</v>
      </c>
      <c r="F803" s="2">
        <v>45934</v>
      </c>
      <c r="G803" s="2">
        <v>45936</v>
      </c>
      <c r="H803" s="2">
        <v>45939</v>
      </c>
      <c r="I803" s="1" t="s">
        <v>23</v>
      </c>
      <c r="J803" s="1" t="s">
        <v>101</v>
      </c>
      <c r="L803" s="88" t="str">
        <f>IF(OR(Data[[#This Row],[Service Follow-up Date]]="",Data[[#This Row],[Delivery Date]]=""),"",INT(Data[[#This Row],[Service Follow-up Date]]-Data[[#This Row],[Delivery Date]]))</f>
        <v/>
      </c>
      <c r="M803" s="1">
        <v>2</v>
      </c>
      <c r="N803" s="1">
        <v>2</v>
      </c>
      <c r="O803" s="1">
        <v>3</v>
      </c>
      <c r="Q803" t="str">
        <f>IF(ISBLANK(Data[[#This Row],[Customer Rating]]),"No Rating",IF(Data[[#This Row],[Customer Rating]]&gt;=9,"Promoter",IF(Data[[#This Row],[Customer Rating]]&gt;=7,"Passive","Detractor")))</f>
        <v>No Rating</v>
      </c>
    </row>
    <row r="804" spans="1:17" ht="14.25" customHeight="1" x14ac:dyDescent="0.3">
      <c r="A804" s="1" t="s">
        <v>830</v>
      </c>
      <c r="B804" s="1" t="s">
        <v>15</v>
      </c>
      <c r="C804" s="1" t="s">
        <v>16</v>
      </c>
      <c r="D804" s="1" t="str">
        <f>IF(Data[[#This Row],[Cancellation Status]]="No", "High Potential", "Normal")</f>
        <v>High Potential</v>
      </c>
      <c r="E804" s="2">
        <v>45940</v>
      </c>
      <c r="F804" s="2">
        <v>45945</v>
      </c>
      <c r="G804" s="2">
        <v>45950</v>
      </c>
      <c r="H804" s="2">
        <v>45955</v>
      </c>
      <c r="I804" s="1" t="s">
        <v>17</v>
      </c>
      <c r="K804" s="2">
        <v>45983</v>
      </c>
      <c r="L804" s="88">
        <f>IF(OR(Data[[#This Row],[Service Follow-up Date]]="",Data[[#This Row],[Delivery Date]]=""),"",INT(Data[[#This Row],[Service Follow-up Date]]-Data[[#This Row],[Delivery Date]]))</f>
        <v>28</v>
      </c>
      <c r="M804" s="1">
        <v>5</v>
      </c>
      <c r="N804" s="1">
        <v>5</v>
      </c>
      <c r="O804" s="1">
        <v>5</v>
      </c>
      <c r="P804" s="1">
        <v>10</v>
      </c>
      <c r="Q804" t="str">
        <f>IF(ISBLANK(Data[[#This Row],[Customer Rating]]),"No Rating",IF(Data[[#This Row],[Customer Rating]]&gt;=9,"Promoter",IF(Data[[#This Row],[Customer Rating]]&gt;=7,"Passive","Detractor")))</f>
        <v>Promoter</v>
      </c>
    </row>
    <row r="805" spans="1:17" ht="14.25" customHeight="1" x14ac:dyDescent="0.3">
      <c r="A805" s="1" t="s">
        <v>831</v>
      </c>
      <c r="B805" s="1" t="s">
        <v>32</v>
      </c>
      <c r="C805" s="1" t="s">
        <v>16</v>
      </c>
      <c r="D805" s="1" t="str">
        <f>IF(Data[[#This Row],[Cancellation Status]]="No", "High Potential", "Normal")</f>
        <v>High Potential</v>
      </c>
      <c r="E805" s="2">
        <v>45946</v>
      </c>
      <c r="F805" s="2">
        <v>45949</v>
      </c>
      <c r="G805" s="2">
        <v>45954</v>
      </c>
      <c r="H805" s="2">
        <v>45958</v>
      </c>
      <c r="I805" s="1" t="s">
        <v>17</v>
      </c>
      <c r="K805" s="2">
        <v>45984</v>
      </c>
      <c r="L805" s="88">
        <f>IF(OR(Data[[#This Row],[Service Follow-up Date]]="",Data[[#This Row],[Delivery Date]]=""),"",INT(Data[[#This Row],[Service Follow-up Date]]-Data[[#This Row],[Delivery Date]]))</f>
        <v>26</v>
      </c>
      <c r="M805" s="1">
        <v>3</v>
      </c>
      <c r="N805" s="1">
        <v>5</v>
      </c>
      <c r="O805" s="1">
        <v>4</v>
      </c>
      <c r="P805" s="1">
        <v>1</v>
      </c>
      <c r="Q805" t="str">
        <f>IF(ISBLANK(Data[[#This Row],[Customer Rating]]),"No Rating",IF(Data[[#This Row],[Customer Rating]]&gt;=9,"Promoter",IF(Data[[#This Row],[Customer Rating]]&gt;=7,"Passive","Detractor")))</f>
        <v>Detractor</v>
      </c>
    </row>
    <row r="806" spans="1:17" ht="14.25" customHeight="1" x14ac:dyDescent="0.3">
      <c r="A806" s="1" t="s">
        <v>832</v>
      </c>
      <c r="B806" s="1" t="s">
        <v>21</v>
      </c>
      <c r="C806" s="1" t="s">
        <v>16</v>
      </c>
      <c r="D806" s="1" t="str">
        <f>IF(Data[[#This Row],[Cancellation Status]]="No", "High Potential", "Normal")</f>
        <v>High Potential</v>
      </c>
      <c r="E806" s="2">
        <v>45934</v>
      </c>
      <c r="F806" s="2">
        <v>45936</v>
      </c>
      <c r="G806" s="2">
        <v>45938</v>
      </c>
      <c r="H806" s="2">
        <v>45943</v>
      </c>
      <c r="I806" s="1" t="s">
        <v>17</v>
      </c>
      <c r="K806" s="2">
        <v>45958</v>
      </c>
      <c r="L806" s="88">
        <f>IF(OR(Data[[#This Row],[Service Follow-up Date]]="",Data[[#This Row],[Delivery Date]]=""),"",INT(Data[[#This Row],[Service Follow-up Date]]-Data[[#This Row],[Delivery Date]]))</f>
        <v>15</v>
      </c>
      <c r="M806" s="1">
        <v>2</v>
      </c>
      <c r="N806" s="1">
        <v>2</v>
      </c>
      <c r="O806" s="1">
        <v>5</v>
      </c>
      <c r="P806" s="1">
        <v>9</v>
      </c>
      <c r="Q806" t="str">
        <f>IF(ISBLANK(Data[[#This Row],[Customer Rating]]),"No Rating",IF(Data[[#This Row],[Customer Rating]]&gt;=9,"Promoter",IF(Data[[#This Row],[Customer Rating]]&gt;=7,"Passive","Detractor")))</f>
        <v>Promoter</v>
      </c>
    </row>
    <row r="807" spans="1:17" ht="14.25" customHeight="1" x14ac:dyDescent="0.3">
      <c r="A807" s="1" t="s">
        <v>833</v>
      </c>
      <c r="B807" s="1" t="s">
        <v>19</v>
      </c>
      <c r="C807" s="1" t="s">
        <v>22</v>
      </c>
      <c r="D807" s="1" t="str">
        <f>IF(Data[[#This Row],[Cancellation Status]]="No", "High Potential", "Normal")</f>
        <v>Normal</v>
      </c>
      <c r="E807" s="2">
        <v>45934</v>
      </c>
      <c r="I807" s="1" t="s">
        <v>23</v>
      </c>
      <c r="J807" s="1" t="s">
        <v>24</v>
      </c>
      <c r="L807" s="88" t="str">
        <f>IF(OR(Data[[#This Row],[Service Follow-up Date]]="",Data[[#This Row],[Delivery Date]]=""),"",INT(Data[[#This Row],[Service Follow-up Date]]-Data[[#This Row],[Delivery Date]]))</f>
        <v/>
      </c>
      <c r="Q807" t="str">
        <f>IF(ISBLANK(Data[[#This Row],[Customer Rating]]),"No Rating",IF(Data[[#This Row],[Customer Rating]]&gt;=9,"Promoter",IF(Data[[#This Row],[Customer Rating]]&gt;=7,"Passive","Detractor")))</f>
        <v>No Rating</v>
      </c>
    </row>
    <row r="808" spans="1:17" ht="14.25" customHeight="1" x14ac:dyDescent="0.3">
      <c r="A808" s="1" t="s">
        <v>834</v>
      </c>
      <c r="B808" s="1" t="s">
        <v>21</v>
      </c>
      <c r="C808" s="1" t="s">
        <v>30</v>
      </c>
      <c r="D808" s="1" t="str">
        <f>IF(Data[[#This Row],[Cancellation Status]]="No", "High Potential", "Normal")</f>
        <v>High Potential</v>
      </c>
      <c r="E808" s="2">
        <v>45938</v>
      </c>
      <c r="F808" s="2">
        <v>45941</v>
      </c>
      <c r="G808" s="2">
        <v>45945</v>
      </c>
      <c r="H808" s="2">
        <v>45949</v>
      </c>
      <c r="I808" s="1" t="s">
        <v>17</v>
      </c>
      <c r="K808" s="2">
        <v>45962</v>
      </c>
      <c r="L808" s="88">
        <f>IF(OR(Data[[#This Row],[Service Follow-up Date]]="",Data[[#This Row],[Delivery Date]]=""),"",INT(Data[[#This Row],[Service Follow-up Date]]-Data[[#This Row],[Delivery Date]]))</f>
        <v>13</v>
      </c>
      <c r="M808" s="1">
        <v>3</v>
      </c>
      <c r="N808" s="1">
        <v>4</v>
      </c>
      <c r="O808" s="1">
        <v>4</v>
      </c>
      <c r="P808" s="1">
        <v>3</v>
      </c>
      <c r="Q808" t="str">
        <f>IF(ISBLANK(Data[[#This Row],[Customer Rating]]),"No Rating",IF(Data[[#This Row],[Customer Rating]]&gt;=9,"Promoter",IF(Data[[#This Row],[Customer Rating]]&gt;=7,"Passive","Detractor")))</f>
        <v>Detractor</v>
      </c>
    </row>
    <row r="809" spans="1:17" ht="14.25" customHeight="1" x14ac:dyDescent="0.3">
      <c r="A809" s="1" t="s">
        <v>835</v>
      </c>
      <c r="B809" s="1" t="s">
        <v>19</v>
      </c>
      <c r="C809" s="1" t="s">
        <v>16</v>
      </c>
      <c r="D809" s="1" t="str">
        <f>IF(Data[[#This Row],[Cancellation Status]]="No", "High Potential", "Normal")</f>
        <v>High Potential</v>
      </c>
      <c r="E809" s="2">
        <v>45959</v>
      </c>
      <c r="F809" s="2">
        <v>45964</v>
      </c>
      <c r="G809" s="2">
        <v>45966</v>
      </c>
      <c r="H809" s="2">
        <v>45968</v>
      </c>
      <c r="I809" s="1" t="s">
        <v>17</v>
      </c>
      <c r="K809" s="2">
        <v>45989</v>
      </c>
      <c r="L809" s="88">
        <f>IF(OR(Data[[#This Row],[Service Follow-up Date]]="",Data[[#This Row],[Delivery Date]]=""),"",INT(Data[[#This Row],[Service Follow-up Date]]-Data[[#This Row],[Delivery Date]]))</f>
        <v>21</v>
      </c>
      <c r="M809" s="1">
        <v>5</v>
      </c>
      <c r="N809" s="1">
        <v>2</v>
      </c>
      <c r="O809" s="1">
        <v>2</v>
      </c>
      <c r="P809" s="1">
        <v>2</v>
      </c>
      <c r="Q809" t="str">
        <f>IF(ISBLANK(Data[[#This Row],[Customer Rating]]),"No Rating",IF(Data[[#This Row],[Customer Rating]]&gt;=9,"Promoter",IF(Data[[#This Row],[Customer Rating]]&gt;=7,"Passive","Detractor")))</f>
        <v>Detractor</v>
      </c>
    </row>
    <row r="810" spans="1:17" ht="14.25" customHeight="1" x14ac:dyDescent="0.3">
      <c r="A810" s="1" t="s">
        <v>836</v>
      </c>
      <c r="B810" s="1" t="s">
        <v>21</v>
      </c>
      <c r="C810" s="1" t="s">
        <v>30</v>
      </c>
      <c r="D810" s="1" t="str">
        <f>IF(Data[[#This Row],[Cancellation Status]]="No", "High Potential", "Normal")</f>
        <v>High Potential</v>
      </c>
      <c r="E810" s="2">
        <v>45948</v>
      </c>
      <c r="F810" s="2">
        <v>45953</v>
      </c>
      <c r="G810" s="2">
        <v>45955</v>
      </c>
      <c r="H810" s="2">
        <v>45957</v>
      </c>
      <c r="I810" s="1" t="s">
        <v>17</v>
      </c>
      <c r="K810" s="2">
        <v>45987</v>
      </c>
      <c r="L810" s="88">
        <f>IF(OR(Data[[#This Row],[Service Follow-up Date]]="",Data[[#This Row],[Delivery Date]]=""),"",INT(Data[[#This Row],[Service Follow-up Date]]-Data[[#This Row],[Delivery Date]]))</f>
        <v>30</v>
      </c>
      <c r="M810" s="1">
        <v>5</v>
      </c>
      <c r="N810" s="1">
        <v>2</v>
      </c>
      <c r="O810" s="1">
        <v>2</v>
      </c>
      <c r="P810" s="1">
        <v>5</v>
      </c>
      <c r="Q810" t="str">
        <f>IF(ISBLANK(Data[[#This Row],[Customer Rating]]),"No Rating",IF(Data[[#This Row],[Customer Rating]]&gt;=9,"Promoter",IF(Data[[#This Row],[Customer Rating]]&gt;=7,"Passive","Detractor")))</f>
        <v>Detractor</v>
      </c>
    </row>
    <row r="811" spans="1:17" ht="14.25" customHeight="1" x14ac:dyDescent="0.3">
      <c r="A811" s="1" t="s">
        <v>837</v>
      </c>
      <c r="B811" s="1" t="s">
        <v>21</v>
      </c>
      <c r="C811" s="1" t="s">
        <v>16</v>
      </c>
      <c r="D811" s="1" t="str">
        <f>IF(Data[[#This Row],[Cancellation Status]]="No", "High Potential", "Normal")</f>
        <v>High Potential</v>
      </c>
      <c r="E811" s="2">
        <v>45935</v>
      </c>
      <c r="F811" s="2">
        <v>45936</v>
      </c>
      <c r="G811" s="2">
        <v>45939</v>
      </c>
      <c r="H811" s="2">
        <v>45942</v>
      </c>
      <c r="I811" s="1" t="s">
        <v>17</v>
      </c>
      <c r="K811" s="2">
        <v>45953</v>
      </c>
      <c r="L811" s="88">
        <f>IF(OR(Data[[#This Row],[Service Follow-up Date]]="",Data[[#This Row],[Delivery Date]]=""),"",INT(Data[[#This Row],[Service Follow-up Date]]-Data[[#This Row],[Delivery Date]]))</f>
        <v>11</v>
      </c>
      <c r="M811" s="1">
        <v>1</v>
      </c>
      <c r="N811" s="1">
        <v>3</v>
      </c>
      <c r="O811" s="1">
        <v>3</v>
      </c>
      <c r="P811" s="1">
        <v>1</v>
      </c>
      <c r="Q811" t="str">
        <f>IF(ISBLANK(Data[[#This Row],[Customer Rating]]),"No Rating",IF(Data[[#This Row],[Customer Rating]]&gt;=9,"Promoter",IF(Data[[#This Row],[Customer Rating]]&gt;=7,"Passive","Detractor")))</f>
        <v>Detractor</v>
      </c>
    </row>
    <row r="812" spans="1:17" ht="14.25" customHeight="1" x14ac:dyDescent="0.3">
      <c r="A812" s="1" t="s">
        <v>838</v>
      </c>
      <c r="B812" s="1" t="s">
        <v>21</v>
      </c>
      <c r="C812" s="1" t="s">
        <v>22</v>
      </c>
      <c r="D812" s="1" t="str">
        <f>IF(Data[[#This Row],[Cancellation Status]]="No", "High Potential", "Normal")</f>
        <v>Normal</v>
      </c>
      <c r="E812" s="2">
        <v>45943</v>
      </c>
      <c r="I812" s="1" t="s">
        <v>23</v>
      </c>
      <c r="J812" s="1" t="s">
        <v>63</v>
      </c>
      <c r="L812" s="88" t="str">
        <f>IF(OR(Data[[#This Row],[Service Follow-up Date]]="",Data[[#This Row],[Delivery Date]]=""),"",INT(Data[[#This Row],[Service Follow-up Date]]-Data[[#This Row],[Delivery Date]]))</f>
        <v/>
      </c>
      <c r="Q812" t="str">
        <f>IF(ISBLANK(Data[[#This Row],[Customer Rating]]),"No Rating",IF(Data[[#This Row],[Customer Rating]]&gt;=9,"Promoter",IF(Data[[#This Row],[Customer Rating]]&gt;=7,"Passive","Detractor")))</f>
        <v>No Rating</v>
      </c>
    </row>
    <row r="813" spans="1:17" ht="14.25" customHeight="1" x14ac:dyDescent="0.3">
      <c r="A813" s="1" t="s">
        <v>839</v>
      </c>
      <c r="B813" s="1" t="s">
        <v>32</v>
      </c>
      <c r="C813" s="1" t="s">
        <v>16</v>
      </c>
      <c r="D813" s="1" t="str">
        <f>IF(Data[[#This Row],[Cancellation Status]]="No", "High Potential", "Normal")</f>
        <v>High Potential</v>
      </c>
      <c r="E813" s="2">
        <v>45945</v>
      </c>
      <c r="F813" s="2">
        <v>45950</v>
      </c>
      <c r="G813" s="2">
        <v>45953</v>
      </c>
      <c r="H813" s="2">
        <v>45960</v>
      </c>
      <c r="I813" s="1" t="s">
        <v>17</v>
      </c>
      <c r="K813" s="2">
        <v>45982</v>
      </c>
      <c r="L813" s="88">
        <f>IF(OR(Data[[#This Row],[Service Follow-up Date]]="",Data[[#This Row],[Delivery Date]]=""),"",INT(Data[[#This Row],[Service Follow-up Date]]-Data[[#This Row],[Delivery Date]]))</f>
        <v>22</v>
      </c>
      <c r="M813" s="1">
        <v>5</v>
      </c>
      <c r="N813" s="1">
        <v>3</v>
      </c>
      <c r="O813" s="1">
        <v>7</v>
      </c>
      <c r="P813" s="1">
        <v>7</v>
      </c>
      <c r="Q813" t="str">
        <f>IF(ISBLANK(Data[[#This Row],[Customer Rating]]),"No Rating",IF(Data[[#This Row],[Customer Rating]]&gt;=9,"Promoter",IF(Data[[#This Row],[Customer Rating]]&gt;=7,"Passive","Detractor")))</f>
        <v>Passive</v>
      </c>
    </row>
    <row r="814" spans="1:17" ht="14.25" customHeight="1" x14ac:dyDescent="0.3">
      <c r="A814" s="1" t="s">
        <v>840</v>
      </c>
      <c r="B814" s="1" t="s">
        <v>32</v>
      </c>
      <c r="C814" s="1" t="s">
        <v>30</v>
      </c>
      <c r="D814" s="1" t="str">
        <f>IF(Data[[#This Row],[Cancellation Status]]="No", "High Potential", "Normal")</f>
        <v>High Potential</v>
      </c>
      <c r="E814" s="2">
        <v>45942</v>
      </c>
      <c r="F814" s="2">
        <v>45944</v>
      </c>
      <c r="G814" s="2">
        <v>45947</v>
      </c>
      <c r="H814" s="2">
        <v>45951</v>
      </c>
      <c r="I814" s="1" t="s">
        <v>17</v>
      </c>
      <c r="K814" s="2">
        <v>45981</v>
      </c>
      <c r="L814" s="88">
        <f>IF(OR(Data[[#This Row],[Service Follow-up Date]]="",Data[[#This Row],[Delivery Date]]=""),"",INT(Data[[#This Row],[Service Follow-up Date]]-Data[[#This Row],[Delivery Date]]))</f>
        <v>30</v>
      </c>
      <c r="M814" s="1">
        <v>2</v>
      </c>
      <c r="N814" s="1">
        <v>3</v>
      </c>
      <c r="O814" s="1">
        <v>4</v>
      </c>
      <c r="P814" s="1">
        <v>3</v>
      </c>
      <c r="Q814" t="str">
        <f>IF(ISBLANK(Data[[#This Row],[Customer Rating]]),"No Rating",IF(Data[[#This Row],[Customer Rating]]&gt;=9,"Promoter",IF(Data[[#This Row],[Customer Rating]]&gt;=7,"Passive","Detractor")))</f>
        <v>Detractor</v>
      </c>
    </row>
    <row r="815" spans="1:17" ht="14.25" customHeight="1" x14ac:dyDescent="0.3">
      <c r="A815" s="1" t="s">
        <v>841</v>
      </c>
      <c r="B815" s="1" t="s">
        <v>15</v>
      </c>
      <c r="C815" s="1" t="s">
        <v>22</v>
      </c>
      <c r="D815" s="1" t="str">
        <f>IF(Data[[#This Row],[Cancellation Status]]="No", "High Potential", "Normal")</f>
        <v>Normal</v>
      </c>
      <c r="E815" s="2">
        <v>45952</v>
      </c>
      <c r="I815" s="1" t="s">
        <v>23</v>
      </c>
      <c r="J815" s="1" t="s">
        <v>24</v>
      </c>
      <c r="L815" s="88" t="str">
        <f>IF(OR(Data[[#This Row],[Service Follow-up Date]]="",Data[[#This Row],[Delivery Date]]=""),"",INT(Data[[#This Row],[Service Follow-up Date]]-Data[[#This Row],[Delivery Date]]))</f>
        <v/>
      </c>
      <c r="Q815" t="str">
        <f>IF(ISBLANK(Data[[#This Row],[Customer Rating]]),"No Rating",IF(Data[[#This Row],[Customer Rating]]&gt;=9,"Promoter",IF(Data[[#This Row],[Customer Rating]]&gt;=7,"Passive","Detractor")))</f>
        <v>No Rating</v>
      </c>
    </row>
    <row r="816" spans="1:17" ht="14.25" customHeight="1" x14ac:dyDescent="0.3">
      <c r="A816" s="1" t="s">
        <v>842</v>
      </c>
      <c r="B816" s="1" t="s">
        <v>15</v>
      </c>
      <c r="C816" s="1" t="s">
        <v>16</v>
      </c>
      <c r="D816" s="1" t="str">
        <f>IF(Data[[#This Row],[Cancellation Status]]="No", "High Potential", "Normal")</f>
        <v>High Potential</v>
      </c>
      <c r="E816" s="2">
        <v>45961</v>
      </c>
      <c r="F816" s="2">
        <v>45966</v>
      </c>
      <c r="G816" s="2">
        <v>45970</v>
      </c>
      <c r="H816" s="2">
        <v>45977</v>
      </c>
      <c r="I816" s="1" t="s">
        <v>17</v>
      </c>
      <c r="K816" s="2">
        <v>45995</v>
      </c>
      <c r="L816" s="88">
        <f>IF(OR(Data[[#This Row],[Service Follow-up Date]]="",Data[[#This Row],[Delivery Date]]=""),"",INT(Data[[#This Row],[Service Follow-up Date]]-Data[[#This Row],[Delivery Date]]))</f>
        <v>18</v>
      </c>
      <c r="M816" s="1">
        <v>5</v>
      </c>
      <c r="N816" s="1">
        <v>4</v>
      </c>
      <c r="O816" s="1">
        <v>7</v>
      </c>
      <c r="P816" s="1">
        <v>2</v>
      </c>
      <c r="Q816" t="str">
        <f>IF(ISBLANK(Data[[#This Row],[Customer Rating]]),"No Rating",IF(Data[[#This Row],[Customer Rating]]&gt;=9,"Promoter",IF(Data[[#This Row],[Customer Rating]]&gt;=7,"Passive","Detractor")))</f>
        <v>Detractor</v>
      </c>
    </row>
    <row r="817" spans="1:17" ht="14.25" customHeight="1" x14ac:dyDescent="0.3">
      <c r="A817" s="1" t="s">
        <v>843</v>
      </c>
      <c r="B817" s="1" t="s">
        <v>19</v>
      </c>
      <c r="C817" s="1" t="s">
        <v>30</v>
      </c>
      <c r="D817" s="1" t="str">
        <f>IF(Data[[#This Row],[Cancellation Status]]="No", "High Potential", "Normal")</f>
        <v>High Potential</v>
      </c>
      <c r="E817" s="2">
        <v>45954</v>
      </c>
      <c r="F817" s="2">
        <v>45959</v>
      </c>
      <c r="G817" s="2">
        <v>45961</v>
      </c>
      <c r="H817" s="2">
        <v>45968</v>
      </c>
      <c r="I817" s="1" t="s">
        <v>17</v>
      </c>
      <c r="K817" s="2">
        <v>45995</v>
      </c>
      <c r="L817" s="88">
        <f>IF(OR(Data[[#This Row],[Service Follow-up Date]]="",Data[[#This Row],[Delivery Date]]=""),"",INT(Data[[#This Row],[Service Follow-up Date]]-Data[[#This Row],[Delivery Date]]))</f>
        <v>27</v>
      </c>
      <c r="M817" s="1">
        <v>5</v>
      </c>
      <c r="N817" s="1">
        <v>2</v>
      </c>
      <c r="O817" s="1">
        <v>7</v>
      </c>
      <c r="P817" s="1">
        <v>5</v>
      </c>
      <c r="Q817" t="str">
        <f>IF(ISBLANK(Data[[#This Row],[Customer Rating]]),"No Rating",IF(Data[[#This Row],[Customer Rating]]&gt;=9,"Promoter",IF(Data[[#This Row],[Customer Rating]]&gt;=7,"Passive","Detractor")))</f>
        <v>Detractor</v>
      </c>
    </row>
    <row r="818" spans="1:17" ht="14.25" customHeight="1" x14ac:dyDescent="0.3">
      <c r="A818" s="1" t="s">
        <v>844</v>
      </c>
      <c r="B818" s="1" t="s">
        <v>32</v>
      </c>
      <c r="C818" s="1" t="s">
        <v>30</v>
      </c>
      <c r="D818" s="1" t="str">
        <f>IF(Data[[#This Row],[Cancellation Status]]="No", "High Potential", "Normal")</f>
        <v>Normal</v>
      </c>
      <c r="E818" s="2">
        <v>45953</v>
      </c>
      <c r="F818" s="2">
        <v>45955</v>
      </c>
      <c r="G818" s="2">
        <v>45956</v>
      </c>
      <c r="H818" s="2">
        <v>45962</v>
      </c>
      <c r="I818" s="1" t="s">
        <v>23</v>
      </c>
      <c r="J818" s="1" t="s">
        <v>63</v>
      </c>
      <c r="L818" s="88" t="str">
        <f>IF(OR(Data[[#This Row],[Service Follow-up Date]]="",Data[[#This Row],[Delivery Date]]=""),"",INT(Data[[#This Row],[Service Follow-up Date]]-Data[[#This Row],[Delivery Date]]))</f>
        <v/>
      </c>
      <c r="M818" s="1">
        <v>2</v>
      </c>
      <c r="N818" s="1">
        <v>1</v>
      </c>
      <c r="O818" s="1">
        <v>6</v>
      </c>
      <c r="Q818" t="str">
        <f>IF(ISBLANK(Data[[#This Row],[Customer Rating]]),"No Rating",IF(Data[[#This Row],[Customer Rating]]&gt;=9,"Promoter",IF(Data[[#This Row],[Customer Rating]]&gt;=7,"Passive","Detractor")))</f>
        <v>No Rating</v>
      </c>
    </row>
    <row r="819" spans="1:17" ht="14.25" customHeight="1" x14ac:dyDescent="0.3">
      <c r="A819" s="1" t="s">
        <v>845</v>
      </c>
      <c r="B819" s="1" t="s">
        <v>19</v>
      </c>
      <c r="C819" s="1" t="s">
        <v>30</v>
      </c>
      <c r="D819" s="1" t="str">
        <f>IF(Data[[#This Row],[Cancellation Status]]="No", "High Potential", "Normal")</f>
        <v>High Potential</v>
      </c>
      <c r="E819" s="2">
        <v>45961</v>
      </c>
      <c r="F819" s="2">
        <v>45963</v>
      </c>
      <c r="G819" s="2">
        <v>45965</v>
      </c>
      <c r="H819" s="2">
        <v>45967</v>
      </c>
      <c r="I819" s="1" t="s">
        <v>17</v>
      </c>
      <c r="K819" s="2">
        <v>45996</v>
      </c>
      <c r="L819" s="88">
        <f>IF(OR(Data[[#This Row],[Service Follow-up Date]]="",Data[[#This Row],[Delivery Date]]=""),"",INT(Data[[#This Row],[Service Follow-up Date]]-Data[[#This Row],[Delivery Date]]))</f>
        <v>29</v>
      </c>
      <c r="M819" s="1">
        <v>2</v>
      </c>
      <c r="N819" s="1">
        <v>2</v>
      </c>
      <c r="O819" s="1">
        <v>2</v>
      </c>
      <c r="P819" s="1">
        <v>8</v>
      </c>
      <c r="Q819" t="str">
        <f>IF(ISBLANK(Data[[#This Row],[Customer Rating]]),"No Rating",IF(Data[[#This Row],[Customer Rating]]&gt;=9,"Promoter",IF(Data[[#This Row],[Customer Rating]]&gt;=7,"Passive","Detractor")))</f>
        <v>Passive</v>
      </c>
    </row>
    <row r="820" spans="1:17" ht="14.25" customHeight="1" x14ac:dyDescent="0.3">
      <c r="A820" s="1" t="s">
        <v>846</v>
      </c>
      <c r="B820" s="1" t="s">
        <v>15</v>
      </c>
      <c r="C820" s="1" t="s">
        <v>30</v>
      </c>
      <c r="D820" s="1" t="str">
        <f>IF(Data[[#This Row],[Cancellation Status]]="No", "High Potential", "Normal")</f>
        <v>High Potential</v>
      </c>
      <c r="E820" s="2">
        <v>45948</v>
      </c>
      <c r="F820" s="2">
        <v>45953</v>
      </c>
      <c r="G820" s="2">
        <v>45957</v>
      </c>
      <c r="H820" s="2">
        <v>45960</v>
      </c>
      <c r="I820" s="1" t="s">
        <v>17</v>
      </c>
      <c r="K820" s="2">
        <v>45971</v>
      </c>
      <c r="L820" s="88">
        <f>IF(OR(Data[[#This Row],[Service Follow-up Date]]="",Data[[#This Row],[Delivery Date]]=""),"",INT(Data[[#This Row],[Service Follow-up Date]]-Data[[#This Row],[Delivery Date]]))</f>
        <v>11</v>
      </c>
      <c r="M820" s="1">
        <v>5</v>
      </c>
      <c r="N820" s="1">
        <v>4</v>
      </c>
      <c r="O820" s="1">
        <v>3</v>
      </c>
      <c r="P820" s="1">
        <v>8</v>
      </c>
      <c r="Q820" t="str">
        <f>IF(ISBLANK(Data[[#This Row],[Customer Rating]]),"No Rating",IF(Data[[#This Row],[Customer Rating]]&gt;=9,"Promoter",IF(Data[[#This Row],[Customer Rating]]&gt;=7,"Passive","Detractor")))</f>
        <v>Passive</v>
      </c>
    </row>
    <row r="821" spans="1:17" ht="14.25" customHeight="1" x14ac:dyDescent="0.3">
      <c r="A821" s="1" t="s">
        <v>847</v>
      </c>
      <c r="B821" s="1" t="s">
        <v>19</v>
      </c>
      <c r="C821" s="1" t="s">
        <v>22</v>
      </c>
      <c r="D821" s="1" t="str">
        <f>IF(Data[[#This Row],[Cancellation Status]]="No", "High Potential", "Normal")</f>
        <v>Normal</v>
      </c>
      <c r="E821" s="2">
        <v>45944</v>
      </c>
      <c r="I821" s="1" t="s">
        <v>23</v>
      </c>
      <c r="J821" s="1" t="s">
        <v>63</v>
      </c>
      <c r="L821" s="88" t="str">
        <f>IF(OR(Data[[#This Row],[Service Follow-up Date]]="",Data[[#This Row],[Delivery Date]]=""),"",INT(Data[[#This Row],[Service Follow-up Date]]-Data[[#This Row],[Delivery Date]]))</f>
        <v/>
      </c>
      <c r="Q821" t="str">
        <f>IF(ISBLANK(Data[[#This Row],[Customer Rating]]),"No Rating",IF(Data[[#This Row],[Customer Rating]]&gt;=9,"Promoter",IF(Data[[#This Row],[Customer Rating]]&gt;=7,"Passive","Detractor")))</f>
        <v>No Rating</v>
      </c>
    </row>
    <row r="822" spans="1:17" ht="14.25" customHeight="1" x14ac:dyDescent="0.3">
      <c r="A822" s="1" t="s">
        <v>848</v>
      </c>
      <c r="B822" s="1" t="s">
        <v>15</v>
      </c>
      <c r="C822" s="1" t="s">
        <v>16</v>
      </c>
      <c r="D822" s="1" t="str">
        <f>IF(Data[[#This Row],[Cancellation Status]]="No", "High Potential", "Normal")</f>
        <v>High Potential</v>
      </c>
      <c r="E822" s="2">
        <v>45949</v>
      </c>
      <c r="F822" s="2">
        <v>45954</v>
      </c>
      <c r="G822" s="2">
        <v>45957</v>
      </c>
      <c r="H822" s="2">
        <v>45961</v>
      </c>
      <c r="I822" s="1" t="s">
        <v>17</v>
      </c>
      <c r="K822" s="2">
        <v>45990</v>
      </c>
      <c r="L822" s="88">
        <f>IF(OR(Data[[#This Row],[Service Follow-up Date]]="",Data[[#This Row],[Delivery Date]]=""),"",INT(Data[[#This Row],[Service Follow-up Date]]-Data[[#This Row],[Delivery Date]]))</f>
        <v>29</v>
      </c>
      <c r="M822" s="1">
        <v>5</v>
      </c>
      <c r="N822" s="1">
        <v>3</v>
      </c>
      <c r="O822" s="1">
        <v>4</v>
      </c>
      <c r="P822" s="1">
        <v>2</v>
      </c>
      <c r="Q822" t="str">
        <f>IF(ISBLANK(Data[[#This Row],[Customer Rating]]),"No Rating",IF(Data[[#This Row],[Customer Rating]]&gt;=9,"Promoter",IF(Data[[#This Row],[Customer Rating]]&gt;=7,"Passive","Detractor")))</f>
        <v>Detractor</v>
      </c>
    </row>
    <row r="823" spans="1:17" ht="14.25" customHeight="1" x14ac:dyDescent="0.3">
      <c r="A823" s="1" t="s">
        <v>849</v>
      </c>
      <c r="B823" s="1" t="s">
        <v>32</v>
      </c>
      <c r="C823" s="1" t="s">
        <v>22</v>
      </c>
      <c r="D823" s="1" t="str">
        <f>IF(Data[[#This Row],[Cancellation Status]]="No", "High Potential", "Normal")</f>
        <v>Normal</v>
      </c>
      <c r="E823" s="2">
        <v>45954</v>
      </c>
      <c r="I823" s="1" t="s">
        <v>23</v>
      </c>
      <c r="J823" s="1" t="s">
        <v>33</v>
      </c>
      <c r="L823" s="88" t="str">
        <f>IF(OR(Data[[#This Row],[Service Follow-up Date]]="",Data[[#This Row],[Delivery Date]]=""),"",INT(Data[[#This Row],[Service Follow-up Date]]-Data[[#This Row],[Delivery Date]]))</f>
        <v/>
      </c>
      <c r="Q823" t="str">
        <f>IF(ISBLANK(Data[[#This Row],[Customer Rating]]),"No Rating",IF(Data[[#This Row],[Customer Rating]]&gt;=9,"Promoter",IF(Data[[#This Row],[Customer Rating]]&gt;=7,"Passive","Detractor")))</f>
        <v>No Rating</v>
      </c>
    </row>
    <row r="824" spans="1:17" ht="14.25" customHeight="1" x14ac:dyDescent="0.3">
      <c r="A824" s="1" t="s">
        <v>850</v>
      </c>
      <c r="B824" s="1" t="s">
        <v>21</v>
      </c>
      <c r="C824" s="1" t="s">
        <v>16</v>
      </c>
      <c r="D824" s="1" t="str">
        <f>IF(Data[[#This Row],[Cancellation Status]]="No", "High Potential", "Normal")</f>
        <v>High Potential</v>
      </c>
      <c r="E824" s="2">
        <v>45954</v>
      </c>
      <c r="F824" s="2">
        <v>45957</v>
      </c>
      <c r="G824" s="2">
        <v>45961</v>
      </c>
      <c r="H824" s="2">
        <v>45964</v>
      </c>
      <c r="I824" s="1" t="s">
        <v>17</v>
      </c>
      <c r="K824" s="2">
        <v>45975</v>
      </c>
      <c r="L824" s="88">
        <f>IF(OR(Data[[#This Row],[Service Follow-up Date]]="",Data[[#This Row],[Delivery Date]]=""),"",INT(Data[[#This Row],[Service Follow-up Date]]-Data[[#This Row],[Delivery Date]]))</f>
        <v>11</v>
      </c>
      <c r="M824" s="1">
        <v>3</v>
      </c>
      <c r="N824" s="1">
        <v>4</v>
      </c>
      <c r="O824" s="1">
        <v>3</v>
      </c>
      <c r="P824" s="1">
        <v>3</v>
      </c>
      <c r="Q824" t="str">
        <f>IF(ISBLANK(Data[[#This Row],[Customer Rating]]),"No Rating",IF(Data[[#This Row],[Customer Rating]]&gt;=9,"Promoter",IF(Data[[#This Row],[Customer Rating]]&gt;=7,"Passive","Detractor")))</f>
        <v>Detractor</v>
      </c>
    </row>
    <row r="825" spans="1:17" ht="14.25" customHeight="1" x14ac:dyDescent="0.3">
      <c r="A825" s="1" t="s">
        <v>851</v>
      </c>
      <c r="B825" s="1" t="s">
        <v>32</v>
      </c>
      <c r="C825" s="1" t="s">
        <v>30</v>
      </c>
      <c r="D825" s="1" t="str">
        <f>IF(Data[[#This Row],[Cancellation Status]]="No", "High Potential", "Normal")</f>
        <v>High Potential</v>
      </c>
      <c r="E825" s="2">
        <v>45935</v>
      </c>
      <c r="F825" s="2">
        <v>45940</v>
      </c>
      <c r="G825" s="2">
        <v>45943</v>
      </c>
      <c r="H825" s="2">
        <v>45945</v>
      </c>
      <c r="I825" s="1" t="s">
        <v>17</v>
      </c>
      <c r="K825" s="2">
        <v>45958</v>
      </c>
      <c r="L825" s="88">
        <f>IF(OR(Data[[#This Row],[Service Follow-up Date]]="",Data[[#This Row],[Delivery Date]]=""),"",INT(Data[[#This Row],[Service Follow-up Date]]-Data[[#This Row],[Delivery Date]]))</f>
        <v>13</v>
      </c>
      <c r="M825" s="1">
        <v>5</v>
      </c>
      <c r="N825" s="1">
        <v>3</v>
      </c>
      <c r="O825" s="1">
        <v>2</v>
      </c>
      <c r="P825" s="1">
        <v>4</v>
      </c>
      <c r="Q825" t="str">
        <f>IF(ISBLANK(Data[[#This Row],[Customer Rating]]),"No Rating",IF(Data[[#This Row],[Customer Rating]]&gt;=9,"Promoter",IF(Data[[#This Row],[Customer Rating]]&gt;=7,"Passive","Detractor")))</f>
        <v>Detractor</v>
      </c>
    </row>
    <row r="826" spans="1:17" ht="14.25" customHeight="1" x14ac:dyDescent="0.3">
      <c r="A826" s="1" t="s">
        <v>852</v>
      </c>
      <c r="B826" s="1" t="s">
        <v>19</v>
      </c>
      <c r="C826" s="1" t="s">
        <v>16</v>
      </c>
      <c r="D826" s="1" t="str">
        <f>IF(Data[[#This Row],[Cancellation Status]]="No", "High Potential", "Normal")</f>
        <v>Normal</v>
      </c>
      <c r="E826" s="2">
        <v>45959</v>
      </c>
      <c r="F826" s="2">
        <v>45960</v>
      </c>
      <c r="G826" s="2">
        <v>45964</v>
      </c>
      <c r="H826" s="2">
        <v>45971</v>
      </c>
      <c r="I826" s="1" t="s">
        <v>23</v>
      </c>
      <c r="J826" s="1" t="s">
        <v>63</v>
      </c>
      <c r="L826" s="88" t="str">
        <f>IF(OR(Data[[#This Row],[Service Follow-up Date]]="",Data[[#This Row],[Delivery Date]]=""),"",INT(Data[[#This Row],[Service Follow-up Date]]-Data[[#This Row],[Delivery Date]]))</f>
        <v/>
      </c>
      <c r="M826" s="1">
        <v>1</v>
      </c>
      <c r="N826" s="1">
        <v>4</v>
      </c>
      <c r="O826" s="1">
        <v>7</v>
      </c>
      <c r="Q826" t="str">
        <f>IF(ISBLANK(Data[[#This Row],[Customer Rating]]),"No Rating",IF(Data[[#This Row],[Customer Rating]]&gt;=9,"Promoter",IF(Data[[#This Row],[Customer Rating]]&gt;=7,"Passive","Detractor")))</f>
        <v>No Rating</v>
      </c>
    </row>
    <row r="827" spans="1:17" ht="14.25" customHeight="1" x14ac:dyDescent="0.3">
      <c r="A827" s="1" t="s">
        <v>853</v>
      </c>
      <c r="B827" s="1" t="s">
        <v>19</v>
      </c>
      <c r="C827" s="1" t="s">
        <v>30</v>
      </c>
      <c r="D827" s="1" t="str">
        <f>IF(Data[[#This Row],[Cancellation Status]]="No", "High Potential", "Normal")</f>
        <v>High Potential</v>
      </c>
      <c r="E827" s="2">
        <v>45944</v>
      </c>
      <c r="F827" s="2">
        <v>45945</v>
      </c>
      <c r="G827" s="2">
        <v>45946</v>
      </c>
      <c r="H827" s="2">
        <v>45949</v>
      </c>
      <c r="I827" s="1" t="s">
        <v>17</v>
      </c>
      <c r="K827" s="2">
        <v>45979</v>
      </c>
      <c r="L827" s="88">
        <f>IF(OR(Data[[#This Row],[Service Follow-up Date]]="",Data[[#This Row],[Delivery Date]]=""),"",INT(Data[[#This Row],[Service Follow-up Date]]-Data[[#This Row],[Delivery Date]]))</f>
        <v>30</v>
      </c>
      <c r="M827" s="1">
        <v>1</v>
      </c>
      <c r="N827" s="1">
        <v>1</v>
      </c>
      <c r="O827" s="1">
        <v>3</v>
      </c>
      <c r="P827" s="1">
        <v>3</v>
      </c>
      <c r="Q827" t="str">
        <f>IF(ISBLANK(Data[[#This Row],[Customer Rating]]),"No Rating",IF(Data[[#This Row],[Customer Rating]]&gt;=9,"Promoter",IF(Data[[#This Row],[Customer Rating]]&gt;=7,"Passive","Detractor")))</f>
        <v>Detractor</v>
      </c>
    </row>
    <row r="828" spans="1:17" ht="14.25" customHeight="1" x14ac:dyDescent="0.3">
      <c r="A828" s="1" t="s">
        <v>854</v>
      </c>
      <c r="B828" s="1" t="s">
        <v>32</v>
      </c>
      <c r="C828" s="1" t="s">
        <v>16</v>
      </c>
      <c r="D828" s="1" t="str">
        <f>IF(Data[[#This Row],[Cancellation Status]]="No", "High Potential", "Normal")</f>
        <v>High Potential</v>
      </c>
      <c r="E828" s="2">
        <v>45951</v>
      </c>
      <c r="F828" s="2">
        <v>45952</v>
      </c>
      <c r="G828" s="2">
        <v>45955</v>
      </c>
      <c r="H828" s="2">
        <v>45959</v>
      </c>
      <c r="I828" s="1" t="s">
        <v>17</v>
      </c>
      <c r="K828" s="2">
        <v>45969</v>
      </c>
      <c r="L828" s="88">
        <f>IF(OR(Data[[#This Row],[Service Follow-up Date]]="",Data[[#This Row],[Delivery Date]]=""),"",INT(Data[[#This Row],[Service Follow-up Date]]-Data[[#This Row],[Delivery Date]]))</f>
        <v>10</v>
      </c>
      <c r="M828" s="1">
        <v>1</v>
      </c>
      <c r="N828" s="1">
        <v>3</v>
      </c>
      <c r="O828" s="1">
        <v>4</v>
      </c>
      <c r="P828" s="1">
        <v>6</v>
      </c>
      <c r="Q828" t="str">
        <f>IF(ISBLANK(Data[[#This Row],[Customer Rating]]),"No Rating",IF(Data[[#This Row],[Customer Rating]]&gt;=9,"Promoter",IF(Data[[#This Row],[Customer Rating]]&gt;=7,"Passive","Detractor")))</f>
        <v>Detractor</v>
      </c>
    </row>
    <row r="829" spans="1:17" ht="14.25" customHeight="1" x14ac:dyDescent="0.3">
      <c r="A829" s="1" t="s">
        <v>855</v>
      </c>
      <c r="B829" s="1" t="s">
        <v>32</v>
      </c>
      <c r="C829" s="1" t="s">
        <v>22</v>
      </c>
      <c r="D829" s="1" t="str">
        <f>IF(Data[[#This Row],[Cancellation Status]]="No", "High Potential", "Normal")</f>
        <v>Normal</v>
      </c>
      <c r="E829" s="2">
        <v>45934</v>
      </c>
      <c r="I829" s="1" t="s">
        <v>23</v>
      </c>
      <c r="J829" s="1" t="s">
        <v>63</v>
      </c>
      <c r="L829" s="88" t="str">
        <f>IF(OR(Data[[#This Row],[Service Follow-up Date]]="",Data[[#This Row],[Delivery Date]]=""),"",INT(Data[[#This Row],[Service Follow-up Date]]-Data[[#This Row],[Delivery Date]]))</f>
        <v/>
      </c>
      <c r="Q829" t="str">
        <f>IF(ISBLANK(Data[[#This Row],[Customer Rating]]),"No Rating",IF(Data[[#This Row],[Customer Rating]]&gt;=9,"Promoter",IF(Data[[#This Row],[Customer Rating]]&gt;=7,"Passive","Detractor")))</f>
        <v>No Rating</v>
      </c>
    </row>
    <row r="830" spans="1:17" ht="14.25" customHeight="1" x14ac:dyDescent="0.3">
      <c r="A830" s="1" t="s">
        <v>856</v>
      </c>
      <c r="B830" s="1" t="s">
        <v>15</v>
      </c>
      <c r="C830" s="1" t="s">
        <v>16</v>
      </c>
      <c r="D830" s="1" t="str">
        <f>IF(Data[[#This Row],[Cancellation Status]]="No", "High Potential", "Normal")</f>
        <v>High Potential</v>
      </c>
      <c r="E830" s="2">
        <v>45957</v>
      </c>
      <c r="F830" s="2">
        <v>45958</v>
      </c>
      <c r="G830" s="2">
        <v>45961</v>
      </c>
      <c r="H830" s="2">
        <v>45966</v>
      </c>
      <c r="I830" s="1" t="s">
        <v>17</v>
      </c>
      <c r="K830" s="2">
        <v>45977</v>
      </c>
      <c r="L830" s="88">
        <f>IF(OR(Data[[#This Row],[Service Follow-up Date]]="",Data[[#This Row],[Delivery Date]]=""),"",INT(Data[[#This Row],[Service Follow-up Date]]-Data[[#This Row],[Delivery Date]]))</f>
        <v>11</v>
      </c>
      <c r="M830" s="1">
        <v>1</v>
      </c>
      <c r="N830" s="1">
        <v>3</v>
      </c>
      <c r="O830" s="1">
        <v>5</v>
      </c>
      <c r="P830" s="1">
        <v>2</v>
      </c>
      <c r="Q830" t="str">
        <f>IF(ISBLANK(Data[[#This Row],[Customer Rating]]),"No Rating",IF(Data[[#This Row],[Customer Rating]]&gt;=9,"Promoter",IF(Data[[#This Row],[Customer Rating]]&gt;=7,"Passive","Detractor")))</f>
        <v>Detractor</v>
      </c>
    </row>
    <row r="831" spans="1:17" ht="14.25" customHeight="1" x14ac:dyDescent="0.3">
      <c r="A831" s="1" t="s">
        <v>857</v>
      </c>
      <c r="B831" s="1" t="s">
        <v>19</v>
      </c>
      <c r="C831" s="1" t="s">
        <v>16</v>
      </c>
      <c r="D831" s="1" t="str">
        <f>IF(Data[[#This Row],[Cancellation Status]]="No", "High Potential", "Normal")</f>
        <v>Normal</v>
      </c>
      <c r="E831" s="2">
        <v>45946</v>
      </c>
      <c r="F831" s="2">
        <v>45951</v>
      </c>
      <c r="G831" s="2">
        <v>45953</v>
      </c>
      <c r="H831" s="2">
        <v>45959</v>
      </c>
      <c r="I831" s="1" t="s">
        <v>23</v>
      </c>
      <c r="J831" s="1" t="s">
        <v>26</v>
      </c>
      <c r="L831" s="88" t="str">
        <f>IF(OR(Data[[#This Row],[Service Follow-up Date]]="",Data[[#This Row],[Delivery Date]]=""),"",INT(Data[[#This Row],[Service Follow-up Date]]-Data[[#This Row],[Delivery Date]]))</f>
        <v/>
      </c>
      <c r="M831" s="1">
        <v>5</v>
      </c>
      <c r="N831" s="1">
        <v>2</v>
      </c>
      <c r="O831" s="1">
        <v>6</v>
      </c>
      <c r="Q831" t="str">
        <f>IF(ISBLANK(Data[[#This Row],[Customer Rating]]),"No Rating",IF(Data[[#This Row],[Customer Rating]]&gt;=9,"Promoter",IF(Data[[#This Row],[Customer Rating]]&gt;=7,"Passive","Detractor")))</f>
        <v>No Rating</v>
      </c>
    </row>
    <row r="832" spans="1:17" ht="14.25" customHeight="1" x14ac:dyDescent="0.3">
      <c r="A832" s="1" t="s">
        <v>858</v>
      </c>
      <c r="B832" s="1" t="s">
        <v>19</v>
      </c>
      <c r="C832" s="1" t="s">
        <v>30</v>
      </c>
      <c r="D832" s="1" t="str">
        <f>IF(Data[[#This Row],[Cancellation Status]]="No", "High Potential", "Normal")</f>
        <v>Normal</v>
      </c>
      <c r="E832" s="2">
        <v>45950</v>
      </c>
      <c r="F832" s="2">
        <v>45953</v>
      </c>
      <c r="G832" s="2">
        <v>45957</v>
      </c>
      <c r="H832" s="2">
        <v>45959</v>
      </c>
      <c r="I832" s="1" t="s">
        <v>23</v>
      </c>
      <c r="J832" s="1" t="s">
        <v>101</v>
      </c>
      <c r="L832" s="88" t="str">
        <f>IF(OR(Data[[#This Row],[Service Follow-up Date]]="",Data[[#This Row],[Delivery Date]]=""),"",INT(Data[[#This Row],[Service Follow-up Date]]-Data[[#This Row],[Delivery Date]]))</f>
        <v/>
      </c>
      <c r="M832" s="1">
        <v>3</v>
      </c>
      <c r="N832" s="1">
        <v>4</v>
      </c>
      <c r="O832" s="1">
        <v>2</v>
      </c>
      <c r="Q832" t="str">
        <f>IF(ISBLANK(Data[[#This Row],[Customer Rating]]),"No Rating",IF(Data[[#This Row],[Customer Rating]]&gt;=9,"Promoter",IF(Data[[#This Row],[Customer Rating]]&gt;=7,"Passive","Detractor")))</f>
        <v>No Rating</v>
      </c>
    </row>
    <row r="833" spans="1:17" ht="14.25" customHeight="1" x14ac:dyDescent="0.3">
      <c r="A833" s="1" t="s">
        <v>859</v>
      </c>
      <c r="B833" s="1" t="s">
        <v>32</v>
      </c>
      <c r="C833" s="1" t="s">
        <v>30</v>
      </c>
      <c r="D833" s="1" t="str">
        <f>IF(Data[[#This Row],[Cancellation Status]]="No", "High Potential", "Normal")</f>
        <v>High Potential</v>
      </c>
      <c r="E833" s="2">
        <v>45944</v>
      </c>
      <c r="F833" s="2">
        <v>45946</v>
      </c>
      <c r="G833" s="2">
        <v>45951</v>
      </c>
      <c r="H833" s="2">
        <v>45958</v>
      </c>
      <c r="I833" s="1" t="s">
        <v>17</v>
      </c>
      <c r="K833" s="2">
        <v>45971</v>
      </c>
      <c r="L833" s="88">
        <f>IF(OR(Data[[#This Row],[Service Follow-up Date]]="",Data[[#This Row],[Delivery Date]]=""),"",INT(Data[[#This Row],[Service Follow-up Date]]-Data[[#This Row],[Delivery Date]]))</f>
        <v>13</v>
      </c>
      <c r="M833" s="1">
        <v>2</v>
      </c>
      <c r="N833" s="1">
        <v>5</v>
      </c>
      <c r="O833" s="1">
        <v>7</v>
      </c>
      <c r="P833" s="1">
        <v>9</v>
      </c>
      <c r="Q833" t="str">
        <f>IF(ISBLANK(Data[[#This Row],[Customer Rating]]),"No Rating",IF(Data[[#This Row],[Customer Rating]]&gt;=9,"Promoter",IF(Data[[#This Row],[Customer Rating]]&gt;=7,"Passive","Detractor")))</f>
        <v>Promoter</v>
      </c>
    </row>
    <row r="834" spans="1:17" ht="14.25" customHeight="1" x14ac:dyDescent="0.3">
      <c r="A834" s="1" t="s">
        <v>860</v>
      </c>
      <c r="B834" s="1" t="s">
        <v>21</v>
      </c>
      <c r="C834" s="1" t="s">
        <v>30</v>
      </c>
      <c r="D834" s="1" t="str">
        <f>IF(Data[[#This Row],[Cancellation Status]]="No", "High Potential", "Normal")</f>
        <v>High Potential</v>
      </c>
      <c r="E834" s="2">
        <v>45961</v>
      </c>
      <c r="F834" s="2">
        <v>45966</v>
      </c>
      <c r="G834" s="2">
        <v>45971</v>
      </c>
      <c r="H834" s="2">
        <v>45975</v>
      </c>
      <c r="I834" s="1" t="s">
        <v>17</v>
      </c>
      <c r="K834" s="2">
        <v>45998</v>
      </c>
      <c r="L834" s="88">
        <f>IF(OR(Data[[#This Row],[Service Follow-up Date]]="",Data[[#This Row],[Delivery Date]]=""),"",INT(Data[[#This Row],[Service Follow-up Date]]-Data[[#This Row],[Delivery Date]]))</f>
        <v>23</v>
      </c>
      <c r="M834" s="1">
        <v>5</v>
      </c>
      <c r="N834" s="1">
        <v>5</v>
      </c>
      <c r="O834" s="1">
        <v>4</v>
      </c>
      <c r="P834" s="1">
        <v>9</v>
      </c>
      <c r="Q834" t="str">
        <f>IF(ISBLANK(Data[[#This Row],[Customer Rating]]),"No Rating",IF(Data[[#This Row],[Customer Rating]]&gt;=9,"Promoter",IF(Data[[#This Row],[Customer Rating]]&gt;=7,"Passive","Detractor")))</f>
        <v>Promoter</v>
      </c>
    </row>
    <row r="835" spans="1:17" ht="14.25" customHeight="1" x14ac:dyDescent="0.3">
      <c r="A835" s="1" t="s">
        <v>861</v>
      </c>
      <c r="B835" s="1" t="s">
        <v>19</v>
      </c>
      <c r="C835" s="1" t="s">
        <v>16</v>
      </c>
      <c r="D835" s="1" t="str">
        <f>IF(Data[[#This Row],[Cancellation Status]]="No", "High Potential", "Normal")</f>
        <v>High Potential</v>
      </c>
      <c r="E835" s="2">
        <v>45961</v>
      </c>
      <c r="F835" s="2">
        <v>45965</v>
      </c>
      <c r="G835" s="2">
        <v>45967</v>
      </c>
      <c r="H835" s="2">
        <v>45971</v>
      </c>
      <c r="I835" s="1" t="s">
        <v>17</v>
      </c>
      <c r="K835" s="2">
        <v>45995</v>
      </c>
      <c r="L835" s="88">
        <f>IF(OR(Data[[#This Row],[Service Follow-up Date]]="",Data[[#This Row],[Delivery Date]]=""),"",INT(Data[[#This Row],[Service Follow-up Date]]-Data[[#This Row],[Delivery Date]]))</f>
        <v>24</v>
      </c>
      <c r="M835" s="1">
        <v>4</v>
      </c>
      <c r="N835" s="1">
        <v>2</v>
      </c>
      <c r="O835" s="1">
        <v>4</v>
      </c>
      <c r="P835" s="1">
        <v>6</v>
      </c>
      <c r="Q835" t="str">
        <f>IF(ISBLANK(Data[[#This Row],[Customer Rating]]),"No Rating",IF(Data[[#This Row],[Customer Rating]]&gt;=9,"Promoter",IF(Data[[#This Row],[Customer Rating]]&gt;=7,"Passive","Detractor")))</f>
        <v>Detractor</v>
      </c>
    </row>
    <row r="836" spans="1:17" ht="14.25" customHeight="1" x14ac:dyDescent="0.3">
      <c r="A836" s="1" t="s">
        <v>862</v>
      </c>
      <c r="B836" s="1" t="s">
        <v>21</v>
      </c>
      <c r="C836" s="1" t="s">
        <v>30</v>
      </c>
      <c r="D836" s="1" t="str">
        <f>IF(Data[[#This Row],[Cancellation Status]]="No", "High Potential", "Normal")</f>
        <v>High Potential</v>
      </c>
      <c r="E836" s="2">
        <v>45939</v>
      </c>
      <c r="F836" s="2">
        <v>45944</v>
      </c>
      <c r="G836" s="2">
        <v>45948</v>
      </c>
      <c r="H836" s="2">
        <v>45951</v>
      </c>
      <c r="I836" s="1" t="s">
        <v>17</v>
      </c>
      <c r="K836" s="2">
        <v>45973</v>
      </c>
      <c r="L836" s="88">
        <f>IF(OR(Data[[#This Row],[Service Follow-up Date]]="",Data[[#This Row],[Delivery Date]]=""),"",INT(Data[[#This Row],[Service Follow-up Date]]-Data[[#This Row],[Delivery Date]]))</f>
        <v>22</v>
      </c>
      <c r="M836" s="1">
        <v>5</v>
      </c>
      <c r="N836" s="1">
        <v>4</v>
      </c>
      <c r="O836" s="1">
        <v>3</v>
      </c>
      <c r="P836" s="1">
        <v>8</v>
      </c>
      <c r="Q836" t="str">
        <f>IF(ISBLANK(Data[[#This Row],[Customer Rating]]),"No Rating",IF(Data[[#This Row],[Customer Rating]]&gt;=9,"Promoter",IF(Data[[#This Row],[Customer Rating]]&gt;=7,"Passive","Detractor")))</f>
        <v>Passive</v>
      </c>
    </row>
    <row r="837" spans="1:17" ht="14.25" customHeight="1" x14ac:dyDescent="0.3">
      <c r="A837" s="1" t="s">
        <v>863</v>
      </c>
      <c r="B837" s="1" t="s">
        <v>32</v>
      </c>
      <c r="C837" s="1" t="s">
        <v>16</v>
      </c>
      <c r="D837" s="1" t="str">
        <f>IF(Data[[#This Row],[Cancellation Status]]="No", "High Potential", "Normal")</f>
        <v>Normal</v>
      </c>
      <c r="E837" s="2">
        <v>45932</v>
      </c>
      <c r="F837" s="2">
        <v>45933</v>
      </c>
      <c r="G837" s="2">
        <v>45934</v>
      </c>
      <c r="H837" s="2">
        <v>45936</v>
      </c>
      <c r="I837" s="1" t="s">
        <v>23</v>
      </c>
      <c r="J837" s="1" t="s">
        <v>33</v>
      </c>
      <c r="L837" s="88" t="str">
        <f>IF(OR(Data[[#This Row],[Service Follow-up Date]]="",Data[[#This Row],[Delivery Date]]=""),"",INT(Data[[#This Row],[Service Follow-up Date]]-Data[[#This Row],[Delivery Date]]))</f>
        <v/>
      </c>
      <c r="M837" s="1">
        <v>1</v>
      </c>
      <c r="N837" s="1">
        <v>1</v>
      </c>
      <c r="O837" s="1">
        <v>2</v>
      </c>
      <c r="Q837" t="str">
        <f>IF(ISBLANK(Data[[#This Row],[Customer Rating]]),"No Rating",IF(Data[[#This Row],[Customer Rating]]&gt;=9,"Promoter",IF(Data[[#This Row],[Customer Rating]]&gt;=7,"Passive","Detractor")))</f>
        <v>No Rating</v>
      </c>
    </row>
    <row r="838" spans="1:17" ht="14.25" customHeight="1" x14ac:dyDescent="0.3">
      <c r="A838" s="1" t="s">
        <v>864</v>
      </c>
      <c r="B838" s="1" t="s">
        <v>32</v>
      </c>
      <c r="C838" s="1" t="s">
        <v>16</v>
      </c>
      <c r="D838" s="1" t="str">
        <f>IF(Data[[#This Row],[Cancellation Status]]="No", "High Potential", "Normal")</f>
        <v>High Potential</v>
      </c>
      <c r="E838" s="2">
        <v>45953</v>
      </c>
      <c r="F838" s="2">
        <v>45957</v>
      </c>
      <c r="G838" s="2">
        <v>45959</v>
      </c>
      <c r="H838" s="2">
        <v>45964</v>
      </c>
      <c r="I838" s="1" t="s">
        <v>17</v>
      </c>
      <c r="K838" s="2">
        <v>45977</v>
      </c>
      <c r="L838" s="88">
        <f>IF(OR(Data[[#This Row],[Service Follow-up Date]]="",Data[[#This Row],[Delivery Date]]=""),"",INT(Data[[#This Row],[Service Follow-up Date]]-Data[[#This Row],[Delivery Date]]))</f>
        <v>13</v>
      </c>
      <c r="M838" s="1">
        <v>4</v>
      </c>
      <c r="N838" s="1">
        <v>2</v>
      </c>
      <c r="O838" s="1">
        <v>5</v>
      </c>
      <c r="P838" s="1">
        <v>2</v>
      </c>
      <c r="Q838" t="str">
        <f>IF(ISBLANK(Data[[#This Row],[Customer Rating]]),"No Rating",IF(Data[[#This Row],[Customer Rating]]&gt;=9,"Promoter",IF(Data[[#This Row],[Customer Rating]]&gt;=7,"Passive","Detractor")))</f>
        <v>Detractor</v>
      </c>
    </row>
    <row r="839" spans="1:17" ht="14.25" customHeight="1" x14ac:dyDescent="0.3">
      <c r="A839" s="1" t="s">
        <v>865</v>
      </c>
      <c r="B839" s="1" t="s">
        <v>15</v>
      </c>
      <c r="C839" s="1" t="s">
        <v>16</v>
      </c>
      <c r="D839" s="1" t="str">
        <f>IF(Data[[#This Row],[Cancellation Status]]="No", "High Potential", "Normal")</f>
        <v>High Potential</v>
      </c>
      <c r="E839" s="2">
        <v>45942</v>
      </c>
      <c r="F839" s="2">
        <v>45947</v>
      </c>
      <c r="G839" s="2">
        <v>45950</v>
      </c>
      <c r="H839" s="2">
        <v>45955</v>
      </c>
      <c r="I839" s="1" t="s">
        <v>17</v>
      </c>
      <c r="K839" s="2">
        <v>45982</v>
      </c>
      <c r="L839" s="88">
        <f>IF(OR(Data[[#This Row],[Service Follow-up Date]]="",Data[[#This Row],[Delivery Date]]=""),"",INT(Data[[#This Row],[Service Follow-up Date]]-Data[[#This Row],[Delivery Date]]))</f>
        <v>27</v>
      </c>
      <c r="M839" s="1">
        <v>5</v>
      </c>
      <c r="N839" s="1">
        <v>3</v>
      </c>
      <c r="O839" s="1">
        <v>5</v>
      </c>
      <c r="P839" s="1">
        <v>6</v>
      </c>
      <c r="Q839" t="str">
        <f>IF(ISBLANK(Data[[#This Row],[Customer Rating]]),"No Rating",IF(Data[[#This Row],[Customer Rating]]&gt;=9,"Promoter",IF(Data[[#This Row],[Customer Rating]]&gt;=7,"Passive","Detractor")))</f>
        <v>Detractor</v>
      </c>
    </row>
    <row r="840" spans="1:17" ht="14.25" customHeight="1" x14ac:dyDescent="0.3">
      <c r="A840" s="1" t="s">
        <v>866</v>
      </c>
      <c r="B840" s="1" t="s">
        <v>19</v>
      </c>
      <c r="C840" s="1" t="s">
        <v>30</v>
      </c>
      <c r="D840" s="1" t="str">
        <f>IF(Data[[#This Row],[Cancellation Status]]="No", "High Potential", "Normal")</f>
        <v>High Potential</v>
      </c>
      <c r="E840" s="2">
        <v>45937</v>
      </c>
      <c r="F840" s="2">
        <v>45940</v>
      </c>
      <c r="G840" s="2">
        <v>45941</v>
      </c>
      <c r="H840" s="2">
        <v>45947</v>
      </c>
      <c r="I840" s="1" t="s">
        <v>17</v>
      </c>
      <c r="K840" s="2">
        <v>45965</v>
      </c>
      <c r="L840" s="88">
        <f>IF(OR(Data[[#This Row],[Service Follow-up Date]]="",Data[[#This Row],[Delivery Date]]=""),"",INT(Data[[#This Row],[Service Follow-up Date]]-Data[[#This Row],[Delivery Date]]))</f>
        <v>18</v>
      </c>
      <c r="M840" s="1">
        <v>3</v>
      </c>
      <c r="N840" s="1">
        <v>1</v>
      </c>
      <c r="O840" s="1">
        <v>6</v>
      </c>
      <c r="P840" s="1">
        <v>6</v>
      </c>
      <c r="Q840" t="str">
        <f>IF(ISBLANK(Data[[#This Row],[Customer Rating]]),"No Rating",IF(Data[[#This Row],[Customer Rating]]&gt;=9,"Promoter",IF(Data[[#This Row],[Customer Rating]]&gt;=7,"Passive","Detractor")))</f>
        <v>Detractor</v>
      </c>
    </row>
    <row r="841" spans="1:17" ht="14.25" customHeight="1" x14ac:dyDescent="0.3">
      <c r="A841" s="1" t="s">
        <v>867</v>
      </c>
      <c r="B841" s="1" t="s">
        <v>21</v>
      </c>
      <c r="C841" s="1" t="s">
        <v>30</v>
      </c>
      <c r="D841" s="1" t="str">
        <f>IF(Data[[#This Row],[Cancellation Status]]="No", "High Potential", "Normal")</f>
        <v>High Potential</v>
      </c>
      <c r="E841" s="2">
        <v>45945</v>
      </c>
      <c r="F841" s="2">
        <v>45948</v>
      </c>
      <c r="G841" s="2">
        <v>45952</v>
      </c>
      <c r="H841" s="2">
        <v>45959</v>
      </c>
      <c r="I841" s="1" t="s">
        <v>17</v>
      </c>
      <c r="K841" s="2">
        <v>45984</v>
      </c>
      <c r="L841" s="88">
        <f>IF(OR(Data[[#This Row],[Service Follow-up Date]]="",Data[[#This Row],[Delivery Date]]=""),"",INT(Data[[#This Row],[Service Follow-up Date]]-Data[[#This Row],[Delivery Date]]))</f>
        <v>25</v>
      </c>
      <c r="M841" s="1">
        <v>3</v>
      </c>
      <c r="N841" s="1">
        <v>4</v>
      </c>
      <c r="O841" s="1">
        <v>7</v>
      </c>
      <c r="P841" s="1">
        <v>9</v>
      </c>
      <c r="Q841" t="str">
        <f>IF(ISBLANK(Data[[#This Row],[Customer Rating]]),"No Rating",IF(Data[[#This Row],[Customer Rating]]&gt;=9,"Promoter",IF(Data[[#This Row],[Customer Rating]]&gt;=7,"Passive","Detractor")))</f>
        <v>Promoter</v>
      </c>
    </row>
    <row r="842" spans="1:17" ht="14.25" customHeight="1" x14ac:dyDescent="0.3">
      <c r="A842" s="1" t="s">
        <v>868</v>
      </c>
      <c r="B842" s="1" t="s">
        <v>15</v>
      </c>
      <c r="C842" s="1" t="s">
        <v>22</v>
      </c>
      <c r="D842" s="1" t="str">
        <f>IF(Data[[#This Row],[Cancellation Status]]="No", "High Potential", "Normal")</f>
        <v>Normal</v>
      </c>
      <c r="E842" s="2">
        <v>45945</v>
      </c>
      <c r="I842" s="1" t="s">
        <v>23</v>
      </c>
      <c r="J842" s="1" t="s">
        <v>33</v>
      </c>
      <c r="L842" s="88" t="str">
        <f>IF(OR(Data[[#This Row],[Service Follow-up Date]]="",Data[[#This Row],[Delivery Date]]=""),"",INT(Data[[#This Row],[Service Follow-up Date]]-Data[[#This Row],[Delivery Date]]))</f>
        <v/>
      </c>
      <c r="Q842" t="str">
        <f>IF(ISBLANK(Data[[#This Row],[Customer Rating]]),"No Rating",IF(Data[[#This Row],[Customer Rating]]&gt;=9,"Promoter",IF(Data[[#This Row],[Customer Rating]]&gt;=7,"Passive","Detractor")))</f>
        <v>No Rating</v>
      </c>
    </row>
    <row r="843" spans="1:17" ht="14.25" customHeight="1" x14ac:dyDescent="0.3">
      <c r="A843" s="1" t="s">
        <v>869</v>
      </c>
      <c r="B843" s="1" t="s">
        <v>19</v>
      </c>
      <c r="C843" s="1" t="s">
        <v>16</v>
      </c>
      <c r="D843" s="1" t="str">
        <f>IF(Data[[#This Row],[Cancellation Status]]="No", "High Potential", "Normal")</f>
        <v>High Potential</v>
      </c>
      <c r="E843" s="2">
        <v>45961</v>
      </c>
      <c r="F843" s="2">
        <v>45965</v>
      </c>
      <c r="G843" s="2">
        <v>45968</v>
      </c>
      <c r="H843" s="2">
        <v>45974</v>
      </c>
      <c r="I843" s="1" t="s">
        <v>17</v>
      </c>
      <c r="K843" s="2">
        <v>45988</v>
      </c>
      <c r="L843" s="88">
        <f>IF(OR(Data[[#This Row],[Service Follow-up Date]]="",Data[[#This Row],[Delivery Date]]=""),"",INT(Data[[#This Row],[Service Follow-up Date]]-Data[[#This Row],[Delivery Date]]))</f>
        <v>14</v>
      </c>
      <c r="M843" s="1">
        <v>4</v>
      </c>
      <c r="N843" s="1">
        <v>3</v>
      </c>
      <c r="O843" s="1">
        <v>6</v>
      </c>
      <c r="P843" s="1">
        <v>9</v>
      </c>
      <c r="Q843" t="str">
        <f>IF(ISBLANK(Data[[#This Row],[Customer Rating]]),"No Rating",IF(Data[[#This Row],[Customer Rating]]&gt;=9,"Promoter",IF(Data[[#This Row],[Customer Rating]]&gt;=7,"Passive","Detractor")))</f>
        <v>Promoter</v>
      </c>
    </row>
    <row r="844" spans="1:17" ht="14.25" customHeight="1" x14ac:dyDescent="0.3">
      <c r="A844" s="1" t="s">
        <v>870</v>
      </c>
      <c r="B844" s="1" t="s">
        <v>15</v>
      </c>
      <c r="C844" s="1" t="s">
        <v>16</v>
      </c>
      <c r="D844" s="1" t="str">
        <f>IF(Data[[#This Row],[Cancellation Status]]="No", "High Potential", "Normal")</f>
        <v>High Potential</v>
      </c>
      <c r="E844" s="2">
        <v>45938</v>
      </c>
      <c r="F844" s="2">
        <v>45940</v>
      </c>
      <c r="G844" s="2">
        <v>45945</v>
      </c>
      <c r="H844" s="2">
        <v>45948</v>
      </c>
      <c r="I844" s="1" t="s">
        <v>17</v>
      </c>
      <c r="K844" s="2">
        <v>45964</v>
      </c>
      <c r="L844" s="88">
        <f>IF(OR(Data[[#This Row],[Service Follow-up Date]]="",Data[[#This Row],[Delivery Date]]=""),"",INT(Data[[#This Row],[Service Follow-up Date]]-Data[[#This Row],[Delivery Date]]))</f>
        <v>16</v>
      </c>
      <c r="M844" s="1">
        <v>2</v>
      </c>
      <c r="N844" s="1">
        <v>5</v>
      </c>
      <c r="O844" s="1">
        <v>3</v>
      </c>
      <c r="P844" s="1">
        <v>0</v>
      </c>
      <c r="Q844" t="str">
        <f>IF(ISBLANK(Data[[#This Row],[Customer Rating]]),"No Rating",IF(Data[[#This Row],[Customer Rating]]&gt;=9,"Promoter",IF(Data[[#This Row],[Customer Rating]]&gt;=7,"Passive","Detractor")))</f>
        <v>Detractor</v>
      </c>
    </row>
    <row r="845" spans="1:17" ht="14.25" customHeight="1" x14ac:dyDescent="0.3">
      <c r="A845" s="1" t="s">
        <v>871</v>
      </c>
      <c r="B845" s="1" t="s">
        <v>32</v>
      </c>
      <c r="C845" s="1" t="s">
        <v>30</v>
      </c>
      <c r="D845" s="1" t="str">
        <f>IF(Data[[#This Row],[Cancellation Status]]="No", "High Potential", "Normal")</f>
        <v>Normal</v>
      </c>
      <c r="E845" s="2">
        <v>45958</v>
      </c>
      <c r="F845" s="2">
        <v>45962</v>
      </c>
      <c r="G845" s="2">
        <v>45966</v>
      </c>
      <c r="H845" s="2">
        <v>45968</v>
      </c>
      <c r="I845" s="1" t="s">
        <v>23</v>
      </c>
      <c r="J845" s="1" t="s">
        <v>33</v>
      </c>
      <c r="L845" s="88" t="str">
        <f>IF(OR(Data[[#This Row],[Service Follow-up Date]]="",Data[[#This Row],[Delivery Date]]=""),"",INT(Data[[#This Row],[Service Follow-up Date]]-Data[[#This Row],[Delivery Date]]))</f>
        <v/>
      </c>
      <c r="M845" s="1">
        <v>4</v>
      </c>
      <c r="N845" s="1">
        <v>4</v>
      </c>
      <c r="O845" s="1">
        <v>2</v>
      </c>
      <c r="Q845" t="str">
        <f>IF(ISBLANK(Data[[#This Row],[Customer Rating]]),"No Rating",IF(Data[[#This Row],[Customer Rating]]&gt;=9,"Promoter",IF(Data[[#This Row],[Customer Rating]]&gt;=7,"Passive","Detractor")))</f>
        <v>No Rating</v>
      </c>
    </row>
    <row r="846" spans="1:17" ht="14.25" customHeight="1" x14ac:dyDescent="0.3">
      <c r="A846" s="1" t="s">
        <v>872</v>
      </c>
      <c r="B846" s="1" t="s">
        <v>19</v>
      </c>
      <c r="C846" s="1" t="s">
        <v>22</v>
      </c>
      <c r="D846" s="1" t="str">
        <f>IF(Data[[#This Row],[Cancellation Status]]="No", "High Potential", "Normal")</f>
        <v>Normal</v>
      </c>
      <c r="E846" s="2">
        <v>45942</v>
      </c>
      <c r="I846" s="1" t="s">
        <v>23</v>
      </c>
      <c r="J846" s="1" t="s">
        <v>26</v>
      </c>
      <c r="L846" s="88" t="str">
        <f>IF(OR(Data[[#This Row],[Service Follow-up Date]]="",Data[[#This Row],[Delivery Date]]=""),"",INT(Data[[#This Row],[Service Follow-up Date]]-Data[[#This Row],[Delivery Date]]))</f>
        <v/>
      </c>
      <c r="Q846" t="str">
        <f>IF(ISBLANK(Data[[#This Row],[Customer Rating]]),"No Rating",IF(Data[[#This Row],[Customer Rating]]&gt;=9,"Promoter",IF(Data[[#This Row],[Customer Rating]]&gt;=7,"Passive","Detractor")))</f>
        <v>No Rating</v>
      </c>
    </row>
    <row r="847" spans="1:17" ht="14.25" customHeight="1" x14ac:dyDescent="0.3">
      <c r="A847" s="1" t="s">
        <v>873</v>
      </c>
      <c r="B847" s="1" t="s">
        <v>15</v>
      </c>
      <c r="C847" s="1" t="s">
        <v>16</v>
      </c>
      <c r="D847" s="1" t="str">
        <f>IF(Data[[#This Row],[Cancellation Status]]="No", "High Potential", "Normal")</f>
        <v>High Potential</v>
      </c>
      <c r="E847" s="2">
        <v>45934</v>
      </c>
      <c r="F847" s="2">
        <v>45937</v>
      </c>
      <c r="G847" s="2">
        <v>45940</v>
      </c>
      <c r="H847" s="2">
        <v>45945</v>
      </c>
      <c r="I847" s="1" t="s">
        <v>17</v>
      </c>
      <c r="K847" s="2">
        <v>45975</v>
      </c>
      <c r="L847" s="88">
        <f>IF(OR(Data[[#This Row],[Service Follow-up Date]]="",Data[[#This Row],[Delivery Date]]=""),"",INT(Data[[#This Row],[Service Follow-up Date]]-Data[[#This Row],[Delivery Date]]))</f>
        <v>30</v>
      </c>
      <c r="M847" s="1">
        <v>3</v>
      </c>
      <c r="N847" s="1">
        <v>3</v>
      </c>
      <c r="O847" s="1">
        <v>5</v>
      </c>
      <c r="P847" s="1">
        <v>7</v>
      </c>
      <c r="Q847" t="str">
        <f>IF(ISBLANK(Data[[#This Row],[Customer Rating]]),"No Rating",IF(Data[[#This Row],[Customer Rating]]&gt;=9,"Promoter",IF(Data[[#This Row],[Customer Rating]]&gt;=7,"Passive","Detractor")))</f>
        <v>Passive</v>
      </c>
    </row>
    <row r="848" spans="1:17" ht="14.25" customHeight="1" x14ac:dyDescent="0.3">
      <c r="A848" s="1" t="s">
        <v>874</v>
      </c>
      <c r="B848" s="1" t="s">
        <v>15</v>
      </c>
      <c r="C848" s="1" t="s">
        <v>16</v>
      </c>
      <c r="D848" s="1" t="str">
        <f>IF(Data[[#This Row],[Cancellation Status]]="No", "High Potential", "Normal")</f>
        <v>High Potential</v>
      </c>
      <c r="E848" s="2">
        <v>45952</v>
      </c>
      <c r="F848" s="2">
        <v>45956</v>
      </c>
      <c r="G848" s="2">
        <v>45960</v>
      </c>
      <c r="H848" s="2">
        <v>45962</v>
      </c>
      <c r="I848" s="1" t="s">
        <v>17</v>
      </c>
      <c r="K848" s="2">
        <v>45972</v>
      </c>
      <c r="L848" s="88">
        <f>IF(OR(Data[[#This Row],[Service Follow-up Date]]="",Data[[#This Row],[Delivery Date]]=""),"",INT(Data[[#This Row],[Service Follow-up Date]]-Data[[#This Row],[Delivery Date]]))</f>
        <v>10</v>
      </c>
      <c r="M848" s="1">
        <v>4</v>
      </c>
      <c r="N848" s="1">
        <v>4</v>
      </c>
      <c r="O848" s="1">
        <v>2</v>
      </c>
      <c r="P848" s="1">
        <v>3</v>
      </c>
      <c r="Q848" t="str">
        <f>IF(ISBLANK(Data[[#This Row],[Customer Rating]]),"No Rating",IF(Data[[#This Row],[Customer Rating]]&gt;=9,"Promoter",IF(Data[[#This Row],[Customer Rating]]&gt;=7,"Passive","Detractor")))</f>
        <v>Detractor</v>
      </c>
    </row>
    <row r="849" spans="1:17" ht="14.25" customHeight="1" x14ac:dyDescent="0.3">
      <c r="A849" s="1" t="s">
        <v>875</v>
      </c>
      <c r="B849" s="1" t="s">
        <v>21</v>
      </c>
      <c r="C849" s="1" t="s">
        <v>22</v>
      </c>
      <c r="D849" s="1" t="str">
        <f>IF(Data[[#This Row],[Cancellation Status]]="No", "High Potential", "Normal")</f>
        <v>Normal</v>
      </c>
      <c r="E849" s="2">
        <v>45942</v>
      </c>
      <c r="I849" s="1" t="s">
        <v>23</v>
      </c>
      <c r="J849" s="1" t="s">
        <v>63</v>
      </c>
      <c r="L849" s="88" t="str">
        <f>IF(OR(Data[[#This Row],[Service Follow-up Date]]="",Data[[#This Row],[Delivery Date]]=""),"",INT(Data[[#This Row],[Service Follow-up Date]]-Data[[#This Row],[Delivery Date]]))</f>
        <v/>
      </c>
      <c r="Q849" t="str">
        <f>IF(ISBLANK(Data[[#This Row],[Customer Rating]]),"No Rating",IF(Data[[#This Row],[Customer Rating]]&gt;=9,"Promoter",IF(Data[[#This Row],[Customer Rating]]&gt;=7,"Passive","Detractor")))</f>
        <v>No Rating</v>
      </c>
    </row>
    <row r="850" spans="1:17" ht="14.25" customHeight="1" x14ac:dyDescent="0.3">
      <c r="A850" s="1" t="s">
        <v>876</v>
      </c>
      <c r="B850" s="1" t="s">
        <v>15</v>
      </c>
      <c r="C850" s="1" t="s">
        <v>30</v>
      </c>
      <c r="D850" s="1" t="str">
        <f>IF(Data[[#This Row],[Cancellation Status]]="No", "High Potential", "Normal")</f>
        <v>High Potential</v>
      </c>
      <c r="E850" s="2">
        <v>45948</v>
      </c>
      <c r="F850" s="2">
        <v>45949</v>
      </c>
      <c r="G850" s="2">
        <v>45952</v>
      </c>
      <c r="H850" s="2">
        <v>45955</v>
      </c>
      <c r="I850" s="1" t="s">
        <v>17</v>
      </c>
      <c r="K850" s="2">
        <v>45974</v>
      </c>
      <c r="L850" s="88">
        <f>IF(OR(Data[[#This Row],[Service Follow-up Date]]="",Data[[#This Row],[Delivery Date]]=""),"",INT(Data[[#This Row],[Service Follow-up Date]]-Data[[#This Row],[Delivery Date]]))</f>
        <v>19</v>
      </c>
      <c r="M850" s="1">
        <v>1</v>
      </c>
      <c r="N850" s="1">
        <v>3</v>
      </c>
      <c r="O850" s="1">
        <v>3</v>
      </c>
      <c r="P850" s="1">
        <v>5</v>
      </c>
      <c r="Q850" t="str">
        <f>IF(ISBLANK(Data[[#This Row],[Customer Rating]]),"No Rating",IF(Data[[#This Row],[Customer Rating]]&gt;=9,"Promoter",IF(Data[[#This Row],[Customer Rating]]&gt;=7,"Passive","Detractor")))</f>
        <v>Detractor</v>
      </c>
    </row>
    <row r="851" spans="1:17" ht="14.25" customHeight="1" x14ac:dyDescent="0.3">
      <c r="A851" s="1" t="s">
        <v>877</v>
      </c>
      <c r="B851" s="1" t="s">
        <v>19</v>
      </c>
      <c r="C851" s="1" t="s">
        <v>16</v>
      </c>
      <c r="D851" s="1" t="str">
        <f>IF(Data[[#This Row],[Cancellation Status]]="No", "High Potential", "Normal")</f>
        <v>High Potential</v>
      </c>
      <c r="E851" s="2">
        <v>45959</v>
      </c>
      <c r="F851" s="2">
        <v>45960</v>
      </c>
      <c r="G851" s="2">
        <v>45964</v>
      </c>
      <c r="H851" s="2">
        <v>45966</v>
      </c>
      <c r="I851" s="1" t="s">
        <v>17</v>
      </c>
      <c r="K851" s="2">
        <v>45989</v>
      </c>
      <c r="L851" s="88">
        <f>IF(OR(Data[[#This Row],[Service Follow-up Date]]="",Data[[#This Row],[Delivery Date]]=""),"",INT(Data[[#This Row],[Service Follow-up Date]]-Data[[#This Row],[Delivery Date]]))</f>
        <v>23</v>
      </c>
      <c r="M851" s="1">
        <v>1</v>
      </c>
      <c r="N851" s="1">
        <v>4</v>
      </c>
      <c r="O851" s="1">
        <v>2</v>
      </c>
      <c r="P851" s="1">
        <v>6</v>
      </c>
      <c r="Q851" t="str">
        <f>IF(ISBLANK(Data[[#This Row],[Customer Rating]]),"No Rating",IF(Data[[#This Row],[Customer Rating]]&gt;=9,"Promoter",IF(Data[[#This Row],[Customer Rating]]&gt;=7,"Passive","Detractor")))</f>
        <v>Detractor</v>
      </c>
    </row>
    <row r="852" spans="1:17" ht="14.25" customHeight="1" x14ac:dyDescent="0.3">
      <c r="A852" s="1" t="s">
        <v>878</v>
      </c>
      <c r="B852" s="1" t="s">
        <v>19</v>
      </c>
      <c r="C852" s="1" t="s">
        <v>16</v>
      </c>
      <c r="D852" s="1" t="str">
        <f>IF(Data[[#This Row],[Cancellation Status]]="No", "High Potential", "Normal")</f>
        <v>High Potential</v>
      </c>
      <c r="E852" s="2">
        <v>45951</v>
      </c>
      <c r="F852" s="2">
        <v>45953</v>
      </c>
      <c r="G852" s="2">
        <v>45958</v>
      </c>
      <c r="H852" s="2">
        <v>45960</v>
      </c>
      <c r="I852" s="1" t="s">
        <v>17</v>
      </c>
      <c r="K852" s="2">
        <v>45973</v>
      </c>
      <c r="L852" s="88">
        <f>IF(OR(Data[[#This Row],[Service Follow-up Date]]="",Data[[#This Row],[Delivery Date]]=""),"",INT(Data[[#This Row],[Service Follow-up Date]]-Data[[#This Row],[Delivery Date]]))</f>
        <v>13</v>
      </c>
      <c r="M852" s="1">
        <v>2</v>
      </c>
      <c r="N852" s="1">
        <v>5</v>
      </c>
      <c r="O852" s="1">
        <v>2</v>
      </c>
      <c r="P852" s="1">
        <v>4</v>
      </c>
      <c r="Q852" t="str">
        <f>IF(ISBLANK(Data[[#This Row],[Customer Rating]]),"No Rating",IF(Data[[#This Row],[Customer Rating]]&gt;=9,"Promoter",IF(Data[[#This Row],[Customer Rating]]&gt;=7,"Passive","Detractor")))</f>
        <v>Detractor</v>
      </c>
    </row>
    <row r="853" spans="1:17" ht="14.25" customHeight="1" x14ac:dyDescent="0.3">
      <c r="A853" s="1" t="s">
        <v>879</v>
      </c>
      <c r="B853" s="1" t="s">
        <v>21</v>
      </c>
      <c r="C853" s="1" t="s">
        <v>30</v>
      </c>
      <c r="D853" s="1" t="str">
        <f>IF(Data[[#This Row],[Cancellation Status]]="No", "High Potential", "Normal")</f>
        <v>High Potential</v>
      </c>
      <c r="E853" s="2">
        <v>45942</v>
      </c>
      <c r="F853" s="2">
        <v>45946</v>
      </c>
      <c r="G853" s="2">
        <v>45948</v>
      </c>
      <c r="H853" s="2">
        <v>45950</v>
      </c>
      <c r="I853" s="1" t="s">
        <v>17</v>
      </c>
      <c r="K853" s="2">
        <v>45976</v>
      </c>
      <c r="L853" s="88">
        <f>IF(OR(Data[[#This Row],[Service Follow-up Date]]="",Data[[#This Row],[Delivery Date]]=""),"",INT(Data[[#This Row],[Service Follow-up Date]]-Data[[#This Row],[Delivery Date]]))</f>
        <v>26</v>
      </c>
      <c r="M853" s="1">
        <v>4</v>
      </c>
      <c r="N853" s="1">
        <v>2</v>
      </c>
      <c r="O853" s="1">
        <v>2</v>
      </c>
      <c r="P853" s="1">
        <v>9</v>
      </c>
      <c r="Q853" t="str">
        <f>IF(ISBLANK(Data[[#This Row],[Customer Rating]]),"No Rating",IF(Data[[#This Row],[Customer Rating]]&gt;=9,"Promoter",IF(Data[[#This Row],[Customer Rating]]&gt;=7,"Passive","Detractor")))</f>
        <v>Promoter</v>
      </c>
    </row>
    <row r="854" spans="1:17" ht="14.25" customHeight="1" x14ac:dyDescent="0.3">
      <c r="A854" s="1" t="s">
        <v>880</v>
      </c>
      <c r="B854" s="1" t="s">
        <v>19</v>
      </c>
      <c r="C854" s="1" t="s">
        <v>22</v>
      </c>
      <c r="D854" s="1" t="str">
        <f>IF(Data[[#This Row],[Cancellation Status]]="No", "High Potential", "Normal")</f>
        <v>Normal</v>
      </c>
      <c r="E854" s="2">
        <v>45932</v>
      </c>
      <c r="I854" s="1" t="s">
        <v>23</v>
      </c>
      <c r="J854" s="1" t="s">
        <v>101</v>
      </c>
      <c r="L854" s="88" t="str">
        <f>IF(OR(Data[[#This Row],[Service Follow-up Date]]="",Data[[#This Row],[Delivery Date]]=""),"",INT(Data[[#This Row],[Service Follow-up Date]]-Data[[#This Row],[Delivery Date]]))</f>
        <v/>
      </c>
      <c r="Q854" t="str">
        <f>IF(ISBLANK(Data[[#This Row],[Customer Rating]]),"No Rating",IF(Data[[#This Row],[Customer Rating]]&gt;=9,"Promoter",IF(Data[[#This Row],[Customer Rating]]&gt;=7,"Passive","Detractor")))</f>
        <v>No Rating</v>
      </c>
    </row>
    <row r="855" spans="1:17" ht="14.25" customHeight="1" x14ac:dyDescent="0.3">
      <c r="A855" s="1" t="s">
        <v>881</v>
      </c>
      <c r="B855" s="1" t="s">
        <v>32</v>
      </c>
      <c r="C855" s="1" t="s">
        <v>16</v>
      </c>
      <c r="D855" s="1" t="str">
        <f>IF(Data[[#This Row],[Cancellation Status]]="No", "High Potential", "Normal")</f>
        <v>Normal</v>
      </c>
      <c r="E855" s="2">
        <v>45943</v>
      </c>
      <c r="F855" s="2">
        <v>45947</v>
      </c>
      <c r="G855" s="2">
        <v>45950</v>
      </c>
      <c r="H855" s="2">
        <v>45953</v>
      </c>
      <c r="I855" s="1" t="s">
        <v>23</v>
      </c>
      <c r="J855" s="1" t="s">
        <v>24</v>
      </c>
      <c r="L855" s="88" t="str">
        <f>IF(OR(Data[[#This Row],[Service Follow-up Date]]="",Data[[#This Row],[Delivery Date]]=""),"",INT(Data[[#This Row],[Service Follow-up Date]]-Data[[#This Row],[Delivery Date]]))</f>
        <v/>
      </c>
      <c r="M855" s="1">
        <v>4</v>
      </c>
      <c r="N855" s="1">
        <v>3</v>
      </c>
      <c r="O855" s="1">
        <v>3</v>
      </c>
      <c r="Q855" t="str">
        <f>IF(ISBLANK(Data[[#This Row],[Customer Rating]]),"No Rating",IF(Data[[#This Row],[Customer Rating]]&gt;=9,"Promoter",IF(Data[[#This Row],[Customer Rating]]&gt;=7,"Passive","Detractor")))</f>
        <v>No Rating</v>
      </c>
    </row>
    <row r="856" spans="1:17" ht="14.25" customHeight="1" x14ac:dyDescent="0.3">
      <c r="A856" s="1" t="s">
        <v>882</v>
      </c>
      <c r="B856" s="1" t="s">
        <v>19</v>
      </c>
      <c r="C856" s="1" t="s">
        <v>16</v>
      </c>
      <c r="D856" s="1" t="str">
        <f>IF(Data[[#This Row],[Cancellation Status]]="No", "High Potential", "Normal")</f>
        <v>High Potential</v>
      </c>
      <c r="E856" s="2">
        <v>45939</v>
      </c>
      <c r="F856" s="2">
        <v>45943</v>
      </c>
      <c r="G856" s="2">
        <v>45946</v>
      </c>
      <c r="H856" s="2">
        <v>45949</v>
      </c>
      <c r="I856" s="1" t="s">
        <v>17</v>
      </c>
      <c r="K856" s="2">
        <v>45967</v>
      </c>
      <c r="L856" s="88">
        <f>IF(OR(Data[[#This Row],[Service Follow-up Date]]="",Data[[#This Row],[Delivery Date]]=""),"",INT(Data[[#This Row],[Service Follow-up Date]]-Data[[#This Row],[Delivery Date]]))</f>
        <v>18</v>
      </c>
      <c r="M856" s="1">
        <v>4</v>
      </c>
      <c r="N856" s="1">
        <v>3</v>
      </c>
      <c r="O856" s="1">
        <v>3</v>
      </c>
      <c r="P856" s="1">
        <v>2</v>
      </c>
      <c r="Q856" t="str">
        <f>IF(ISBLANK(Data[[#This Row],[Customer Rating]]),"No Rating",IF(Data[[#This Row],[Customer Rating]]&gt;=9,"Promoter",IF(Data[[#This Row],[Customer Rating]]&gt;=7,"Passive","Detractor")))</f>
        <v>Detractor</v>
      </c>
    </row>
    <row r="857" spans="1:17" ht="14.25" customHeight="1" x14ac:dyDescent="0.3">
      <c r="A857" s="1" t="s">
        <v>883</v>
      </c>
      <c r="B857" s="1" t="s">
        <v>19</v>
      </c>
      <c r="C857" s="1" t="s">
        <v>30</v>
      </c>
      <c r="D857" s="1" t="str">
        <f>IF(Data[[#This Row],[Cancellation Status]]="No", "High Potential", "Normal")</f>
        <v>High Potential</v>
      </c>
      <c r="E857" s="2">
        <v>45937</v>
      </c>
      <c r="F857" s="2">
        <v>45941</v>
      </c>
      <c r="G857" s="2">
        <v>45946</v>
      </c>
      <c r="H857" s="2">
        <v>45949</v>
      </c>
      <c r="I857" s="1" t="s">
        <v>17</v>
      </c>
      <c r="K857" s="2">
        <v>45978</v>
      </c>
      <c r="L857" s="88">
        <f>IF(OR(Data[[#This Row],[Service Follow-up Date]]="",Data[[#This Row],[Delivery Date]]=""),"",INT(Data[[#This Row],[Service Follow-up Date]]-Data[[#This Row],[Delivery Date]]))</f>
        <v>29</v>
      </c>
      <c r="M857" s="1">
        <v>4</v>
      </c>
      <c r="N857" s="1">
        <v>5</v>
      </c>
      <c r="O857" s="1">
        <v>3</v>
      </c>
      <c r="P857" s="1">
        <v>7</v>
      </c>
      <c r="Q857" t="str">
        <f>IF(ISBLANK(Data[[#This Row],[Customer Rating]]),"No Rating",IF(Data[[#This Row],[Customer Rating]]&gt;=9,"Promoter",IF(Data[[#This Row],[Customer Rating]]&gt;=7,"Passive","Detractor")))</f>
        <v>Passive</v>
      </c>
    </row>
    <row r="858" spans="1:17" ht="14.25" customHeight="1" x14ac:dyDescent="0.3">
      <c r="A858" s="1" t="s">
        <v>884</v>
      </c>
      <c r="B858" s="1" t="s">
        <v>15</v>
      </c>
      <c r="C858" s="1" t="s">
        <v>30</v>
      </c>
      <c r="D858" s="1" t="str">
        <f>IF(Data[[#This Row],[Cancellation Status]]="No", "High Potential", "Normal")</f>
        <v>High Potential</v>
      </c>
      <c r="E858" s="2">
        <v>45961</v>
      </c>
      <c r="F858" s="2">
        <v>45963</v>
      </c>
      <c r="G858" s="2">
        <v>45965</v>
      </c>
      <c r="H858" s="2">
        <v>45970</v>
      </c>
      <c r="I858" s="1" t="s">
        <v>17</v>
      </c>
      <c r="K858" s="2">
        <v>45999</v>
      </c>
      <c r="L858" s="88">
        <f>IF(OR(Data[[#This Row],[Service Follow-up Date]]="",Data[[#This Row],[Delivery Date]]=""),"",INT(Data[[#This Row],[Service Follow-up Date]]-Data[[#This Row],[Delivery Date]]))</f>
        <v>29</v>
      </c>
      <c r="M858" s="1">
        <v>2</v>
      </c>
      <c r="N858" s="1">
        <v>2</v>
      </c>
      <c r="O858" s="1">
        <v>5</v>
      </c>
      <c r="P858" s="1">
        <v>1</v>
      </c>
      <c r="Q858" t="str">
        <f>IF(ISBLANK(Data[[#This Row],[Customer Rating]]),"No Rating",IF(Data[[#This Row],[Customer Rating]]&gt;=9,"Promoter",IF(Data[[#This Row],[Customer Rating]]&gt;=7,"Passive","Detractor")))</f>
        <v>Detractor</v>
      </c>
    </row>
    <row r="859" spans="1:17" ht="14.25" customHeight="1" x14ac:dyDescent="0.3">
      <c r="A859" s="1" t="s">
        <v>885</v>
      </c>
      <c r="B859" s="1" t="s">
        <v>15</v>
      </c>
      <c r="C859" s="1" t="s">
        <v>16</v>
      </c>
      <c r="D859" s="1" t="str">
        <f>IF(Data[[#This Row],[Cancellation Status]]="No", "High Potential", "Normal")</f>
        <v>High Potential</v>
      </c>
      <c r="E859" s="2">
        <v>45934</v>
      </c>
      <c r="F859" s="2">
        <v>45937</v>
      </c>
      <c r="G859" s="2">
        <v>45941</v>
      </c>
      <c r="H859" s="2">
        <v>45945</v>
      </c>
      <c r="I859" s="1" t="s">
        <v>17</v>
      </c>
      <c r="K859" s="2">
        <v>45959</v>
      </c>
      <c r="L859" s="88">
        <f>IF(OR(Data[[#This Row],[Service Follow-up Date]]="",Data[[#This Row],[Delivery Date]]=""),"",INT(Data[[#This Row],[Service Follow-up Date]]-Data[[#This Row],[Delivery Date]]))</f>
        <v>14</v>
      </c>
      <c r="M859" s="1">
        <v>3</v>
      </c>
      <c r="N859" s="1">
        <v>4</v>
      </c>
      <c r="O859" s="1">
        <v>4</v>
      </c>
      <c r="P859" s="1">
        <v>3</v>
      </c>
      <c r="Q859" t="str">
        <f>IF(ISBLANK(Data[[#This Row],[Customer Rating]]),"No Rating",IF(Data[[#This Row],[Customer Rating]]&gt;=9,"Promoter",IF(Data[[#This Row],[Customer Rating]]&gt;=7,"Passive","Detractor")))</f>
        <v>Detractor</v>
      </c>
    </row>
    <row r="860" spans="1:17" ht="14.25" customHeight="1" x14ac:dyDescent="0.3">
      <c r="A860" s="1" t="s">
        <v>886</v>
      </c>
      <c r="B860" s="1" t="s">
        <v>19</v>
      </c>
      <c r="C860" s="1" t="s">
        <v>16</v>
      </c>
      <c r="D860" s="1" t="str">
        <f>IF(Data[[#This Row],[Cancellation Status]]="No", "High Potential", "Normal")</f>
        <v>High Potential</v>
      </c>
      <c r="E860" s="2">
        <v>45961</v>
      </c>
      <c r="F860" s="2">
        <v>45966</v>
      </c>
      <c r="G860" s="2">
        <v>45969</v>
      </c>
      <c r="H860" s="2">
        <v>45976</v>
      </c>
      <c r="I860" s="1" t="s">
        <v>17</v>
      </c>
      <c r="K860" s="2">
        <v>45999</v>
      </c>
      <c r="L860" s="88">
        <f>IF(OR(Data[[#This Row],[Service Follow-up Date]]="",Data[[#This Row],[Delivery Date]]=""),"",INT(Data[[#This Row],[Service Follow-up Date]]-Data[[#This Row],[Delivery Date]]))</f>
        <v>23</v>
      </c>
      <c r="M860" s="1">
        <v>5</v>
      </c>
      <c r="N860" s="1">
        <v>3</v>
      </c>
      <c r="O860" s="1">
        <v>7</v>
      </c>
      <c r="P860" s="1">
        <v>7</v>
      </c>
      <c r="Q860" t="str">
        <f>IF(ISBLANK(Data[[#This Row],[Customer Rating]]),"No Rating",IF(Data[[#This Row],[Customer Rating]]&gt;=9,"Promoter",IF(Data[[#This Row],[Customer Rating]]&gt;=7,"Passive","Detractor")))</f>
        <v>Passive</v>
      </c>
    </row>
    <row r="861" spans="1:17" ht="14.25" customHeight="1" x14ac:dyDescent="0.3">
      <c r="A861" s="1" t="s">
        <v>887</v>
      </c>
      <c r="B861" s="1" t="s">
        <v>21</v>
      </c>
      <c r="C861" s="1" t="s">
        <v>30</v>
      </c>
      <c r="D861" s="1" t="str">
        <f>IF(Data[[#This Row],[Cancellation Status]]="No", "High Potential", "Normal")</f>
        <v>High Potential</v>
      </c>
      <c r="E861" s="2">
        <v>45958</v>
      </c>
      <c r="F861" s="2">
        <v>45960</v>
      </c>
      <c r="G861" s="2">
        <v>45962</v>
      </c>
      <c r="H861" s="2">
        <v>45969</v>
      </c>
      <c r="I861" s="1" t="s">
        <v>17</v>
      </c>
      <c r="K861" s="2">
        <v>45982</v>
      </c>
      <c r="L861" s="88">
        <f>IF(OR(Data[[#This Row],[Service Follow-up Date]]="",Data[[#This Row],[Delivery Date]]=""),"",INT(Data[[#This Row],[Service Follow-up Date]]-Data[[#This Row],[Delivery Date]]))</f>
        <v>13</v>
      </c>
      <c r="M861" s="1">
        <v>2</v>
      </c>
      <c r="N861" s="1">
        <v>2</v>
      </c>
      <c r="O861" s="1">
        <v>7</v>
      </c>
      <c r="P861" s="1">
        <v>4</v>
      </c>
      <c r="Q861" t="str">
        <f>IF(ISBLANK(Data[[#This Row],[Customer Rating]]),"No Rating",IF(Data[[#This Row],[Customer Rating]]&gt;=9,"Promoter",IF(Data[[#This Row],[Customer Rating]]&gt;=7,"Passive","Detractor")))</f>
        <v>Detractor</v>
      </c>
    </row>
    <row r="862" spans="1:17" ht="14.25" customHeight="1" x14ac:dyDescent="0.3">
      <c r="A862" s="1" t="s">
        <v>888</v>
      </c>
      <c r="B862" s="1" t="s">
        <v>15</v>
      </c>
      <c r="C862" s="1" t="s">
        <v>16</v>
      </c>
      <c r="D862" s="1" t="str">
        <f>IF(Data[[#This Row],[Cancellation Status]]="No", "High Potential", "Normal")</f>
        <v>High Potential</v>
      </c>
      <c r="E862" s="2">
        <v>45957</v>
      </c>
      <c r="F862" s="2">
        <v>45960</v>
      </c>
      <c r="G862" s="2">
        <v>45964</v>
      </c>
      <c r="H862" s="2">
        <v>45971</v>
      </c>
      <c r="I862" s="1" t="s">
        <v>17</v>
      </c>
      <c r="K862" s="2">
        <v>45997</v>
      </c>
      <c r="L862" s="88">
        <f>IF(OR(Data[[#This Row],[Service Follow-up Date]]="",Data[[#This Row],[Delivery Date]]=""),"",INT(Data[[#This Row],[Service Follow-up Date]]-Data[[#This Row],[Delivery Date]]))</f>
        <v>26</v>
      </c>
      <c r="M862" s="1">
        <v>3</v>
      </c>
      <c r="N862" s="1">
        <v>4</v>
      </c>
      <c r="O862" s="1">
        <v>7</v>
      </c>
      <c r="P862" s="1">
        <v>2</v>
      </c>
      <c r="Q862" t="str">
        <f>IF(ISBLANK(Data[[#This Row],[Customer Rating]]),"No Rating",IF(Data[[#This Row],[Customer Rating]]&gt;=9,"Promoter",IF(Data[[#This Row],[Customer Rating]]&gt;=7,"Passive","Detractor")))</f>
        <v>Detractor</v>
      </c>
    </row>
    <row r="863" spans="1:17" ht="14.25" customHeight="1" x14ac:dyDescent="0.3">
      <c r="A863" s="1" t="s">
        <v>889</v>
      </c>
      <c r="B863" s="1" t="s">
        <v>21</v>
      </c>
      <c r="C863" s="1" t="s">
        <v>16</v>
      </c>
      <c r="D863" s="1" t="str">
        <f>IF(Data[[#This Row],[Cancellation Status]]="No", "High Potential", "Normal")</f>
        <v>High Potential</v>
      </c>
      <c r="E863" s="2">
        <v>45945</v>
      </c>
      <c r="F863" s="2">
        <v>45948</v>
      </c>
      <c r="G863" s="2">
        <v>45951</v>
      </c>
      <c r="H863" s="2">
        <v>45953</v>
      </c>
      <c r="I863" s="1" t="s">
        <v>17</v>
      </c>
      <c r="K863" s="2">
        <v>45982</v>
      </c>
      <c r="L863" s="88">
        <f>IF(OR(Data[[#This Row],[Service Follow-up Date]]="",Data[[#This Row],[Delivery Date]]=""),"",INT(Data[[#This Row],[Service Follow-up Date]]-Data[[#This Row],[Delivery Date]]))</f>
        <v>29</v>
      </c>
      <c r="M863" s="1">
        <v>3</v>
      </c>
      <c r="N863" s="1">
        <v>3</v>
      </c>
      <c r="O863" s="1">
        <v>2</v>
      </c>
      <c r="P863" s="1">
        <v>5</v>
      </c>
      <c r="Q863" t="str">
        <f>IF(ISBLANK(Data[[#This Row],[Customer Rating]]),"No Rating",IF(Data[[#This Row],[Customer Rating]]&gt;=9,"Promoter",IF(Data[[#This Row],[Customer Rating]]&gt;=7,"Passive","Detractor")))</f>
        <v>Detractor</v>
      </c>
    </row>
    <row r="864" spans="1:17" ht="14.25" customHeight="1" x14ac:dyDescent="0.3">
      <c r="A864" s="1" t="s">
        <v>890</v>
      </c>
      <c r="B864" s="1" t="s">
        <v>19</v>
      </c>
      <c r="C864" s="1" t="s">
        <v>30</v>
      </c>
      <c r="D864" s="1" t="str">
        <f>IF(Data[[#This Row],[Cancellation Status]]="No", "High Potential", "Normal")</f>
        <v>Normal</v>
      </c>
      <c r="E864" s="2">
        <v>45933</v>
      </c>
      <c r="F864" s="2">
        <v>45936</v>
      </c>
      <c r="G864" s="2">
        <v>45939</v>
      </c>
      <c r="H864" s="2">
        <v>45945</v>
      </c>
      <c r="I864" s="1" t="s">
        <v>23</v>
      </c>
      <c r="J864" s="1" t="s">
        <v>63</v>
      </c>
      <c r="L864" s="88" t="str">
        <f>IF(OR(Data[[#This Row],[Service Follow-up Date]]="",Data[[#This Row],[Delivery Date]]=""),"",INT(Data[[#This Row],[Service Follow-up Date]]-Data[[#This Row],[Delivery Date]]))</f>
        <v/>
      </c>
      <c r="M864" s="1">
        <v>3</v>
      </c>
      <c r="N864" s="1">
        <v>3</v>
      </c>
      <c r="O864" s="1">
        <v>6</v>
      </c>
      <c r="Q864" t="str">
        <f>IF(ISBLANK(Data[[#This Row],[Customer Rating]]),"No Rating",IF(Data[[#This Row],[Customer Rating]]&gt;=9,"Promoter",IF(Data[[#This Row],[Customer Rating]]&gt;=7,"Passive","Detractor")))</f>
        <v>No Rating</v>
      </c>
    </row>
    <row r="865" spans="1:17" ht="14.25" customHeight="1" x14ac:dyDescent="0.3">
      <c r="A865" s="1" t="s">
        <v>891</v>
      </c>
      <c r="B865" s="1" t="s">
        <v>19</v>
      </c>
      <c r="C865" s="1" t="s">
        <v>16</v>
      </c>
      <c r="D865" s="1" t="str">
        <f>IF(Data[[#This Row],[Cancellation Status]]="No", "High Potential", "Normal")</f>
        <v>High Potential</v>
      </c>
      <c r="E865" s="2">
        <v>45952</v>
      </c>
      <c r="F865" s="2">
        <v>45956</v>
      </c>
      <c r="G865" s="2">
        <v>45960</v>
      </c>
      <c r="H865" s="2">
        <v>45966</v>
      </c>
      <c r="I865" s="1" t="s">
        <v>17</v>
      </c>
      <c r="K865" s="2">
        <v>45979</v>
      </c>
      <c r="L865" s="88">
        <f>IF(OR(Data[[#This Row],[Service Follow-up Date]]="",Data[[#This Row],[Delivery Date]]=""),"",INT(Data[[#This Row],[Service Follow-up Date]]-Data[[#This Row],[Delivery Date]]))</f>
        <v>13</v>
      </c>
      <c r="M865" s="1">
        <v>4</v>
      </c>
      <c r="N865" s="1">
        <v>4</v>
      </c>
      <c r="O865" s="1">
        <v>6</v>
      </c>
      <c r="P865" s="1">
        <v>9</v>
      </c>
      <c r="Q865" t="str">
        <f>IF(ISBLANK(Data[[#This Row],[Customer Rating]]),"No Rating",IF(Data[[#This Row],[Customer Rating]]&gt;=9,"Promoter",IF(Data[[#This Row],[Customer Rating]]&gt;=7,"Passive","Detractor")))</f>
        <v>Promoter</v>
      </c>
    </row>
    <row r="866" spans="1:17" ht="14.25" customHeight="1" x14ac:dyDescent="0.3">
      <c r="A866" s="1" t="s">
        <v>892</v>
      </c>
      <c r="B866" s="1" t="s">
        <v>32</v>
      </c>
      <c r="C866" s="1" t="s">
        <v>30</v>
      </c>
      <c r="D866" s="1" t="str">
        <f>IF(Data[[#This Row],[Cancellation Status]]="No", "High Potential", "Normal")</f>
        <v>High Potential</v>
      </c>
      <c r="E866" s="2">
        <v>45937</v>
      </c>
      <c r="F866" s="2">
        <v>45939</v>
      </c>
      <c r="G866" s="2">
        <v>45944</v>
      </c>
      <c r="H866" s="2">
        <v>45948</v>
      </c>
      <c r="I866" s="1" t="s">
        <v>17</v>
      </c>
      <c r="K866" s="2">
        <v>45967</v>
      </c>
      <c r="L866" s="88">
        <f>IF(OR(Data[[#This Row],[Service Follow-up Date]]="",Data[[#This Row],[Delivery Date]]=""),"",INT(Data[[#This Row],[Service Follow-up Date]]-Data[[#This Row],[Delivery Date]]))</f>
        <v>19</v>
      </c>
      <c r="M866" s="1">
        <v>2</v>
      </c>
      <c r="N866" s="1">
        <v>5</v>
      </c>
      <c r="O866" s="1">
        <v>4</v>
      </c>
      <c r="P866" s="1">
        <v>4</v>
      </c>
      <c r="Q866" t="str">
        <f>IF(ISBLANK(Data[[#This Row],[Customer Rating]]),"No Rating",IF(Data[[#This Row],[Customer Rating]]&gt;=9,"Promoter",IF(Data[[#This Row],[Customer Rating]]&gt;=7,"Passive","Detractor")))</f>
        <v>Detractor</v>
      </c>
    </row>
    <row r="867" spans="1:17" ht="14.25" customHeight="1" x14ac:dyDescent="0.3">
      <c r="A867" s="1" t="s">
        <v>893</v>
      </c>
      <c r="B867" s="1" t="s">
        <v>15</v>
      </c>
      <c r="C867" s="1" t="s">
        <v>22</v>
      </c>
      <c r="D867" s="1" t="str">
        <f>IF(Data[[#This Row],[Cancellation Status]]="No", "High Potential", "Normal")</f>
        <v>Normal</v>
      </c>
      <c r="E867" s="2">
        <v>45951</v>
      </c>
      <c r="I867" s="1" t="s">
        <v>23</v>
      </c>
      <c r="J867" s="1" t="s">
        <v>26</v>
      </c>
      <c r="L867" s="88" t="str">
        <f>IF(OR(Data[[#This Row],[Service Follow-up Date]]="",Data[[#This Row],[Delivery Date]]=""),"",INT(Data[[#This Row],[Service Follow-up Date]]-Data[[#This Row],[Delivery Date]]))</f>
        <v/>
      </c>
      <c r="Q867" t="str">
        <f>IF(ISBLANK(Data[[#This Row],[Customer Rating]]),"No Rating",IF(Data[[#This Row],[Customer Rating]]&gt;=9,"Promoter",IF(Data[[#This Row],[Customer Rating]]&gt;=7,"Passive","Detractor")))</f>
        <v>No Rating</v>
      </c>
    </row>
    <row r="868" spans="1:17" ht="14.25" customHeight="1" x14ac:dyDescent="0.3">
      <c r="A868" s="1" t="s">
        <v>894</v>
      </c>
      <c r="B868" s="1" t="s">
        <v>19</v>
      </c>
      <c r="C868" s="1" t="s">
        <v>16</v>
      </c>
      <c r="D868" s="1" t="str">
        <f>IF(Data[[#This Row],[Cancellation Status]]="No", "High Potential", "Normal")</f>
        <v>High Potential</v>
      </c>
      <c r="E868" s="2">
        <v>45951</v>
      </c>
      <c r="F868" s="2">
        <v>45954</v>
      </c>
      <c r="G868" s="2">
        <v>45956</v>
      </c>
      <c r="H868" s="2">
        <v>45958</v>
      </c>
      <c r="I868" s="1" t="s">
        <v>17</v>
      </c>
      <c r="K868" s="2">
        <v>45971</v>
      </c>
      <c r="L868" s="88">
        <f>IF(OR(Data[[#This Row],[Service Follow-up Date]]="",Data[[#This Row],[Delivery Date]]=""),"",INT(Data[[#This Row],[Service Follow-up Date]]-Data[[#This Row],[Delivery Date]]))</f>
        <v>13</v>
      </c>
      <c r="M868" s="1">
        <v>3</v>
      </c>
      <c r="N868" s="1">
        <v>2</v>
      </c>
      <c r="O868" s="1">
        <v>2</v>
      </c>
      <c r="P868" s="1">
        <v>9</v>
      </c>
      <c r="Q868" t="str">
        <f>IF(ISBLANK(Data[[#This Row],[Customer Rating]]),"No Rating",IF(Data[[#This Row],[Customer Rating]]&gt;=9,"Promoter",IF(Data[[#This Row],[Customer Rating]]&gt;=7,"Passive","Detractor")))</f>
        <v>Promoter</v>
      </c>
    </row>
    <row r="869" spans="1:17" ht="14.25" customHeight="1" x14ac:dyDescent="0.3">
      <c r="A869" s="1" t="s">
        <v>895</v>
      </c>
      <c r="B869" s="1" t="s">
        <v>32</v>
      </c>
      <c r="C869" s="1" t="s">
        <v>30</v>
      </c>
      <c r="D869" s="1" t="str">
        <f>IF(Data[[#This Row],[Cancellation Status]]="No", "High Potential", "Normal")</f>
        <v>High Potential</v>
      </c>
      <c r="E869" s="2">
        <v>45950</v>
      </c>
      <c r="F869" s="2">
        <v>45955</v>
      </c>
      <c r="G869" s="2">
        <v>45958</v>
      </c>
      <c r="H869" s="2">
        <v>45960</v>
      </c>
      <c r="I869" s="1" t="s">
        <v>17</v>
      </c>
      <c r="K869" s="2">
        <v>45973</v>
      </c>
      <c r="L869" s="88">
        <f>IF(OR(Data[[#This Row],[Service Follow-up Date]]="",Data[[#This Row],[Delivery Date]]=""),"",INT(Data[[#This Row],[Service Follow-up Date]]-Data[[#This Row],[Delivery Date]]))</f>
        <v>13</v>
      </c>
      <c r="M869" s="1">
        <v>5</v>
      </c>
      <c r="N869" s="1">
        <v>3</v>
      </c>
      <c r="O869" s="1">
        <v>2</v>
      </c>
      <c r="P869" s="1">
        <v>9</v>
      </c>
      <c r="Q869" t="str">
        <f>IF(ISBLANK(Data[[#This Row],[Customer Rating]]),"No Rating",IF(Data[[#This Row],[Customer Rating]]&gt;=9,"Promoter",IF(Data[[#This Row],[Customer Rating]]&gt;=7,"Passive","Detractor")))</f>
        <v>Promoter</v>
      </c>
    </row>
    <row r="870" spans="1:17" ht="14.25" customHeight="1" x14ac:dyDescent="0.3">
      <c r="A870" s="1" t="s">
        <v>896</v>
      </c>
      <c r="B870" s="1" t="s">
        <v>15</v>
      </c>
      <c r="C870" s="1" t="s">
        <v>16</v>
      </c>
      <c r="D870" s="1" t="str">
        <f>IF(Data[[#This Row],[Cancellation Status]]="No", "High Potential", "Normal")</f>
        <v>High Potential</v>
      </c>
      <c r="E870" s="2">
        <v>45931</v>
      </c>
      <c r="F870" s="2">
        <v>45936</v>
      </c>
      <c r="G870" s="2">
        <v>45940</v>
      </c>
      <c r="H870" s="2">
        <v>45942</v>
      </c>
      <c r="I870" s="1" t="s">
        <v>17</v>
      </c>
      <c r="K870" s="2">
        <v>45967</v>
      </c>
      <c r="L870" s="88">
        <f>IF(OR(Data[[#This Row],[Service Follow-up Date]]="",Data[[#This Row],[Delivery Date]]=""),"",INT(Data[[#This Row],[Service Follow-up Date]]-Data[[#This Row],[Delivery Date]]))</f>
        <v>25</v>
      </c>
      <c r="M870" s="1">
        <v>5</v>
      </c>
      <c r="N870" s="1">
        <v>4</v>
      </c>
      <c r="O870" s="1">
        <v>2</v>
      </c>
      <c r="P870" s="1">
        <v>5</v>
      </c>
      <c r="Q870" t="str">
        <f>IF(ISBLANK(Data[[#This Row],[Customer Rating]]),"No Rating",IF(Data[[#This Row],[Customer Rating]]&gt;=9,"Promoter",IF(Data[[#This Row],[Customer Rating]]&gt;=7,"Passive","Detractor")))</f>
        <v>Detractor</v>
      </c>
    </row>
    <row r="871" spans="1:17" ht="14.25" customHeight="1" x14ac:dyDescent="0.3">
      <c r="A871" s="1" t="s">
        <v>897</v>
      </c>
      <c r="B871" s="1" t="s">
        <v>19</v>
      </c>
      <c r="C871" s="1" t="s">
        <v>16</v>
      </c>
      <c r="D871" s="1" t="str">
        <f>IF(Data[[#This Row],[Cancellation Status]]="No", "High Potential", "Normal")</f>
        <v>High Potential</v>
      </c>
      <c r="E871" s="2">
        <v>45932</v>
      </c>
      <c r="F871" s="2">
        <v>45933</v>
      </c>
      <c r="G871" s="2">
        <v>45936</v>
      </c>
      <c r="H871" s="2">
        <v>45939</v>
      </c>
      <c r="I871" s="1" t="s">
        <v>17</v>
      </c>
      <c r="K871" s="2">
        <v>45955</v>
      </c>
      <c r="L871" s="88">
        <f>IF(OR(Data[[#This Row],[Service Follow-up Date]]="",Data[[#This Row],[Delivery Date]]=""),"",INT(Data[[#This Row],[Service Follow-up Date]]-Data[[#This Row],[Delivery Date]]))</f>
        <v>16</v>
      </c>
      <c r="M871" s="1">
        <v>1</v>
      </c>
      <c r="N871" s="1">
        <v>3</v>
      </c>
      <c r="O871" s="1">
        <v>3</v>
      </c>
      <c r="P871" s="1">
        <v>1</v>
      </c>
      <c r="Q871" t="str">
        <f>IF(ISBLANK(Data[[#This Row],[Customer Rating]]),"No Rating",IF(Data[[#This Row],[Customer Rating]]&gt;=9,"Promoter",IF(Data[[#This Row],[Customer Rating]]&gt;=7,"Passive","Detractor")))</f>
        <v>Detractor</v>
      </c>
    </row>
    <row r="872" spans="1:17" ht="14.25" customHeight="1" x14ac:dyDescent="0.3">
      <c r="A872" s="1" t="s">
        <v>898</v>
      </c>
      <c r="B872" s="1" t="s">
        <v>19</v>
      </c>
      <c r="C872" s="1" t="s">
        <v>16</v>
      </c>
      <c r="D872" s="1" t="str">
        <f>IF(Data[[#This Row],[Cancellation Status]]="No", "High Potential", "Normal")</f>
        <v>High Potential</v>
      </c>
      <c r="E872" s="2">
        <v>45956</v>
      </c>
      <c r="F872" s="2">
        <v>45959</v>
      </c>
      <c r="G872" s="2">
        <v>45963</v>
      </c>
      <c r="H872" s="2">
        <v>45970</v>
      </c>
      <c r="I872" s="1" t="s">
        <v>17</v>
      </c>
      <c r="K872" s="2">
        <v>45999</v>
      </c>
      <c r="L872" s="88">
        <f>IF(OR(Data[[#This Row],[Service Follow-up Date]]="",Data[[#This Row],[Delivery Date]]=""),"",INT(Data[[#This Row],[Service Follow-up Date]]-Data[[#This Row],[Delivery Date]]))</f>
        <v>29</v>
      </c>
      <c r="M872" s="1">
        <v>3</v>
      </c>
      <c r="N872" s="1">
        <v>4</v>
      </c>
      <c r="O872" s="1">
        <v>7</v>
      </c>
      <c r="P872" s="1">
        <v>8</v>
      </c>
      <c r="Q872" t="str">
        <f>IF(ISBLANK(Data[[#This Row],[Customer Rating]]),"No Rating",IF(Data[[#This Row],[Customer Rating]]&gt;=9,"Promoter",IF(Data[[#This Row],[Customer Rating]]&gt;=7,"Passive","Detractor")))</f>
        <v>Passive</v>
      </c>
    </row>
    <row r="873" spans="1:17" ht="14.25" customHeight="1" x14ac:dyDescent="0.3">
      <c r="A873" s="1" t="s">
        <v>899</v>
      </c>
      <c r="B873" s="1" t="s">
        <v>15</v>
      </c>
      <c r="C873" s="1" t="s">
        <v>16</v>
      </c>
      <c r="D873" s="1" t="str">
        <f>IF(Data[[#This Row],[Cancellation Status]]="No", "High Potential", "Normal")</f>
        <v>High Potential</v>
      </c>
      <c r="E873" s="2">
        <v>45941</v>
      </c>
      <c r="F873" s="2">
        <v>45943</v>
      </c>
      <c r="G873" s="2">
        <v>45946</v>
      </c>
      <c r="H873" s="2">
        <v>45951</v>
      </c>
      <c r="I873" s="1" t="s">
        <v>17</v>
      </c>
      <c r="K873" s="2">
        <v>45967</v>
      </c>
      <c r="L873" s="88">
        <f>IF(OR(Data[[#This Row],[Service Follow-up Date]]="",Data[[#This Row],[Delivery Date]]=""),"",INT(Data[[#This Row],[Service Follow-up Date]]-Data[[#This Row],[Delivery Date]]))</f>
        <v>16</v>
      </c>
      <c r="M873" s="1">
        <v>2</v>
      </c>
      <c r="N873" s="1">
        <v>3</v>
      </c>
      <c r="O873" s="1">
        <v>5</v>
      </c>
      <c r="P873" s="1">
        <v>7</v>
      </c>
      <c r="Q873" t="str">
        <f>IF(ISBLANK(Data[[#This Row],[Customer Rating]]),"No Rating",IF(Data[[#This Row],[Customer Rating]]&gt;=9,"Promoter",IF(Data[[#This Row],[Customer Rating]]&gt;=7,"Passive","Detractor")))</f>
        <v>Passive</v>
      </c>
    </row>
    <row r="874" spans="1:17" ht="14.25" customHeight="1" x14ac:dyDescent="0.3">
      <c r="A874" s="1" t="s">
        <v>900</v>
      </c>
      <c r="B874" s="1" t="s">
        <v>15</v>
      </c>
      <c r="C874" s="1" t="s">
        <v>16</v>
      </c>
      <c r="D874" s="1" t="str">
        <f>IF(Data[[#This Row],[Cancellation Status]]="No", "High Potential", "Normal")</f>
        <v>High Potential</v>
      </c>
      <c r="E874" s="2">
        <v>45938</v>
      </c>
      <c r="F874" s="2">
        <v>45942</v>
      </c>
      <c r="G874" s="2">
        <v>45943</v>
      </c>
      <c r="H874" s="2">
        <v>45946</v>
      </c>
      <c r="I874" s="1" t="s">
        <v>17</v>
      </c>
      <c r="K874" s="2">
        <v>45964</v>
      </c>
      <c r="L874" s="88">
        <f>IF(OR(Data[[#This Row],[Service Follow-up Date]]="",Data[[#This Row],[Delivery Date]]=""),"",INT(Data[[#This Row],[Service Follow-up Date]]-Data[[#This Row],[Delivery Date]]))</f>
        <v>18</v>
      </c>
      <c r="M874" s="1">
        <v>4</v>
      </c>
      <c r="N874" s="1">
        <v>1</v>
      </c>
      <c r="O874" s="1">
        <v>3</v>
      </c>
      <c r="P874" s="1">
        <v>5</v>
      </c>
      <c r="Q874" t="str">
        <f>IF(ISBLANK(Data[[#This Row],[Customer Rating]]),"No Rating",IF(Data[[#This Row],[Customer Rating]]&gt;=9,"Promoter",IF(Data[[#This Row],[Customer Rating]]&gt;=7,"Passive","Detractor")))</f>
        <v>Detractor</v>
      </c>
    </row>
    <row r="875" spans="1:17" ht="14.25" customHeight="1" x14ac:dyDescent="0.3">
      <c r="A875" s="1" t="s">
        <v>901</v>
      </c>
      <c r="B875" s="1" t="s">
        <v>15</v>
      </c>
      <c r="C875" s="1" t="s">
        <v>30</v>
      </c>
      <c r="D875" s="1" t="str">
        <f>IF(Data[[#This Row],[Cancellation Status]]="No", "High Potential", "Normal")</f>
        <v>High Potential</v>
      </c>
      <c r="E875" s="2">
        <v>45935</v>
      </c>
      <c r="F875" s="2">
        <v>45936</v>
      </c>
      <c r="G875" s="2">
        <v>45941</v>
      </c>
      <c r="H875" s="2">
        <v>45943</v>
      </c>
      <c r="I875" s="1" t="s">
        <v>17</v>
      </c>
      <c r="K875" s="2">
        <v>45969</v>
      </c>
      <c r="L875" s="88">
        <f>IF(OR(Data[[#This Row],[Service Follow-up Date]]="",Data[[#This Row],[Delivery Date]]=""),"",INT(Data[[#This Row],[Service Follow-up Date]]-Data[[#This Row],[Delivery Date]]))</f>
        <v>26</v>
      </c>
      <c r="M875" s="1">
        <v>1</v>
      </c>
      <c r="N875" s="1">
        <v>5</v>
      </c>
      <c r="O875" s="1">
        <v>2</v>
      </c>
      <c r="P875" s="1">
        <v>4</v>
      </c>
      <c r="Q875" t="str">
        <f>IF(ISBLANK(Data[[#This Row],[Customer Rating]]),"No Rating",IF(Data[[#This Row],[Customer Rating]]&gt;=9,"Promoter",IF(Data[[#This Row],[Customer Rating]]&gt;=7,"Passive","Detractor")))</f>
        <v>Detractor</v>
      </c>
    </row>
    <row r="876" spans="1:17" ht="14.25" customHeight="1" x14ac:dyDescent="0.3">
      <c r="A876" s="1" t="s">
        <v>902</v>
      </c>
      <c r="B876" s="1" t="s">
        <v>19</v>
      </c>
      <c r="C876" s="1" t="s">
        <v>30</v>
      </c>
      <c r="D876" s="1" t="str">
        <f>IF(Data[[#This Row],[Cancellation Status]]="No", "High Potential", "Normal")</f>
        <v>High Potential</v>
      </c>
      <c r="E876" s="2">
        <v>45956</v>
      </c>
      <c r="F876" s="2">
        <v>45959</v>
      </c>
      <c r="G876" s="2">
        <v>45961</v>
      </c>
      <c r="H876" s="2">
        <v>45965</v>
      </c>
      <c r="I876" s="1" t="s">
        <v>17</v>
      </c>
      <c r="K876" s="2">
        <v>45981</v>
      </c>
      <c r="L876" s="88">
        <f>IF(OR(Data[[#This Row],[Service Follow-up Date]]="",Data[[#This Row],[Delivery Date]]=""),"",INT(Data[[#This Row],[Service Follow-up Date]]-Data[[#This Row],[Delivery Date]]))</f>
        <v>16</v>
      </c>
      <c r="M876" s="1">
        <v>3</v>
      </c>
      <c r="N876" s="1">
        <v>2</v>
      </c>
      <c r="O876" s="1">
        <v>4</v>
      </c>
      <c r="P876" s="1">
        <v>3</v>
      </c>
      <c r="Q876" t="str">
        <f>IF(ISBLANK(Data[[#This Row],[Customer Rating]]),"No Rating",IF(Data[[#This Row],[Customer Rating]]&gt;=9,"Promoter",IF(Data[[#This Row],[Customer Rating]]&gt;=7,"Passive","Detractor")))</f>
        <v>Detractor</v>
      </c>
    </row>
    <row r="877" spans="1:17" ht="14.25" customHeight="1" x14ac:dyDescent="0.3">
      <c r="A877" s="1" t="s">
        <v>903</v>
      </c>
      <c r="B877" s="1" t="s">
        <v>19</v>
      </c>
      <c r="C877" s="1" t="s">
        <v>30</v>
      </c>
      <c r="D877" s="1" t="str">
        <f>IF(Data[[#This Row],[Cancellation Status]]="No", "High Potential", "Normal")</f>
        <v>High Potential</v>
      </c>
      <c r="E877" s="2">
        <v>45949</v>
      </c>
      <c r="F877" s="2">
        <v>45953</v>
      </c>
      <c r="G877" s="2">
        <v>45958</v>
      </c>
      <c r="H877" s="2">
        <v>45960</v>
      </c>
      <c r="I877" s="1" t="s">
        <v>17</v>
      </c>
      <c r="K877" s="2">
        <v>45981</v>
      </c>
      <c r="L877" s="88">
        <f>IF(OR(Data[[#This Row],[Service Follow-up Date]]="",Data[[#This Row],[Delivery Date]]=""),"",INT(Data[[#This Row],[Service Follow-up Date]]-Data[[#This Row],[Delivery Date]]))</f>
        <v>21</v>
      </c>
      <c r="M877" s="1">
        <v>4</v>
      </c>
      <c r="N877" s="1">
        <v>5</v>
      </c>
      <c r="O877" s="1">
        <v>2</v>
      </c>
      <c r="P877" s="1">
        <v>6</v>
      </c>
      <c r="Q877" t="str">
        <f>IF(ISBLANK(Data[[#This Row],[Customer Rating]]),"No Rating",IF(Data[[#This Row],[Customer Rating]]&gt;=9,"Promoter",IF(Data[[#This Row],[Customer Rating]]&gt;=7,"Passive","Detractor")))</f>
        <v>Detractor</v>
      </c>
    </row>
    <row r="878" spans="1:17" ht="14.25" customHeight="1" x14ac:dyDescent="0.3">
      <c r="A878" s="1" t="s">
        <v>904</v>
      </c>
      <c r="B878" s="1" t="s">
        <v>32</v>
      </c>
      <c r="C878" s="1" t="s">
        <v>16</v>
      </c>
      <c r="D878" s="1" t="str">
        <f>IF(Data[[#This Row],[Cancellation Status]]="No", "High Potential", "Normal")</f>
        <v>High Potential</v>
      </c>
      <c r="E878" s="2">
        <v>45937</v>
      </c>
      <c r="F878" s="2">
        <v>45939</v>
      </c>
      <c r="G878" s="2">
        <v>45944</v>
      </c>
      <c r="H878" s="2">
        <v>45946</v>
      </c>
      <c r="I878" s="1" t="s">
        <v>17</v>
      </c>
      <c r="K878" s="2">
        <v>45969</v>
      </c>
      <c r="L878" s="88">
        <f>IF(OR(Data[[#This Row],[Service Follow-up Date]]="",Data[[#This Row],[Delivery Date]]=""),"",INT(Data[[#This Row],[Service Follow-up Date]]-Data[[#This Row],[Delivery Date]]))</f>
        <v>23</v>
      </c>
      <c r="M878" s="1">
        <v>2</v>
      </c>
      <c r="N878" s="1">
        <v>5</v>
      </c>
      <c r="O878" s="1">
        <v>2</v>
      </c>
      <c r="P878" s="1">
        <v>2</v>
      </c>
      <c r="Q878" t="str">
        <f>IF(ISBLANK(Data[[#This Row],[Customer Rating]]),"No Rating",IF(Data[[#This Row],[Customer Rating]]&gt;=9,"Promoter",IF(Data[[#This Row],[Customer Rating]]&gt;=7,"Passive","Detractor")))</f>
        <v>Detractor</v>
      </c>
    </row>
    <row r="879" spans="1:17" ht="14.25" customHeight="1" x14ac:dyDescent="0.3">
      <c r="A879" s="1" t="s">
        <v>905</v>
      </c>
      <c r="B879" s="1" t="s">
        <v>21</v>
      </c>
      <c r="C879" s="1" t="s">
        <v>22</v>
      </c>
      <c r="D879" s="1" t="str">
        <f>IF(Data[[#This Row],[Cancellation Status]]="No", "High Potential", "Normal")</f>
        <v>Normal</v>
      </c>
      <c r="E879" s="2">
        <v>45933</v>
      </c>
      <c r="I879" s="1" t="s">
        <v>23</v>
      </c>
      <c r="J879" s="1" t="s">
        <v>63</v>
      </c>
      <c r="L879" s="88" t="str">
        <f>IF(OR(Data[[#This Row],[Service Follow-up Date]]="",Data[[#This Row],[Delivery Date]]=""),"",INT(Data[[#This Row],[Service Follow-up Date]]-Data[[#This Row],[Delivery Date]]))</f>
        <v/>
      </c>
      <c r="Q879" t="str">
        <f>IF(ISBLANK(Data[[#This Row],[Customer Rating]]),"No Rating",IF(Data[[#This Row],[Customer Rating]]&gt;=9,"Promoter",IF(Data[[#This Row],[Customer Rating]]&gt;=7,"Passive","Detractor")))</f>
        <v>No Rating</v>
      </c>
    </row>
    <row r="880" spans="1:17" ht="14.25" customHeight="1" x14ac:dyDescent="0.3">
      <c r="A880" s="1" t="s">
        <v>906</v>
      </c>
      <c r="B880" s="1" t="s">
        <v>15</v>
      </c>
      <c r="C880" s="1" t="s">
        <v>16</v>
      </c>
      <c r="D880" s="1" t="str">
        <f>IF(Data[[#This Row],[Cancellation Status]]="No", "High Potential", "Normal")</f>
        <v>High Potential</v>
      </c>
      <c r="E880" s="2">
        <v>45957</v>
      </c>
      <c r="F880" s="2">
        <v>45959</v>
      </c>
      <c r="G880" s="2">
        <v>45961</v>
      </c>
      <c r="H880" s="2">
        <v>45966</v>
      </c>
      <c r="I880" s="1" t="s">
        <v>17</v>
      </c>
      <c r="K880" s="2">
        <v>45985</v>
      </c>
      <c r="L880" s="88">
        <f>IF(OR(Data[[#This Row],[Service Follow-up Date]]="",Data[[#This Row],[Delivery Date]]=""),"",INT(Data[[#This Row],[Service Follow-up Date]]-Data[[#This Row],[Delivery Date]]))</f>
        <v>19</v>
      </c>
      <c r="M880" s="1">
        <v>2</v>
      </c>
      <c r="N880" s="1">
        <v>2</v>
      </c>
      <c r="O880" s="1">
        <v>5</v>
      </c>
      <c r="P880" s="1">
        <v>4</v>
      </c>
      <c r="Q880" t="str">
        <f>IF(ISBLANK(Data[[#This Row],[Customer Rating]]),"No Rating",IF(Data[[#This Row],[Customer Rating]]&gt;=9,"Promoter",IF(Data[[#This Row],[Customer Rating]]&gt;=7,"Passive","Detractor")))</f>
        <v>Detractor</v>
      </c>
    </row>
    <row r="881" spans="1:17" ht="14.25" customHeight="1" x14ac:dyDescent="0.3">
      <c r="A881" s="1" t="s">
        <v>907</v>
      </c>
      <c r="B881" s="1" t="s">
        <v>19</v>
      </c>
      <c r="C881" s="1" t="s">
        <v>30</v>
      </c>
      <c r="D881" s="1" t="str">
        <f>IF(Data[[#This Row],[Cancellation Status]]="No", "High Potential", "Normal")</f>
        <v>High Potential</v>
      </c>
      <c r="E881" s="2">
        <v>45955</v>
      </c>
      <c r="F881" s="2">
        <v>45956</v>
      </c>
      <c r="G881" s="2">
        <v>45961</v>
      </c>
      <c r="H881" s="2">
        <v>45963</v>
      </c>
      <c r="I881" s="1" t="s">
        <v>17</v>
      </c>
      <c r="K881" s="2">
        <v>45978</v>
      </c>
      <c r="L881" s="88">
        <f>IF(OR(Data[[#This Row],[Service Follow-up Date]]="",Data[[#This Row],[Delivery Date]]=""),"",INT(Data[[#This Row],[Service Follow-up Date]]-Data[[#This Row],[Delivery Date]]))</f>
        <v>15</v>
      </c>
      <c r="M881" s="1">
        <v>1</v>
      </c>
      <c r="N881" s="1">
        <v>5</v>
      </c>
      <c r="O881" s="1">
        <v>2</v>
      </c>
      <c r="P881" s="1">
        <v>4</v>
      </c>
      <c r="Q881" t="str">
        <f>IF(ISBLANK(Data[[#This Row],[Customer Rating]]),"No Rating",IF(Data[[#This Row],[Customer Rating]]&gt;=9,"Promoter",IF(Data[[#This Row],[Customer Rating]]&gt;=7,"Passive","Detractor")))</f>
        <v>Detractor</v>
      </c>
    </row>
    <row r="882" spans="1:17" ht="14.25" customHeight="1" x14ac:dyDescent="0.3">
      <c r="A882" s="1" t="s">
        <v>908</v>
      </c>
      <c r="B882" s="1" t="s">
        <v>19</v>
      </c>
      <c r="C882" s="1" t="s">
        <v>16</v>
      </c>
      <c r="D882" s="1" t="str">
        <f>IF(Data[[#This Row],[Cancellation Status]]="No", "High Potential", "Normal")</f>
        <v>High Potential</v>
      </c>
      <c r="E882" s="2">
        <v>45948</v>
      </c>
      <c r="F882" s="2">
        <v>45949</v>
      </c>
      <c r="G882" s="2">
        <v>45950</v>
      </c>
      <c r="H882" s="2">
        <v>45953</v>
      </c>
      <c r="I882" s="1" t="s">
        <v>17</v>
      </c>
      <c r="K882" s="2">
        <v>45964</v>
      </c>
      <c r="L882" s="88">
        <f>IF(OR(Data[[#This Row],[Service Follow-up Date]]="",Data[[#This Row],[Delivery Date]]=""),"",INT(Data[[#This Row],[Service Follow-up Date]]-Data[[#This Row],[Delivery Date]]))</f>
        <v>11</v>
      </c>
      <c r="M882" s="1">
        <v>1</v>
      </c>
      <c r="N882" s="1">
        <v>1</v>
      </c>
      <c r="O882" s="1">
        <v>3</v>
      </c>
      <c r="P882" s="1">
        <v>2</v>
      </c>
      <c r="Q882" t="str">
        <f>IF(ISBLANK(Data[[#This Row],[Customer Rating]]),"No Rating",IF(Data[[#This Row],[Customer Rating]]&gt;=9,"Promoter",IF(Data[[#This Row],[Customer Rating]]&gt;=7,"Passive","Detractor")))</f>
        <v>Detractor</v>
      </c>
    </row>
    <row r="883" spans="1:17" ht="14.25" customHeight="1" x14ac:dyDescent="0.3">
      <c r="A883" s="1" t="s">
        <v>909</v>
      </c>
      <c r="B883" s="1" t="s">
        <v>15</v>
      </c>
      <c r="C883" s="1" t="s">
        <v>22</v>
      </c>
      <c r="D883" s="1" t="str">
        <f>IF(Data[[#This Row],[Cancellation Status]]="No", "High Potential", "Normal")</f>
        <v>Normal</v>
      </c>
      <c r="E883" s="2">
        <v>45937</v>
      </c>
      <c r="I883" s="1" t="s">
        <v>23</v>
      </c>
      <c r="J883" s="1" t="s">
        <v>63</v>
      </c>
      <c r="L883" s="88" t="str">
        <f>IF(OR(Data[[#This Row],[Service Follow-up Date]]="",Data[[#This Row],[Delivery Date]]=""),"",INT(Data[[#This Row],[Service Follow-up Date]]-Data[[#This Row],[Delivery Date]]))</f>
        <v/>
      </c>
      <c r="Q883" t="str">
        <f>IF(ISBLANK(Data[[#This Row],[Customer Rating]]),"No Rating",IF(Data[[#This Row],[Customer Rating]]&gt;=9,"Promoter",IF(Data[[#This Row],[Customer Rating]]&gt;=7,"Passive","Detractor")))</f>
        <v>No Rating</v>
      </c>
    </row>
    <row r="884" spans="1:17" ht="14.25" customHeight="1" x14ac:dyDescent="0.3">
      <c r="A884" s="1" t="s">
        <v>910</v>
      </c>
      <c r="B884" s="1" t="s">
        <v>21</v>
      </c>
      <c r="C884" s="1" t="s">
        <v>16</v>
      </c>
      <c r="D884" s="1" t="str">
        <f>IF(Data[[#This Row],[Cancellation Status]]="No", "High Potential", "Normal")</f>
        <v>High Potential</v>
      </c>
      <c r="E884" s="2">
        <v>45949</v>
      </c>
      <c r="F884" s="2">
        <v>45952</v>
      </c>
      <c r="G884" s="2">
        <v>45956</v>
      </c>
      <c r="H884" s="2">
        <v>45962</v>
      </c>
      <c r="I884" s="1" t="s">
        <v>17</v>
      </c>
      <c r="K884" s="2">
        <v>45989</v>
      </c>
      <c r="L884" s="88">
        <f>IF(OR(Data[[#This Row],[Service Follow-up Date]]="",Data[[#This Row],[Delivery Date]]=""),"",INT(Data[[#This Row],[Service Follow-up Date]]-Data[[#This Row],[Delivery Date]]))</f>
        <v>27</v>
      </c>
      <c r="M884" s="1">
        <v>3</v>
      </c>
      <c r="N884" s="1">
        <v>4</v>
      </c>
      <c r="O884" s="1">
        <v>6</v>
      </c>
      <c r="P884" s="1">
        <v>4</v>
      </c>
      <c r="Q884" t="str">
        <f>IF(ISBLANK(Data[[#This Row],[Customer Rating]]),"No Rating",IF(Data[[#This Row],[Customer Rating]]&gt;=9,"Promoter",IF(Data[[#This Row],[Customer Rating]]&gt;=7,"Passive","Detractor")))</f>
        <v>Detractor</v>
      </c>
    </row>
    <row r="885" spans="1:17" ht="14.25" customHeight="1" x14ac:dyDescent="0.3">
      <c r="A885" s="1" t="s">
        <v>911</v>
      </c>
      <c r="B885" s="1" t="s">
        <v>15</v>
      </c>
      <c r="C885" s="1" t="s">
        <v>22</v>
      </c>
      <c r="D885" s="1" t="str">
        <f>IF(Data[[#This Row],[Cancellation Status]]="No", "High Potential", "Normal")</f>
        <v>Normal</v>
      </c>
      <c r="E885" s="2">
        <v>45937</v>
      </c>
      <c r="I885" s="1" t="s">
        <v>23</v>
      </c>
      <c r="J885" s="1" t="s">
        <v>26</v>
      </c>
      <c r="L885" s="88" t="str">
        <f>IF(OR(Data[[#This Row],[Service Follow-up Date]]="",Data[[#This Row],[Delivery Date]]=""),"",INT(Data[[#This Row],[Service Follow-up Date]]-Data[[#This Row],[Delivery Date]]))</f>
        <v/>
      </c>
      <c r="Q885" t="str">
        <f>IF(ISBLANK(Data[[#This Row],[Customer Rating]]),"No Rating",IF(Data[[#This Row],[Customer Rating]]&gt;=9,"Promoter",IF(Data[[#This Row],[Customer Rating]]&gt;=7,"Passive","Detractor")))</f>
        <v>No Rating</v>
      </c>
    </row>
    <row r="886" spans="1:17" ht="14.25" customHeight="1" x14ac:dyDescent="0.3">
      <c r="A886" s="1" t="s">
        <v>912</v>
      </c>
      <c r="B886" s="1" t="s">
        <v>21</v>
      </c>
      <c r="C886" s="1" t="s">
        <v>30</v>
      </c>
      <c r="D886" s="1" t="str">
        <f>IF(Data[[#This Row],[Cancellation Status]]="No", "High Potential", "Normal")</f>
        <v>High Potential</v>
      </c>
      <c r="E886" s="2">
        <v>45957</v>
      </c>
      <c r="F886" s="2">
        <v>45961</v>
      </c>
      <c r="G886" s="2">
        <v>45963</v>
      </c>
      <c r="H886" s="2">
        <v>45968</v>
      </c>
      <c r="I886" s="1" t="s">
        <v>17</v>
      </c>
      <c r="K886" s="2">
        <v>45993</v>
      </c>
      <c r="L886" s="88">
        <f>IF(OR(Data[[#This Row],[Service Follow-up Date]]="",Data[[#This Row],[Delivery Date]]=""),"",INT(Data[[#This Row],[Service Follow-up Date]]-Data[[#This Row],[Delivery Date]]))</f>
        <v>25</v>
      </c>
      <c r="M886" s="1">
        <v>4</v>
      </c>
      <c r="N886" s="1">
        <v>2</v>
      </c>
      <c r="O886" s="1">
        <v>5</v>
      </c>
      <c r="P886" s="1">
        <v>7</v>
      </c>
      <c r="Q886" t="str">
        <f>IF(ISBLANK(Data[[#This Row],[Customer Rating]]),"No Rating",IF(Data[[#This Row],[Customer Rating]]&gt;=9,"Promoter",IF(Data[[#This Row],[Customer Rating]]&gt;=7,"Passive","Detractor")))</f>
        <v>Passive</v>
      </c>
    </row>
    <row r="887" spans="1:17" ht="14.25" customHeight="1" x14ac:dyDescent="0.3">
      <c r="A887" s="1" t="s">
        <v>913</v>
      </c>
      <c r="B887" s="1" t="s">
        <v>19</v>
      </c>
      <c r="C887" s="1" t="s">
        <v>30</v>
      </c>
      <c r="D887" s="1" t="str">
        <f>IF(Data[[#This Row],[Cancellation Status]]="No", "High Potential", "Normal")</f>
        <v>High Potential</v>
      </c>
      <c r="E887" s="2">
        <v>45958</v>
      </c>
      <c r="F887" s="2">
        <v>45963</v>
      </c>
      <c r="G887" s="2">
        <v>45967</v>
      </c>
      <c r="H887" s="2">
        <v>45974</v>
      </c>
      <c r="I887" s="1" t="s">
        <v>17</v>
      </c>
      <c r="K887" s="2">
        <v>45990</v>
      </c>
      <c r="L887" s="88">
        <f>IF(OR(Data[[#This Row],[Service Follow-up Date]]="",Data[[#This Row],[Delivery Date]]=""),"",INT(Data[[#This Row],[Service Follow-up Date]]-Data[[#This Row],[Delivery Date]]))</f>
        <v>16</v>
      </c>
      <c r="M887" s="1">
        <v>5</v>
      </c>
      <c r="N887" s="1">
        <v>4</v>
      </c>
      <c r="O887" s="1">
        <v>7</v>
      </c>
      <c r="P887" s="1">
        <v>3</v>
      </c>
      <c r="Q887" t="str">
        <f>IF(ISBLANK(Data[[#This Row],[Customer Rating]]),"No Rating",IF(Data[[#This Row],[Customer Rating]]&gt;=9,"Promoter",IF(Data[[#This Row],[Customer Rating]]&gt;=7,"Passive","Detractor")))</f>
        <v>Detractor</v>
      </c>
    </row>
    <row r="888" spans="1:17" ht="14.25" customHeight="1" x14ac:dyDescent="0.3">
      <c r="A888" s="1" t="s">
        <v>914</v>
      </c>
      <c r="B888" s="1" t="s">
        <v>21</v>
      </c>
      <c r="C888" s="1" t="s">
        <v>22</v>
      </c>
      <c r="D888" s="1" t="str">
        <f>IF(Data[[#This Row],[Cancellation Status]]="No", "High Potential", "Normal")</f>
        <v>Normal</v>
      </c>
      <c r="E888" s="2">
        <v>45938</v>
      </c>
      <c r="I888" s="1" t="s">
        <v>23</v>
      </c>
      <c r="J888" s="1" t="s">
        <v>33</v>
      </c>
      <c r="L888" s="88" t="str">
        <f>IF(OR(Data[[#This Row],[Service Follow-up Date]]="",Data[[#This Row],[Delivery Date]]=""),"",INT(Data[[#This Row],[Service Follow-up Date]]-Data[[#This Row],[Delivery Date]]))</f>
        <v/>
      </c>
      <c r="Q888" t="str">
        <f>IF(ISBLANK(Data[[#This Row],[Customer Rating]]),"No Rating",IF(Data[[#This Row],[Customer Rating]]&gt;=9,"Promoter",IF(Data[[#This Row],[Customer Rating]]&gt;=7,"Passive","Detractor")))</f>
        <v>No Rating</v>
      </c>
    </row>
    <row r="889" spans="1:17" ht="14.25" customHeight="1" x14ac:dyDescent="0.3">
      <c r="A889" s="1" t="s">
        <v>915</v>
      </c>
      <c r="B889" s="1" t="s">
        <v>32</v>
      </c>
      <c r="C889" s="1" t="s">
        <v>16</v>
      </c>
      <c r="D889" s="1" t="str">
        <f>IF(Data[[#This Row],[Cancellation Status]]="No", "High Potential", "Normal")</f>
        <v>High Potential</v>
      </c>
      <c r="E889" s="2">
        <v>45941</v>
      </c>
      <c r="F889" s="2">
        <v>45945</v>
      </c>
      <c r="G889" s="2">
        <v>45948</v>
      </c>
      <c r="H889" s="2">
        <v>45953</v>
      </c>
      <c r="I889" s="1" t="s">
        <v>17</v>
      </c>
      <c r="K889" s="2">
        <v>45978</v>
      </c>
      <c r="L889" s="88">
        <f>IF(OR(Data[[#This Row],[Service Follow-up Date]]="",Data[[#This Row],[Delivery Date]]=""),"",INT(Data[[#This Row],[Service Follow-up Date]]-Data[[#This Row],[Delivery Date]]))</f>
        <v>25</v>
      </c>
      <c r="M889" s="1">
        <v>4</v>
      </c>
      <c r="N889" s="1">
        <v>3</v>
      </c>
      <c r="O889" s="1">
        <v>5</v>
      </c>
      <c r="P889" s="1">
        <v>7</v>
      </c>
      <c r="Q889" t="str">
        <f>IF(ISBLANK(Data[[#This Row],[Customer Rating]]),"No Rating",IF(Data[[#This Row],[Customer Rating]]&gt;=9,"Promoter",IF(Data[[#This Row],[Customer Rating]]&gt;=7,"Passive","Detractor")))</f>
        <v>Passive</v>
      </c>
    </row>
    <row r="890" spans="1:17" ht="14.25" customHeight="1" x14ac:dyDescent="0.3">
      <c r="A890" s="1" t="s">
        <v>916</v>
      </c>
      <c r="B890" s="1" t="s">
        <v>19</v>
      </c>
      <c r="C890" s="1" t="s">
        <v>16</v>
      </c>
      <c r="D890" s="1" t="str">
        <f>IF(Data[[#This Row],[Cancellation Status]]="No", "High Potential", "Normal")</f>
        <v>High Potential</v>
      </c>
      <c r="E890" s="2">
        <v>45955</v>
      </c>
      <c r="F890" s="2">
        <v>45957</v>
      </c>
      <c r="G890" s="2">
        <v>45958</v>
      </c>
      <c r="H890" s="2">
        <v>45963</v>
      </c>
      <c r="I890" s="1" t="s">
        <v>17</v>
      </c>
      <c r="K890" s="2">
        <v>45983</v>
      </c>
      <c r="L890" s="88">
        <f>IF(OR(Data[[#This Row],[Service Follow-up Date]]="",Data[[#This Row],[Delivery Date]]=""),"",INT(Data[[#This Row],[Service Follow-up Date]]-Data[[#This Row],[Delivery Date]]))</f>
        <v>20</v>
      </c>
      <c r="M890" s="1">
        <v>2</v>
      </c>
      <c r="N890" s="1">
        <v>1</v>
      </c>
      <c r="O890" s="1">
        <v>5</v>
      </c>
      <c r="P890" s="1">
        <v>9</v>
      </c>
      <c r="Q890" t="str">
        <f>IF(ISBLANK(Data[[#This Row],[Customer Rating]]),"No Rating",IF(Data[[#This Row],[Customer Rating]]&gt;=9,"Promoter",IF(Data[[#This Row],[Customer Rating]]&gt;=7,"Passive","Detractor")))</f>
        <v>Promoter</v>
      </c>
    </row>
    <row r="891" spans="1:17" ht="14.25" customHeight="1" x14ac:dyDescent="0.3">
      <c r="A891" s="1" t="s">
        <v>917</v>
      </c>
      <c r="B891" s="1" t="s">
        <v>32</v>
      </c>
      <c r="C891" s="1" t="s">
        <v>16</v>
      </c>
      <c r="D891" s="1" t="str">
        <f>IF(Data[[#This Row],[Cancellation Status]]="No", "High Potential", "Normal")</f>
        <v>High Potential</v>
      </c>
      <c r="E891" s="2">
        <v>45935</v>
      </c>
      <c r="F891" s="2">
        <v>45937</v>
      </c>
      <c r="G891" s="2">
        <v>45941</v>
      </c>
      <c r="H891" s="2">
        <v>45943</v>
      </c>
      <c r="I891" s="1" t="s">
        <v>17</v>
      </c>
      <c r="K891" s="2">
        <v>45960</v>
      </c>
      <c r="L891" s="88">
        <f>IF(OR(Data[[#This Row],[Service Follow-up Date]]="",Data[[#This Row],[Delivery Date]]=""),"",INT(Data[[#This Row],[Service Follow-up Date]]-Data[[#This Row],[Delivery Date]]))</f>
        <v>17</v>
      </c>
      <c r="M891" s="1">
        <v>2</v>
      </c>
      <c r="N891" s="1">
        <v>4</v>
      </c>
      <c r="O891" s="1">
        <v>2</v>
      </c>
      <c r="P891" s="1">
        <v>4</v>
      </c>
      <c r="Q891" t="str">
        <f>IF(ISBLANK(Data[[#This Row],[Customer Rating]]),"No Rating",IF(Data[[#This Row],[Customer Rating]]&gt;=9,"Promoter",IF(Data[[#This Row],[Customer Rating]]&gt;=7,"Passive","Detractor")))</f>
        <v>Detractor</v>
      </c>
    </row>
    <row r="892" spans="1:17" ht="14.25" customHeight="1" x14ac:dyDescent="0.3">
      <c r="A892" s="1" t="s">
        <v>918</v>
      </c>
      <c r="B892" s="1" t="s">
        <v>15</v>
      </c>
      <c r="C892" s="1" t="s">
        <v>22</v>
      </c>
      <c r="D892" s="1" t="str">
        <f>IF(Data[[#This Row],[Cancellation Status]]="No", "High Potential", "Normal")</f>
        <v>Normal</v>
      </c>
      <c r="E892" s="2">
        <v>45956</v>
      </c>
      <c r="I892" s="1" t="s">
        <v>23</v>
      </c>
      <c r="J892" s="1" t="s">
        <v>33</v>
      </c>
      <c r="L892" s="88" t="str">
        <f>IF(OR(Data[[#This Row],[Service Follow-up Date]]="",Data[[#This Row],[Delivery Date]]=""),"",INT(Data[[#This Row],[Service Follow-up Date]]-Data[[#This Row],[Delivery Date]]))</f>
        <v/>
      </c>
      <c r="Q892" t="str">
        <f>IF(ISBLANK(Data[[#This Row],[Customer Rating]]),"No Rating",IF(Data[[#This Row],[Customer Rating]]&gt;=9,"Promoter",IF(Data[[#This Row],[Customer Rating]]&gt;=7,"Passive","Detractor")))</f>
        <v>No Rating</v>
      </c>
    </row>
    <row r="893" spans="1:17" ht="14.25" customHeight="1" x14ac:dyDescent="0.3">
      <c r="A893" s="1" t="s">
        <v>919</v>
      </c>
      <c r="B893" s="1" t="s">
        <v>15</v>
      </c>
      <c r="C893" s="1" t="s">
        <v>16</v>
      </c>
      <c r="D893" s="1" t="str">
        <f>IF(Data[[#This Row],[Cancellation Status]]="No", "High Potential", "Normal")</f>
        <v>High Potential</v>
      </c>
      <c r="E893" s="2">
        <v>45959</v>
      </c>
      <c r="F893" s="2">
        <v>45962</v>
      </c>
      <c r="G893" s="2">
        <v>45966</v>
      </c>
      <c r="H893" s="2">
        <v>45971</v>
      </c>
      <c r="I893" s="1" t="s">
        <v>17</v>
      </c>
      <c r="K893" s="2">
        <v>45981</v>
      </c>
      <c r="L893" s="88">
        <f>IF(OR(Data[[#This Row],[Service Follow-up Date]]="",Data[[#This Row],[Delivery Date]]=""),"",INT(Data[[#This Row],[Service Follow-up Date]]-Data[[#This Row],[Delivery Date]]))</f>
        <v>10</v>
      </c>
      <c r="M893" s="1">
        <v>3</v>
      </c>
      <c r="N893" s="1">
        <v>4</v>
      </c>
      <c r="O893" s="1">
        <v>5</v>
      </c>
      <c r="P893" s="1">
        <v>7</v>
      </c>
      <c r="Q893" t="str">
        <f>IF(ISBLANK(Data[[#This Row],[Customer Rating]]),"No Rating",IF(Data[[#This Row],[Customer Rating]]&gt;=9,"Promoter",IF(Data[[#This Row],[Customer Rating]]&gt;=7,"Passive","Detractor")))</f>
        <v>Passive</v>
      </c>
    </row>
    <row r="894" spans="1:17" ht="14.25" customHeight="1" x14ac:dyDescent="0.3">
      <c r="A894" s="1" t="s">
        <v>920</v>
      </c>
      <c r="B894" s="1" t="s">
        <v>15</v>
      </c>
      <c r="C894" s="1" t="s">
        <v>16</v>
      </c>
      <c r="D894" s="1" t="str">
        <f>IF(Data[[#This Row],[Cancellation Status]]="No", "High Potential", "Normal")</f>
        <v>High Potential</v>
      </c>
      <c r="E894" s="2">
        <v>45950</v>
      </c>
      <c r="F894" s="2">
        <v>45955</v>
      </c>
      <c r="G894" s="2">
        <v>45957</v>
      </c>
      <c r="H894" s="2">
        <v>45964</v>
      </c>
      <c r="I894" s="1" t="s">
        <v>17</v>
      </c>
      <c r="K894" s="2">
        <v>45974</v>
      </c>
      <c r="L894" s="88">
        <f>IF(OR(Data[[#This Row],[Service Follow-up Date]]="",Data[[#This Row],[Delivery Date]]=""),"",INT(Data[[#This Row],[Service Follow-up Date]]-Data[[#This Row],[Delivery Date]]))</f>
        <v>10</v>
      </c>
      <c r="M894" s="1">
        <v>5</v>
      </c>
      <c r="N894" s="1">
        <v>2</v>
      </c>
      <c r="O894" s="1">
        <v>7</v>
      </c>
      <c r="P894" s="1">
        <v>7</v>
      </c>
      <c r="Q894" t="str">
        <f>IF(ISBLANK(Data[[#This Row],[Customer Rating]]),"No Rating",IF(Data[[#This Row],[Customer Rating]]&gt;=9,"Promoter",IF(Data[[#This Row],[Customer Rating]]&gt;=7,"Passive","Detractor")))</f>
        <v>Passive</v>
      </c>
    </row>
    <row r="895" spans="1:17" ht="14.25" customHeight="1" x14ac:dyDescent="0.3">
      <c r="A895" s="1" t="s">
        <v>921</v>
      </c>
      <c r="B895" s="1" t="s">
        <v>21</v>
      </c>
      <c r="C895" s="1" t="s">
        <v>16</v>
      </c>
      <c r="D895" s="1" t="str">
        <f>IF(Data[[#This Row],[Cancellation Status]]="No", "High Potential", "Normal")</f>
        <v>High Potential</v>
      </c>
      <c r="E895" s="2">
        <v>45931</v>
      </c>
      <c r="F895" s="2">
        <v>45934</v>
      </c>
      <c r="G895" s="2">
        <v>45937</v>
      </c>
      <c r="H895" s="2">
        <v>45942</v>
      </c>
      <c r="I895" s="1" t="s">
        <v>17</v>
      </c>
      <c r="K895" s="2">
        <v>45954</v>
      </c>
      <c r="L895" s="88">
        <f>IF(OR(Data[[#This Row],[Service Follow-up Date]]="",Data[[#This Row],[Delivery Date]]=""),"",INT(Data[[#This Row],[Service Follow-up Date]]-Data[[#This Row],[Delivery Date]]))</f>
        <v>12</v>
      </c>
      <c r="M895" s="1">
        <v>3</v>
      </c>
      <c r="N895" s="1">
        <v>3</v>
      </c>
      <c r="O895" s="1">
        <v>5</v>
      </c>
      <c r="P895" s="1">
        <v>7</v>
      </c>
      <c r="Q895" t="str">
        <f>IF(ISBLANK(Data[[#This Row],[Customer Rating]]),"No Rating",IF(Data[[#This Row],[Customer Rating]]&gt;=9,"Promoter",IF(Data[[#This Row],[Customer Rating]]&gt;=7,"Passive","Detractor")))</f>
        <v>Passive</v>
      </c>
    </row>
    <row r="896" spans="1:17" ht="14.25" customHeight="1" x14ac:dyDescent="0.3">
      <c r="A896" s="1" t="s">
        <v>922</v>
      </c>
      <c r="B896" s="1" t="s">
        <v>19</v>
      </c>
      <c r="C896" s="1" t="s">
        <v>16</v>
      </c>
      <c r="D896" s="1" t="str">
        <f>IF(Data[[#This Row],[Cancellation Status]]="No", "High Potential", "Normal")</f>
        <v>High Potential</v>
      </c>
      <c r="E896" s="2">
        <v>45939</v>
      </c>
      <c r="F896" s="2">
        <v>45941</v>
      </c>
      <c r="G896" s="2">
        <v>45943</v>
      </c>
      <c r="H896" s="2">
        <v>45946</v>
      </c>
      <c r="I896" s="1" t="s">
        <v>17</v>
      </c>
      <c r="K896" s="2">
        <v>45959</v>
      </c>
      <c r="L896" s="88">
        <f>IF(OR(Data[[#This Row],[Service Follow-up Date]]="",Data[[#This Row],[Delivery Date]]=""),"",INT(Data[[#This Row],[Service Follow-up Date]]-Data[[#This Row],[Delivery Date]]))</f>
        <v>13</v>
      </c>
      <c r="M896" s="1">
        <v>2</v>
      </c>
      <c r="N896" s="1">
        <v>2</v>
      </c>
      <c r="O896" s="1">
        <v>3</v>
      </c>
      <c r="P896" s="1">
        <v>1</v>
      </c>
      <c r="Q896" t="str">
        <f>IF(ISBLANK(Data[[#This Row],[Customer Rating]]),"No Rating",IF(Data[[#This Row],[Customer Rating]]&gt;=9,"Promoter",IF(Data[[#This Row],[Customer Rating]]&gt;=7,"Passive","Detractor")))</f>
        <v>Detractor</v>
      </c>
    </row>
    <row r="897" spans="1:17" ht="14.25" customHeight="1" x14ac:dyDescent="0.3">
      <c r="A897" s="1" t="s">
        <v>923</v>
      </c>
      <c r="B897" s="1" t="s">
        <v>15</v>
      </c>
      <c r="C897" s="1" t="s">
        <v>16</v>
      </c>
      <c r="D897" s="1" t="str">
        <f>IF(Data[[#This Row],[Cancellation Status]]="No", "High Potential", "Normal")</f>
        <v>Normal</v>
      </c>
      <c r="E897" s="2">
        <v>45958</v>
      </c>
      <c r="F897" s="2">
        <v>45960</v>
      </c>
      <c r="G897" s="2">
        <v>45963</v>
      </c>
      <c r="H897" s="2">
        <v>45967</v>
      </c>
      <c r="I897" s="1" t="s">
        <v>23</v>
      </c>
      <c r="J897" s="1" t="s">
        <v>101</v>
      </c>
      <c r="L897" s="88" t="str">
        <f>IF(OR(Data[[#This Row],[Service Follow-up Date]]="",Data[[#This Row],[Delivery Date]]=""),"",INT(Data[[#This Row],[Service Follow-up Date]]-Data[[#This Row],[Delivery Date]]))</f>
        <v/>
      </c>
      <c r="M897" s="1">
        <v>2</v>
      </c>
      <c r="N897" s="1">
        <v>3</v>
      </c>
      <c r="O897" s="1">
        <v>4</v>
      </c>
      <c r="Q897" t="str">
        <f>IF(ISBLANK(Data[[#This Row],[Customer Rating]]),"No Rating",IF(Data[[#This Row],[Customer Rating]]&gt;=9,"Promoter",IF(Data[[#This Row],[Customer Rating]]&gt;=7,"Passive","Detractor")))</f>
        <v>No Rating</v>
      </c>
    </row>
    <row r="898" spans="1:17" ht="14.25" customHeight="1" x14ac:dyDescent="0.3">
      <c r="A898" s="1" t="s">
        <v>924</v>
      </c>
      <c r="B898" s="1" t="s">
        <v>15</v>
      </c>
      <c r="C898" s="1" t="s">
        <v>22</v>
      </c>
      <c r="D898" s="1" t="str">
        <f>IF(Data[[#This Row],[Cancellation Status]]="No", "High Potential", "Normal")</f>
        <v>Normal</v>
      </c>
      <c r="E898" s="2">
        <v>45935</v>
      </c>
      <c r="I898" s="1" t="s">
        <v>23</v>
      </c>
      <c r="J898" s="1" t="s">
        <v>101</v>
      </c>
      <c r="L898" s="88" t="str">
        <f>IF(OR(Data[[#This Row],[Service Follow-up Date]]="",Data[[#This Row],[Delivery Date]]=""),"",INT(Data[[#This Row],[Service Follow-up Date]]-Data[[#This Row],[Delivery Date]]))</f>
        <v/>
      </c>
      <c r="Q898" t="str">
        <f>IF(ISBLANK(Data[[#This Row],[Customer Rating]]),"No Rating",IF(Data[[#This Row],[Customer Rating]]&gt;=9,"Promoter",IF(Data[[#This Row],[Customer Rating]]&gt;=7,"Passive","Detractor")))</f>
        <v>No Rating</v>
      </c>
    </row>
    <row r="899" spans="1:17" ht="14.25" customHeight="1" x14ac:dyDescent="0.3">
      <c r="A899" s="1" t="s">
        <v>925</v>
      </c>
      <c r="B899" s="1" t="s">
        <v>19</v>
      </c>
      <c r="C899" s="1" t="s">
        <v>22</v>
      </c>
      <c r="D899" s="1" t="str">
        <f>IF(Data[[#This Row],[Cancellation Status]]="No", "High Potential", "Normal")</f>
        <v>Normal</v>
      </c>
      <c r="E899" s="2">
        <v>45935</v>
      </c>
      <c r="I899" s="1" t="s">
        <v>23</v>
      </c>
      <c r="J899" s="1" t="s">
        <v>33</v>
      </c>
      <c r="L899" s="88" t="str">
        <f>IF(OR(Data[[#This Row],[Service Follow-up Date]]="",Data[[#This Row],[Delivery Date]]=""),"",INT(Data[[#This Row],[Service Follow-up Date]]-Data[[#This Row],[Delivery Date]]))</f>
        <v/>
      </c>
      <c r="Q899" t="str">
        <f>IF(ISBLANK(Data[[#This Row],[Customer Rating]]),"No Rating",IF(Data[[#This Row],[Customer Rating]]&gt;=9,"Promoter",IF(Data[[#This Row],[Customer Rating]]&gt;=7,"Passive","Detractor")))</f>
        <v>No Rating</v>
      </c>
    </row>
    <row r="900" spans="1:17" ht="14.25" customHeight="1" x14ac:dyDescent="0.3">
      <c r="A900" s="1" t="s">
        <v>926</v>
      </c>
      <c r="B900" s="1" t="s">
        <v>15</v>
      </c>
      <c r="C900" s="1" t="s">
        <v>22</v>
      </c>
      <c r="D900" s="1" t="str">
        <f>IF(Data[[#This Row],[Cancellation Status]]="No", "High Potential", "Normal")</f>
        <v>Normal</v>
      </c>
      <c r="E900" s="2">
        <v>45948</v>
      </c>
      <c r="I900" s="1" t="s">
        <v>23</v>
      </c>
      <c r="J900" s="1" t="s">
        <v>24</v>
      </c>
      <c r="L900" s="88" t="str">
        <f>IF(OR(Data[[#This Row],[Service Follow-up Date]]="",Data[[#This Row],[Delivery Date]]=""),"",INT(Data[[#This Row],[Service Follow-up Date]]-Data[[#This Row],[Delivery Date]]))</f>
        <v/>
      </c>
      <c r="Q900" t="str">
        <f>IF(ISBLANK(Data[[#This Row],[Customer Rating]]),"No Rating",IF(Data[[#This Row],[Customer Rating]]&gt;=9,"Promoter",IF(Data[[#This Row],[Customer Rating]]&gt;=7,"Passive","Detractor")))</f>
        <v>No Rating</v>
      </c>
    </row>
    <row r="901" spans="1:17" ht="14.25" customHeight="1" x14ac:dyDescent="0.3">
      <c r="A901" s="1" t="s">
        <v>927</v>
      </c>
      <c r="B901" s="1" t="s">
        <v>32</v>
      </c>
      <c r="C901" s="1" t="s">
        <v>30</v>
      </c>
      <c r="D901" s="1" t="str">
        <f>IF(Data[[#This Row],[Cancellation Status]]="No", "High Potential", "Normal")</f>
        <v>High Potential</v>
      </c>
      <c r="E901" s="2">
        <v>45939</v>
      </c>
      <c r="F901" s="2">
        <v>45943</v>
      </c>
      <c r="G901" s="2">
        <v>45945</v>
      </c>
      <c r="H901" s="2">
        <v>45948</v>
      </c>
      <c r="I901" s="1" t="s">
        <v>17</v>
      </c>
      <c r="K901" s="2">
        <v>45976</v>
      </c>
      <c r="L901" s="88">
        <f>IF(OR(Data[[#This Row],[Service Follow-up Date]]="",Data[[#This Row],[Delivery Date]]=""),"",INT(Data[[#This Row],[Service Follow-up Date]]-Data[[#This Row],[Delivery Date]]))</f>
        <v>28</v>
      </c>
      <c r="M901" s="1">
        <v>4</v>
      </c>
      <c r="N901" s="1">
        <v>2</v>
      </c>
      <c r="O901" s="1">
        <v>3</v>
      </c>
      <c r="P901" s="1">
        <v>9</v>
      </c>
      <c r="Q901" t="str">
        <f>IF(ISBLANK(Data[[#This Row],[Customer Rating]]),"No Rating",IF(Data[[#This Row],[Customer Rating]]&gt;=9,"Promoter",IF(Data[[#This Row],[Customer Rating]]&gt;=7,"Passive","Detractor")))</f>
        <v>Promoter</v>
      </c>
    </row>
    <row r="902" spans="1:17" ht="14.25" customHeight="1" x14ac:dyDescent="0.3">
      <c r="A902" s="1" t="s">
        <v>928</v>
      </c>
      <c r="B902" s="1" t="s">
        <v>19</v>
      </c>
      <c r="C902" s="1" t="s">
        <v>16</v>
      </c>
      <c r="D902" s="1" t="str">
        <f>IF(Data[[#This Row],[Cancellation Status]]="No", "High Potential", "Normal")</f>
        <v>High Potential</v>
      </c>
      <c r="E902" s="2">
        <v>45956</v>
      </c>
      <c r="F902" s="2">
        <v>45961</v>
      </c>
      <c r="G902" s="2">
        <v>45965</v>
      </c>
      <c r="H902" s="2">
        <v>45968</v>
      </c>
      <c r="I902" s="1" t="s">
        <v>17</v>
      </c>
      <c r="K902" s="2">
        <v>45993</v>
      </c>
      <c r="L902" s="88">
        <f>IF(OR(Data[[#This Row],[Service Follow-up Date]]="",Data[[#This Row],[Delivery Date]]=""),"",INT(Data[[#This Row],[Service Follow-up Date]]-Data[[#This Row],[Delivery Date]]))</f>
        <v>25</v>
      </c>
      <c r="M902" s="1">
        <v>5</v>
      </c>
      <c r="N902" s="1">
        <v>4</v>
      </c>
      <c r="O902" s="1">
        <v>3</v>
      </c>
      <c r="P902" s="1">
        <v>10</v>
      </c>
      <c r="Q902" t="str">
        <f>IF(ISBLANK(Data[[#This Row],[Customer Rating]]),"No Rating",IF(Data[[#This Row],[Customer Rating]]&gt;=9,"Promoter",IF(Data[[#This Row],[Customer Rating]]&gt;=7,"Passive","Detractor")))</f>
        <v>Promoter</v>
      </c>
    </row>
    <row r="903" spans="1:17" ht="14.25" customHeight="1" x14ac:dyDescent="0.3">
      <c r="A903" s="1" t="s">
        <v>929</v>
      </c>
      <c r="B903" s="1" t="s">
        <v>19</v>
      </c>
      <c r="C903" s="1" t="s">
        <v>16</v>
      </c>
      <c r="D903" s="1" t="str">
        <f>IF(Data[[#This Row],[Cancellation Status]]="No", "High Potential", "Normal")</f>
        <v>High Potential</v>
      </c>
      <c r="E903" s="2">
        <v>45936</v>
      </c>
      <c r="F903" s="2">
        <v>45940</v>
      </c>
      <c r="G903" s="2">
        <v>45944</v>
      </c>
      <c r="H903" s="2">
        <v>45948</v>
      </c>
      <c r="I903" s="1" t="s">
        <v>17</v>
      </c>
      <c r="K903" s="2">
        <v>45962</v>
      </c>
      <c r="L903" s="88">
        <f>IF(OR(Data[[#This Row],[Service Follow-up Date]]="",Data[[#This Row],[Delivery Date]]=""),"",INT(Data[[#This Row],[Service Follow-up Date]]-Data[[#This Row],[Delivery Date]]))</f>
        <v>14</v>
      </c>
      <c r="M903" s="1">
        <v>4</v>
      </c>
      <c r="N903" s="1">
        <v>4</v>
      </c>
      <c r="O903" s="1">
        <v>4</v>
      </c>
      <c r="P903" s="1">
        <v>0</v>
      </c>
      <c r="Q903" t="str">
        <f>IF(ISBLANK(Data[[#This Row],[Customer Rating]]),"No Rating",IF(Data[[#This Row],[Customer Rating]]&gt;=9,"Promoter",IF(Data[[#This Row],[Customer Rating]]&gt;=7,"Passive","Detractor")))</f>
        <v>Detractor</v>
      </c>
    </row>
    <row r="904" spans="1:17" ht="14.25" customHeight="1" x14ac:dyDescent="0.3">
      <c r="A904" s="1" t="s">
        <v>930</v>
      </c>
      <c r="B904" s="1" t="s">
        <v>19</v>
      </c>
      <c r="C904" s="1" t="s">
        <v>16</v>
      </c>
      <c r="D904" s="1" t="str">
        <f>IF(Data[[#This Row],[Cancellation Status]]="No", "High Potential", "Normal")</f>
        <v>High Potential</v>
      </c>
      <c r="E904" s="2">
        <v>45934</v>
      </c>
      <c r="F904" s="2">
        <v>45938</v>
      </c>
      <c r="G904" s="2">
        <v>45939</v>
      </c>
      <c r="H904" s="2">
        <v>45943</v>
      </c>
      <c r="I904" s="1" t="s">
        <v>17</v>
      </c>
      <c r="K904" s="2">
        <v>45955</v>
      </c>
      <c r="L904" s="88">
        <f>IF(OR(Data[[#This Row],[Service Follow-up Date]]="",Data[[#This Row],[Delivery Date]]=""),"",INT(Data[[#This Row],[Service Follow-up Date]]-Data[[#This Row],[Delivery Date]]))</f>
        <v>12</v>
      </c>
      <c r="M904" s="1">
        <v>4</v>
      </c>
      <c r="N904" s="1">
        <v>1</v>
      </c>
      <c r="O904" s="1">
        <v>4</v>
      </c>
      <c r="P904" s="1">
        <v>5</v>
      </c>
      <c r="Q904" t="str">
        <f>IF(ISBLANK(Data[[#This Row],[Customer Rating]]),"No Rating",IF(Data[[#This Row],[Customer Rating]]&gt;=9,"Promoter",IF(Data[[#This Row],[Customer Rating]]&gt;=7,"Passive","Detractor")))</f>
        <v>Detractor</v>
      </c>
    </row>
    <row r="905" spans="1:17" ht="14.25" customHeight="1" x14ac:dyDescent="0.3">
      <c r="A905" s="1" t="s">
        <v>931</v>
      </c>
      <c r="B905" s="1" t="s">
        <v>32</v>
      </c>
      <c r="C905" s="1" t="s">
        <v>16</v>
      </c>
      <c r="D905" s="1" t="str">
        <f>IF(Data[[#This Row],[Cancellation Status]]="No", "High Potential", "Normal")</f>
        <v>High Potential</v>
      </c>
      <c r="E905" s="2">
        <v>45952</v>
      </c>
      <c r="F905" s="2">
        <v>45955</v>
      </c>
      <c r="G905" s="2">
        <v>45959</v>
      </c>
      <c r="H905" s="2">
        <v>45964</v>
      </c>
      <c r="I905" s="1" t="s">
        <v>17</v>
      </c>
      <c r="K905" s="2">
        <v>45990</v>
      </c>
      <c r="L905" s="88">
        <f>IF(OR(Data[[#This Row],[Service Follow-up Date]]="",Data[[#This Row],[Delivery Date]]=""),"",INT(Data[[#This Row],[Service Follow-up Date]]-Data[[#This Row],[Delivery Date]]))</f>
        <v>26</v>
      </c>
      <c r="M905" s="1">
        <v>3</v>
      </c>
      <c r="N905" s="1">
        <v>4</v>
      </c>
      <c r="O905" s="1">
        <v>5</v>
      </c>
      <c r="P905" s="1">
        <v>9</v>
      </c>
      <c r="Q905" t="str">
        <f>IF(ISBLANK(Data[[#This Row],[Customer Rating]]),"No Rating",IF(Data[[#This Row],[Customer Rating]]&gt;=9,"Promoter",IF(Data[[#This Row],[Customer Rating]]&gt;=7,"Passive","Detractor")))</f>
        <v>Promoter</v>
      </c>
    </row>
    <row r="906" spans="1:17" ht="14.25" customHeight="1" x14ac:dyDescent="0.3">
      <c r="A906" s="1" t="s">
        <v>932</v>
      </c>
      <c r="B906" s="1" t="s">
        <v>19</v>
      </c>
      <c r="C906" s="1" t="s">
        <v>22</v>
      </c>
      <c r="D906" s="1" t="str">
        <f>IF(Data[[#This Row],[Cancellation Status]]="No", "High Potential", "Normal")</f>
        <v>Normal</v>
      </c>
      <c r="E906" s="2">
        <v>45958</v>
      </c>
      <c r="I906" s="1" t="s">
        <v>23</v>
      </c>
      <c r="J906" s="1" t="s">
        <v>63</v>
      </c>
      <c r="L906" s="88" t="str">
        <f>IF(OR(Data[[#This Row],[Service Follow-up Date]]="",Data[[#This Row],[Delivery Date]]=""),"",INT(Data[[#This Row],[Service Follow-up Date]]-Data[[#This Row],[Delivery Date]]))</f>
        <v/>
      </c>
      <c r="Q906" t="str">
        <f>IF(ISBLANK(Data[[#This Row],[Customer Rating]]),"No Rating",IF(Data[[#This Row],[Customer Rating]]&gt;=9,"Promoter",IF(Data[[#This Row],[Customer Rating]]&gt;=7,"Passive","Detractor")))</f>
        <v>No Rating</v>
      </c>
    </row>
    <row r="907" spans="1:17" ht="14.25" customHeight="1" x14ac:dyDescent="0.3">
      <c r="A907" s="1" t="s">
        <v>933</v>
      </c>
      <c r="B907" s="1" t="s">
        <v>32</v>
      </c>
      <c r="C907" s="1" t="s">
        <v>16</v>
      </c>
      <c r="D907" s="1" t="str">
        <f>IF(Data[[#This Row],[Cancellation Status]]="No", "High Potential", "Normal")</f>
        <v>High Potential</v>
      </c>
      <c r="E907" s="2">
        <v>45931</v>
      </c>
      <c r="F907" s="2">
        <v>45935</v>
      </c>
      <c r="G907" s="2">
        <v>45940</v>
      </c>
      <c r="H907" s="2">
        <v>45943</v>
      </c>
      <c r="I907" s="1" t="s">
        <v>17</v>
      </c>
      <c r="K907" s="2">
        <v>45955</v>
      </c>
      <c r="L907" s="88">
        <f>IF(OR(Data[[#This Row],[Service Follow-up Date]]="",Data[[#This Row],[Delivery Date]]=""),"",INT(Data[[#This Row],[Service Follow-up Date]]-Data[[#This Row],[Delivery Date]]))</f>
        <v>12</v>
      </c>
      <c r="M907" s="1">
        <v>4</v>
      </c>
      <c r="N907" s="1">
        <v>5</v>
      </c>
      <c r="O907" s="1">
        <v>3</v>
      </c>
      <c r="P907" s="1">
        <v>7</v>
      </c>
      <c r="Q907" t="str">
        <f>IF(ISBLANK(Data[[#This Row],[Customer Rating]]),"No Rating",IF(Data[[#This Row],[Customer Rating]]&gt;=9,"Promoter",IF(Data[[#This Row],[Customer Rating]]&gt;=7,"Passive","Detractor")))</f>
        <v>Passive</v>
      </c>
    </row>
    <row r="908" spans="1:17" ht="14.25" customHeight="1" x14ac:dyDescent="0.3">
      <c r="A908" s="1" t="s">
        <v>934</v>
      </c>
      <c r="B908" s="1" t="s">
        <v>19</v>
      </c>
      <c r="C908" s="1" t="s">
        <v>16</v>
      </c>
      <c r="D908" s="1" t="str">
        <f>IF(Data[[#This Row],[Cancellation Status]]="No", "High Potential", "Normal")</f>
        <v>High Potential</v>
      </c>
      <c r="E908" s="2">
        <v>45935</v>
      </c>
      <c r="F908" s="2">
        <v>45936</v>
      </c>
      <c r="G908" s="2">
        <v>45940</v>
      </c>
      <c r="H908" s="2">
        <v>45942</v>
      </c>
      <c r="I908" s="1" t="s">
        <v>17</v>
      </c>
      <c r="K908" s="2">
        <v>45955</v>
      </c>
      <c r="L908" s="88">
        <f>IF(OR(Data[[#This Row],[Service Follow-up Date]]="",Data[[#This Row],[Delivery Date]]=""),"",INT(Data[[#This Row],[Service Follow-up Date]]-Data[[#This Row],[Delivery Date]]))</f>
        <v>13</v>
      </c>
      <c r="M908" s="1">
        <v>1</v>
      </c>
      <c r="N908" s="1">
        <v>4</v>
      </c>
      <c r="O908" s="1">
        <v>2</v>
      </c>
      <c r="P908" s="1">
        <v>4</v>
      </c>
      <c r="Q908" t="str">
        <f>IF(ISBLANK(Data[[#This Row],[Customer Rating]]),"No Rating",IF(Data[[#This Row],[Customer Rating]]&gt;=9,"Promoter",IF(Data[[#This Row],[Customer Rating]]&gt;=7,"Passive","Detractor")))</f>
        <v>Detractor</v>
      </c>
    </row>
    <row r="909" spans="1:17" ht="14.25" customHeight="1" x14ac:dyDescent="0.3">
      <c r="A909" s="1" t="s">
        <v>935</v>
      </c>
      <c r="B909" s="1" t="s">
        <v>21</v>
      </c>
      <c r="C909" s="1" t="s">
        <v>30</v>
      </c>
      <c r="D909" s="1" t="str">
        <f>IF(Data[[#This Row],[Cancellation Status]]="No", "High Potential", "Normal")</f>
        <v>High Potential</v>
      </c>
      <c r="E909" s="2">
        <v>45931</v>
      </c>
      <c r="F909" s="2">
        <v>45932</v>
      </c>
      <c r="G909" s="2">
        <v>45937</v>
      </c>
      <c r="H909" s="2">
        <v>45943</v>
      </c>
      <c r="I909" s="1" t="s">
        <v>17</v>
      </c>
      <c r="K909" s="2">
        <v>45961</v>
      </c>
      <c r="L909" s="88">
        <f>IF(OR(Data[[#This Row],[Service Follow-up Date]]="",Data[[#This Row],[Delivery Date]]=""),"",INT(Data[[#This Row],[Service Follow-up Date]]-Data[[#This Row],[Delivery Date]]))</f>
        <v>18</v>
      </c>
      <c r="M909" s="1">
        <v>1</v>
      </c>
      <c r="N909" s="1">
        <v>5</v>
      </c>
      <c r="O909" s="1">
        <v>6</v>
      </c>
      <c r="P909" s="1">
        <v>2</v>
      </c>
      <c r="Q909" t="str">
        <f>IF(ISBLANK(Data[[#This Row],[Customer Rating]]),"No Rating",IF(Data[[#This Row],[Customer Rating]]&gt;=9,"Promoter",IF(Data[[#This Row],[Customer Rating]]&gt;=7,"Passive","Detractor")))</f>
        <v>Detractor</v>
      </c>
    </row>
    <row r="910" spans="1:17" ht="14.25" customHeight="1" x14ac:dyDescent="0.3">
      <c r="A910" s="1" t="s">
        <v>936</v>
      </c>
      <c r="B910" s="1" t="s">
        <v>15</v>
      </c>
      <c r="C910" s="1" t="s">
        <v>16</v>
      </c>
      <c r="D910" s="1" t="str">
        <f>IF(Data[[#This Row],[Cancellation Status]]="No", "High Potential", "Normal")</f>
        <v>High Potential</v>
      </c>
      <c r="E910" s="2">
        <v>45942</v>
      </c>
      <c r="F910" s="2">
        <v>45946</v>
      </c>
      <c r="G910" s="2">
        <v>45950</v>
      </c>
      <c r="H910" s="2">
        <v>45956</v>
      </c>
      <c r="I910" s="1" t="s">
        <v>17</v>
      </c>
      <c r="K910" s="2">
        <v>45986</v>
      </c>
      <c r="L910" s="88">
        <f>IF(OR(Data[[#This Row],[Service Follow-up Date]]="",Data[[#This Row],[Delivery Date]]=""),"",INT(Data[[#This Row],[Service Follow-up Date]]-Data[[#This Row],[Delivery Date]]))</f>
        <v>30</v>
      </c>
      <c r="M910" s="1">
        <v>4</v>
      </c>
      <c r="N910" s="1">
        <v>4</v>
      </c>
      <c r="O910" s="1">
        <v>6</v>
      </c>
      <c r="P910" s="1">
        <v>8</v>
      </c>
      <c r="Q910" t="str">
        <f>IF(ISBLANK(Data[[#This Row],[Customer Rating]]),"No Rating",IF(Data[[#This Row],[Customer Rating]]&gt;=9,"Promoter",IF(Data[[#This Row],[Customer Rating]]&gt;=7,"Passive","Detractor")))</f>
        <v>Passive</v>
      </c>
    </row>
    <row r="911" spans="1:17" ht="14.25" customHeight="1" x14ac:dyDescent="0.3">
      <c r="A911" s="1" t="s">
        <v>937</v>
      </c>
      <c r="B911" s="1" t="s">
        <v>21</v>
      </c>
      <c r="C911" s="1" t="s">
        <v>16</v>
      </c>
      <c r="D911" s="1" t="str">
        <f>IF(Data[[#This Row],[Cancellation Status]]="No", "High Potential", "Normal")</f>
        <v>High Potential</v>
      </c>
      <c r="E911" s="2">
        <v>45956</v>
      </c>
      <c r="F911" s="2">
        <v>45961</v>
      </c>
      <c r="G911" s="2">
        <v>45966</v>
      </c>
      <c r="H911" s="2">
        <v>45972</v>
      </c>
      <c r="I911" s="1" t="s">
        <v>17</v>
      </c>
      <c r="K911" s="2">
        <v>45989</v>
      </c>
      <c r="L911" s="88">
        <f>IF(OR(Data[[#This Row],[Service Follow-up Date]]="",Data[[#This Row],[Delivery Date]]=""),"",INT(Data[[#This Row],[Service Follow-up Date]]-Data[[#This Row],[Delivery Date]]))</f>
        <v>17</v>
      </c>
      <c r="M911" s="1">
        <v>5</v>
      </c>
      <c r="N911" s="1">
        <v>5</v>
      </c>
      <c r="O911" s="1">
        <v>6</v>
      </c>
      <c r="P911" s="1">
        <v>2</v>
      </c>
      <c r="Q911" t="str">
        <f>IF(ISBLANK(Data[[#This Row],[Customer Rating]]),"No Rating",IF(Data[[#This Row],[Customer Rating]]&gt;=9,"Promoter",IF(Data[[#This Row],[Customer Rating]]&gt;=7,"Passive","Detractor")))</f>
        <v>Detractor</v>
      </c>
    </row>
    <row r="912" spans="1:17" ht="14.25" customHeight="1" x14ac:dyDescent="0.3">
      <c r="A912" s="1" t="s">
        <v>938</v>
      </c>
      <c r="B912" s="1" t="s">
        <v>15</v>
      </c>
      <c r="C912" s="1" t="s">
        <v>16</v>
      </c>
      <c r="D912" s="1" t="str">
        <f>IF(Data[[#This Row],[Cancellation Status]]="No", "High Potential", "Normal")</f>
        <v>High Potential</v>
      </c>
      <c r="E912" s="2">
        <v>45956</v>
      </c>
      <c r="F912" s="2">
        <v>45960</v>
      </c>
      <c r="G912" s="2">
        <v>45965</v>
      </c>
      <c r="H912" s="2">
        <v>45968</v>
      </c>
      <c r="I912" s="1" t="s">
        <v>17</v>
      </c>
      <c r="K912" s="2">
        <v>45992</v>
      </c>
      <c r="L912" s="88">
        <f>IF(OR(Data[[#This Row],[Service Follow-up Date]]="",Data[[#This Row],[Delivery Date]]=""),"",INT(Data[[#This Row],[Service Follow-up Date]]-Data[[#This Row],[Delivery Date]]))</f>
        <v>24</v>
      </c>
      <c r="M912" s="1">
        <v>4</v>
      </c>
      <c r="N912" s="1">
        <v>5</v>
      </c>
      <c r="O912" s="1">
        <v>3</v>
      </c>
      <c r="P912" s="1">
        <v>4</v>
      </c>
      <c r="Q912" t="str">
        <f>IF(ISBLANK(Data[[#This Row],[Customer Rating]]),"No Rating",IF(Data[[#This Row],[Customer Rating]]&gt;=9,"Promoter",IF(Data[[#This Row],[Customer Rating]]&gt;=7,"Passive","Detractor")))</f>
        <v>Detractor</v>
      </c>
    </row>
    <row r="913" spans="1:17" ht="14.25" customHeight="1" x14ac:dyDescent="0.3">
      <c r="A913" s="1" t="s">
        <v>939</v>
      </c>
      <c r="B913" s="1" t="s">
        <v>32</v>
      </c>
      <c r="C913" s="1" t="s">
        <v>30</v>
      </c>
      <c r="D913" s="1" t="str">
        <f>IF(Data[[#This Row],[Cancellation Status]]="No", "High Potential", "Normal")</f>
        <v>High Potential</v>
      </c>
      <c r="E913" s="2">
        <v>45938</v>
      </c>
      <c r="F913" s="2">
        <v>45940</v>
      </c>
      <c r="G913" s="2">
        <v>45944</v>
      </c>
      <c r="H913" s="2">
        <v>45951</v>
      </c>
      <c r="I913" s="1" t="s">
        <v>17</v>
      </c>
      <c r="K913" s="2">
        <v>45970</v>
      </c>
      <c r="L913" s="88">
        <f>IF(OR(Data[[#This Row],[Service Follow-up Date]]="",Data[[#This Row],[Delivery Date]]=""),"",INT(Data[[#This Row],[Service Follow-up Date]]-Data[[#This Row],[Delivery Date]]))</f>
        <v>19</v>
      </c>
      <c r="M913" s="1">
        <v>2</v>
      </c>
      <c r="N913" s="1">
        <v>4</v>
      </c>
      <c r="O913" s="1">
        <v>7</v>
      </c>
      <c r="P913" s="1">
        <v>1</v>
      </c>
      <c r="Q913" t="str">
        <f>IF(ISBLANK(Data[[#This Row],[Customer Rating]]),"No Rating",IF(Data[[#This Row],[Customer Rating]]&gt;=9,"Promoter",IF(Data[[#This Row],[Customer Rating]]&gt;=7,"Passive","Detractor")))</f>
        <v>Detractor</v>
      </c>
    </row>
    <row r="914" spans="1:17" ht="14.25" customHeight="1" x14ac:dyDescent="0.3">
      <c r="A914" s="1" t="s">
        <v>940</v>
      </c>
      <c r="B914" s="1" t="s">
        <v>21</v>
      </c>
      <c r="C914" s="1" t="s">
        <v>30</v>
      </c>
      <c r="D914" s="1" t="str">
        <f>IF(Data[[#This Row],[Cancellation Status]]="No", "High Potential", "Normal")</f>
        <v>High Potential</v>
      </c>
      <c r="E914" s="2">
        <v>45949</v>
      </c>
      <c r="F914" s="2">
        <v>45951</v>
      </c>
      <c r="G914" s="2">
        <v>45956</v>
      </c>
      <c r="H914" s="2">
        <v>45960</v>
      </c>
      <c r="I914" s="1" t="s">
        <v>17</v>
      </c>
      <c r="K914" s="2">
        <v>45978</v>
      </c>
      <c r="L914" s="88">
        <f>IF(OR(Data[[#This Row],[Service Follow-up Date]]="",Data[[#This Row],[Delivery Date]]=""),"",INT(Data[[#This Row],[Service Follow-up Date]]-Data[[#This Row],[Delivery Date]]))</f>
        <v>18</v>
      </c>
      <c r="M914" s="1">
        <v>2</v>
      </c>
      <c r="N914" s="1">
        <v>5</v>
      </c>
      <c r="O914" s="1">
        <v>4</v>
      </c>
      <c r="P914" s="1">
        <v>8</v>
      </c>
      <c r="Q914" t="str">
        <f>IF(ISBLANK(Data[[#This Row],[Customer Rating]]),"No Rating",IF(Data[[#This Row],[Customer Rating]]&gt;=9,"Promoter",IF(Data[[#This Row],[Customer Rating]]&gt;=7,"Passive","Detractor")))</f>
        <v>Passive</v>
      </c>
    </row>
    <row r="915" spans="1:17" ht="14.25" customHeight="1" x14ac:dyDescent="0.3">
      <c r="A915" s="1" t="s">
        <v>941</v>
      </c>
      <c r="B915" s="1" t="s">
        <v>19</v>
      </c>
      <c r="C915" s="1" t="s">
        <v>16</v>
      </c>
      <c r="D915" s="1" t="str">
        <f>IF(Data[[#This Row],[Cancellation Status]]="No", "High Potential", "Normal")</f>
        <v>High Potential</v>
      </c>
      <c r="E915" s="2">
        <v>45941</v>
      </c>
      <c r="F915" s="2">
        <v>45946</v>
      </c>
      <c r="G915" s="2">
        <v>45947</v>
      </c>
      <c r="H915" s="2">
        <v>45952</v>
      </c>
      <c r="I915" s="1" t="s">
        <v>17</v>
      </c>
      <c r="K915" s="2">
        <v>45976</v>
      </c>
      <c r="L915" s="88">
        <f>IF(OR(Data[[#This Row],[Service Follow-up Date]]="",Data[[#This Row],[Delivery Date]]=""),"",INT(Data[[#This Row],[Service Follow-up Date]]-Data[[#This Row],[Delivery Date]]))</f>
        <v>24</v>
      </c>
      <c r="M915" s="1">
        <v>5</v>
      </c>
      <c r="N915" s="1">
        <v>1</v>
      </c>
      <c r="O915" s="1">
        <v>5</v>
      </c>
      <c r="P915" s="1">
        <v>9</v>
      </c>
      <c r="Q915" t="str">
        <f>IF(ISBLANK(Data[[#This Row],[Customer Rating]]),"No Rating",IF(Data[[#This Row],[Customer Rating]]&gt;=9,"Promoter",IF(Data[[#This Row],[Customer Rating]]&gt;=7,"Passive","Detractor")))</f>
        <v>Promoter</v>
      </c>
    </row>
    <row r="916" spans="1:17" ht="14.25" customHeight="1" x14ac:dyDescent="0.3">
      <c r="A916" s="1" t="s">
        <v>942</v>
      </c>
      <c r="B916" s="1" t="s">
        <v>15</v>
      </c>
      <c r="C916" s="1" t="s">
        <v>30</v>
      </c>
      <c r="D916" s="1" t="str">
        <f>IF(Data[[#This Row],[Cancellation Status]]="No", "High Potential", "Normal")</f>
        <v>High Potential</v>
      </c>
      <c r="E916" s="2">
        <v>45931</v>
      </c>
      <c r="F916" s="2">
        <v>45934</v>
      </c>
      <c r="G916" s="2">
        <v>45937</v>
      </c>
      <c r="H916" s="2">
        <v>45942</v>
      </c>
      <c r="I916" s="1" t="s">
        <v>17</v>
      </c>
      <c r="K916" s="2">
        <v>45953</v>
      </c>
      <c r="L916" s="88">
        <f>IF(OR(Data[[#This Row],[Service Follow-up Date]]="",Data[[#This Row],[Delivery Date]]=""),"",INT(Data[[#This Row],[Service Follow-up Date]]-Data[[#This Row],[Delivery Date]]))</f>
        <v>11</v>
      </c>
      <c r="M916" s="1">
        <v>3</v>
      </c>
      <c r="N916" s="1">
        <v>3</v>
      </c>
      <c r="O916" s="1">
        <v>5</v>
      </c>
      <c r="P916" s="1">
        <v>4</v>
      </c>
      <c r="Q916" t="str">
        <f>IF(ISBLANK(Data[[#This Row],[Customer Rating]]),"No Rating",IF(Data[[#This Row],[Customer Rating]]&gt;=9,"Promoter",IF(Data[[#This Row],[Customer Rating]]&gt;=7,"Passive","Detractor")))</f>
        <v>Detractor</v>
      </c>
    </row>
    <row r="917" spans="1:17" ht="14.25" customHeight="1" x14ac:dyDescent="0.3">
      <c r="A917" s="1" t="s">
        <v>943</v>
      </c>
      <c r="B917" s="1" t="s">
        <v>15</v>
      </c>
      <c r="C917" s="1" t="s">
        <v>30</v>
      </c>
      <c r="D917" s="1" t="str">
        <f>IF(Data[[#This Row],[Cancellation Status]]="No", "High Potential", "Normal")</f>
        <v>High Potential</v>
      </c>
      <c r="E917" s="2">
        <v>45936</v>
      </c>
      <c r="F917" s="2">
        <v>45937</v>
      </c>
      <c r="G917" s="2">
        <v>45942</v>
      </c>
      <c r="H917" s="2">
        <v>45948</v>
      </c>
      <c r="I917" s="1" t="s">
        <v>17</v>
      </c>
      <c r="K917" s="2">
        <v>45961</v>
      </c>
      <c r="L917" s="88">
        <f>IF(OR(Data[[#This Row],[Service Follow-up Date]]="",Data[[#This Row],[Delivery Date]]=""),"",INT(Data[[#This Row],[Service Follow-up Date]]-Data[[#This Row],[Delivery Date]]))</f>
        <v>13</v>
      </c>
      <c r="M917" s="1">
        <v>1</v>
      </c>
      <c r="N917" s="1">
        <v>5</v>
      </c>
      <c r="O917" s="1">
        <v>6</v>
      </c>
      <c r="P917" s="1">
        <v>1</v>
      </c>
      <c r="Q917" t="str">
        <f>IF(ISBLANK(Data[[#This Row],[Customer Rating]]),"No Rating",IF(Data[[#This Row],[Customer Rating]]&gt;=9,"Promoter",IF(Data[[#This Row],[Customer Rating]]&gt;=7,"Passive","Detractor")))</f>
        <v>Detractor</v>
      </c>
    </row>
    <row r="918" spans="1:17" ht="14.25" customHeight="1" x14ac:dyDescent="0.3">
      <c r="A918" s="1" t="s">
        <v>944</v>
      </c>
      <c r="B918" s="1" t="s">
        <v>21</v>
      </c>
      <c r="C918" s="1" t="s">
        <v>30</v>
      </c>
      <c r="D918" s="1" t="str">
        <f>IF(Data[[#This Row],[Cancellation Status]]="No", "High Potential", "Normal")</f>
        <v>High Potential</v>
      </c>
      <c r="E918" s="2">
        <v>45939</v>
      </c>
      <c r="F918" s="2">
        <v>45940</v>
      </c>
      <c r="G918" s="2">
        <v>45945</v>
      </c>
      <c r="H918" s="2">
        <v>45950</v>
      </c>
      <c r="I918" s="1" t="s">
        <v>17</v>
      </c>
      <c r="K918" s="2">
        <v>45965</v>
      </c>
      <c r="L918" s="88">
        <f>IF(OR(Data[[#This Row],[Service Follow-up Date]]="",Data[[#This Row],[Delivery Date]]=""),"",INT(Data[[#This Row],[Service Follow-up Date]]-Data[[#This Row],[Delivery Date]]))</f>
        <v>15</v>
      </c>
      <c r="M918" s="1">
        <v>1</v>
      </c>
      <c r="N918" s="1">
        <v>5</v>
      </c>
      <c r="O918" s="1">
        <v>5</v>
      </c>
      <c r="P918" s="1">
        <v>6</v>
      </c>
      <c r="Q918" t="str">
        <f>IF(ISBLANK(Data[[#This Row],[Customer Rating]]),"No Rating",IF(Data[[#This Row],[Customer Rating]]&gt;=9,"Promoter",IF(Data[[#This Row],[Customer Rating]]&gt;=7,"Passive","Detractor")))</f>
        <v>Detractor</v>
      </c>
    </row>
    <row r="919" spans="1:17" ht="14.25" customHeight="1" x14ac:dyDescent="0.3">
      <c r="A919" s="1" t="s">
        <v>945</v>
      </c>
      <c r="B919" s="1" t="s">
        <v>32</v>
      </c>
      <c r="C919" s="1" t="s">
        <v>30</v>
      </c>
      <c r="D919" s="1" t="str">
        <f>IF(Data[[#This Row],[Cancellation Status]]="No", "High Potential", "Normal")</f>
        <v>High Potential</v>
      </c>
      <c r="E919" s="2">
        <v>45932</v>
      </c>
      <c r="F919" s="2">
        <v>45935</v>
      </c>
      <c r="G919" s="2">
        <v>45936</v>
      </c>
      <c r="H919" s="2">
        <v>45938</v>
      </c>
      <c r="I919" s="1" t="s">
        <v>17</v>
      </c>
      <c r="K919" s="2">
        <v>45949</v>
      </c>
      <c r="L919" s="88">
        <f>IF(OR(Data[[#This Row],[Service Follow-up Date]]="",Data[[#This Row],[Delivery Date]]=""),"",INT(Data[[#This Row],[Service Follow-up Date]]-Data[[#This Row],[Delivery Date]]))</f>
        <v>11</v>
      </c>
      <c r="M919" s="1">
        <v>3</v>
      </c>
      <c r="N919" s="1">
        <v>1</v>
      </c>
      <c r="O919" s="1">
        <v>2</v>
      </c>
      <c r="P919" s="1">
        <v>8</v>
      </c>
      <c r="Q919" t="str">
        <f>IF(ISBLANK(Data[[#This Row],[Customer Rating]]),"No Rating",IF(Data[[#This Row],[Customer Rating]]&gt;=9,"Promoter",IF(Data[[#This Row],[Customer Rating]]&gt;=7,"Passive","Detractor")))</f>
        <v>Passive</v>
      </c>
    </row>
    <row r="920" spans="1:17" ht="14.25" customHeight="1" x14ac:dyDescent="0.3">
      <c r="A920" s="1" t="s">
        <v>946</v>
      </c>
      <c r="B920" s="1" t="s">
        <v>21</v>
      </c>
      <c r="C920" s="1" t="s">
        <v>30</v>
      </c>
      <c r="D920" s="1" t="str">
        <f>IF(Data[[#This Row],[Cancellation Status]]="No", "High Potential", "Normal")</f>
        <v>High Potential</v>
      </c>
      <c r="E920" s="2">
        <v>45935</v>
      </c>
      <c r="F920" s="2">
        <v>45939</v>
      </c>
      <c r="G920" s="2">
        <v>45940</v>
      </c>
      <c r="H920" s="2">
        <v>45942</v>
      </c>
      <c r="I920" s="1" t="s">
        <v>17</v>
      </c>
      <c r="K920" s="2">
        <v>45961</v>
      </c>
      <c r="L920" s="88">
        <f>IF(OR(Data[[#This Row],[Service Follow-up Date]]="",Data[[#This Row],[Delivery Date]]=""),"",INT(Data[[#This Row],[Service Follow-up Date]]-Data[[#This Row],[Delivery Date]]))</f>
        <v>19</v>
      </c>
      <c r="M920" s="1">
        <v>4</v>
      </c>
      <c r="N920" s="1">
        <v>1</v>
      </c>
      <c r="O920" s="1">
        <v>2</v>
      </c>
      <c r="P920" s="1">
        <v>1</v>
      </c>
      <c r="Q920" t="str">
        <f>IF(ISBLANK(Data[[#This Row],[Customer Rating]]),"No Rating",IF(Data[[#This Row],[Customer Rating]]&gt;=9,"Promoter",IF(Data[[#This Row],[Customer Rating]]&gt;=7,"Passive","Detractor")))</f>
        <v>Detractor</v>
      </c>
    </row>
    <row r="921" spans="1:17" ht="14.25" customHeight="1" x14ac:dyDescent="0.3">
      <c r="A921" s="1" t="s">
        <v>947</v>
      </c>
      <c r="B921" s="1" t="s">
        <v>32</v>
      </c>
      <c r="C921" s="1" t="s">
        <v>16</v>
      </c>
      <c r="D921" s="1" t="str">
        <f>IF(Data[[#This Row],[Cancellation Status]]="No", "High Potential", "Normal")</f>
        <v>High Potential</v>
      </c>
      <c r="E921" s="2">
        <v>45954</v>
      </c>
      <c r="F921" s="2">
        <v>45959</v>
      </c>
      <c r="G921" s="2">
        <v>45961</v>
      </c>
      <c r="H921" s="2">
        <v>45965</v>
      </c>
      <c r="I921" s="1" t="s">
        <v>17</v>
      </c>
      <c r="K921" s="2">
        <v>45986</v>
      </c>
      <c r="L921" s="88">
        <f>IF(OR(Data[[#This Row],[Service Follow-up Date]]="",Data[[#This Row],[Delivery Date]]=""),"",INT(Data[[#This Row],[Service Follow-up Date]]-Data[[#This Row],[Delivery Date]]))</f>
        <v>21</v>
      </c>
      <c r="M921" s="1">
        <v>5</v>
      </c>
      <c r="N921" s="1">
        <v>2</v>
      </c>
      <c r="O921" s="1">
        <v>4</v>
      </c>
      <c r="P921" s="1">
        <v>6</v>
      </c>
      <c r="Q921" t="str">
        <f>IF(ISBLANK(Data[[#This Row],[Customer Rating]]),"No Rating",IF(Data[[#This Row],[Customer Rating]]&gt;=9,"Promoter",IF(Data[[#This Row],[Customer Rating]]&gt;=7,"Passive","Detractor")))</f>
        <v>Detractor</v>
      </c>
    </row>
    <row r="922" spans="1:17" ht="14.25" customHeight="1" x14ac:dyDescent="0.3">
      <c r="A922" s="1" t="s">
        <v>948</v>
      </c>
      <c r="B922" s="1" t="s">
        <v>32</v>
      </c>
      <c r="C922" s="1" t="s">
        <v>16</v>
      </c>
      <c r="D922" s="1" t="str">
        <f>IF(Data[[#This Row],[Cancellation Status]]="No", "High Potential", "Normal")</f>
        <v>High Potential</v>
      </c>
      <c r="E922" s="2">
        <v>45944</v>
      </c>
      <c r="F922" s="2">
        <v>45948</v>
      </c>
      <c r="G922" s="2">
        <v>45951</v>
      </c>
      <c r="H922" s="2">
        <v>45956</v>
      </c>
      <c r="I922" s="1" t="s">
        <v>17</v>
      </c>
      <c r="K922" s="2">
        <v>45976</v>
      </c>
      <c r="L922" s="88">
        <f>IF(OR(Data[[#This Row],[Service Follow-up Date]]="",Data[[#This Row],[Delivery Date]]=""),"",INT(Data[[#This Row],[Service Follow-up Date]]-Data[[#This Row],[Delivery Date]]))</f>
        <v>20</v>
      </c>
      <c r="M922" s="1">
        <v>4</v>
      </c>
      <c r="N922" s="1">
        <v>3</v>
      </c>
      <c r="O922" s="1">
        <v>5</v>
      </c>
      <c r="P922" s="1">
        <v>0</v>
      </c>
      <c r="Q922" t="str">
        <f>IF(ISBLANK(Data[[#This Row],[Customer Rating]]),"No Rating",IF(Data[[#This Row],[Customer Rating]]&gt;=9,"Promoter",IF(Data[[#This Row],[Customer Rating]]&gt;=7,"Passive","Detractor")))</f>
        <v>Detractor</v>
      </c>
    </row>
    <row r="923" spans="1:17" ht="14.25" customHeight="1" x14ac:dyDescent="0.3">
      <c r="A923" s="1" t="s">
        <v>949</v>
      </c>
      <c r="B923" s="1" t="s">
        <v>15</v>
      </c>
      <c r="C923" s="1" t="s">
        <v>22</v>
      </c>
      <c r="D923" s="1" t="str">
        <f>IF(Data[[#This Row],[Cancellation Status]]="No", "High Potential", "Normal")</f>
        <v>Normal</v>
      </c>
      <c r="E923" s="2">
        <v>45947</v>
      </c>
      <c r="I923" s="1" t="s">
        <v>23</v>
      </c>
      <c r="J923" s="1" t="s">
        <v>24</v>
      </c>
      <c r="L923" s="88" t="str">
        <f>IF(OR(Data[[#This Row],[Service Follow-up Date]]="",Data[[#This Row],[Delivery Date]]=""),"",INT(Data[[#This Row],[Service Follow-up Date]]-Data[[#This Row],[Delivery Date]]))</f>
        <v/>
      </c>
      <c r="Q923" t="str">
        <f>IF(ISBLANK(Data[[#This Row],[Customer Rating]]),"No Rating",IF(Data[[#This Row],[Customer Rating]]&gt;=9,"Promoter",IF(Data[[#This Row],[Customer Rating]]&gt;=7,"Passive","Detractor")))</f>
        <v>No Rating</v>
      </c>
    </row>
    <row r="924" spans="1:17" ht="14.25" customHeight="1" x14ac:dyDescent="0.3">
      <c r="A924" s="1" t="s">
        <v>950</v>
      </c>
      <c r="B924" s="1" t="s">
        <v>21</v>
      </c>
      <c r="C924" s="1" t="s">
        <v>16</v>
      </c>
      <c r="D924" s="1" t="str">
        <f>IF(Data[[#This Row],[Cancellation Status]]="No", "High Potential", "Normal")</f>
        <v>High Potential</v>
      </c>
      <c r="E924" s="2">
        <v>45934</v>
      </c>
      <c r="F924" s="2">
        <v>45937</v>
      </c>
      <c r="G924" s="2">
        <v>45939</v>
      </c>
      <c r="H924" s="2">
        <v>45942</v>
      </c>
      <c r="I924" s="1" t="s">
        <v>17</v>
      </c>
      <c r="K924" s="2">
        <v>45965</v>
      </c>
      <c r="L924" s="88">
        <f>IF(OR(Data[[#This Row],[Service Follow-up Date]]="",Data[[#This Row],[Delivery Date]]=""),"",INT(Data[[#This Row],[Service Follow-up Date]]-Data[[#This Row],[Delivery Date]]))</f>
        <v>23</v>
      </c>
      <c r="M924" s="1">
        <v>3</v>
      </c>
      <c r="N924" s="1">
        <v>2</v>
      </c>
      <c r="O924" s="1">
        <v>3</v>
      </c>
      <c r="P924" s="1">
        <v>6</v>
      </c>
      <c r="Q924" t="str">
        <f>IF(ISBLANK(Data[[#This Row],[Customer Rating]]),"No Rating",IF(Data[[#This Row],[Customer Rating]]&gt;=9,"Promoter",IF(Data[[#This Row],[Customer Rating]]&gt;=7,"Passive","Detractor")))</f>
        <v>Detractor</v>
      </c>
    </row>
    <row r="925" spans="1:17" ht="14.25" customHeight="1" x14ac:dyDescent="0.3">
      <c r="A925" s="1" t="s">
        <v>951</v>
      </c>
      <c r="B925" s="1" t="s">
        <v>21</v>
      </c>
      <c r="C925" s="1" t="s">
        <v>16</v>
      </c>
      <c r="D925" s="1" t="str">
        <f>IF(Data[[#This Row],[Cancellation Status]]="No", "High Potential", "Normal")</f>
        <v>High Potential</v>
      </c>
      <c r="E925" s="2">
        <v>45954</v>
      </c>
      <c r="F925" s="2">
        <v>45959</v>
      </c>
      <c r="G925" s="2">
        <v>45964</v>
      </c>
      <c r="H925" s="2">
        <v>45969</v>
      </c>
      <c r="I925" s="1" t="s">
        <v>17</v>
      </c>
      <c r="K925" s="2">
        <v>45982</v>
      </c>
      <c r="L925" s="88">
        <f>IF(OR(Data[[#This Row],[Service Follow-up Date]]="",Data[[#This Row],[Delivery Date]]=""),"",INT(Data[[#This Row],[Service Follow-up Date]]-Data[[#This Row],[Delivery Date]]))</f>
        <v>13</v>
      </c>
      <c r="M925" s="1">
        <v>5</v>
      </c>
      <c r="N925" s="1">
        <v>5</v>
      </c>
      <c r="O925" s="1">
        <v>5</v>
      </c>
      <c r="P925" s="1">
        <v>6</v>
      </c>
      <c r="Q925" t="str">
        <f>IF(ISBLANK(Data[[#This Row],[Customer Rating]]),"No Rating",IF(Data[[#This Row],[Customer Rating]]&gt;=9,"Promoter",IF(Data[[#This Row],[Customer Rating]]&gt;=7,"Passive","Detractor")))</f>
        <v>Detractor</v>
      </c>
    </row>
    <row r="926" spans="1:17" ht="14.25" customHeight="1" x14ac:dyDescent="0.3">
      <c r="A926" s="1" t="s">
        <v>952</v>
      </c>
      <c r="B926" s="1" t="s">
        <v>32</v>
      </c>
      <c r="C926" s="1" t="s">
        <v>30</v>
      </c>
      <c r="D926" s="1" t="str">
        <f>IF(Data[[#This Row],[Cancellation Status]]="No", "High Potential", "Normal")</f>
        <v>High Potential</v>
      </c>
      <c r="E926" s="2">
        <v>45933</v>
      </c>
      <c r="F926" s="2">
        <v>45934</v>
      </c>
      <c r="G926" s="2">
        <v>45935</v>
      </c>
      <c r="H926" s="2">
        <v>45938</v>
      </c>
      <c r="I926" s="1" t="s">
        <v>17</v>
      </c>
      <c r="K926" s="2">
        <v>45951</v>
      </c>
      <c r="L926" s="88">
        <f>IF(OR(Data[[#This Row],[Service Follow-up Date]]="",Data[[#This Row],[Delivery Date]]=""),"",INT(Data[[#This Row],[Service Follow-up Date]]-Data[[#This Row],[Delivery Date]]))</f>
        <v>13</v>
      </c>
      <c r="M926" s="1">
        <v>1</v>
      </c>
      <c r="N926" s="1">
        <v>1</v>
      </c>
      <c r="O926" s="1">
        <v>3</v>
      </c>
      <c r="P926" s="1">
        <v>6</v>
      </c>
      <c r="Q926" t="str">
        <f>IF(ISBLANK(Data[[#This Row],[Customer Rating]]),"No Rating",IF(Data[[#This Row],[Customer Rating]]&gt;=9,"Promoter",IF(Data[[#This Row],[Customer Rating]]&gt;=7,"Passive","Detractor")))</f>
        <v>Detractor</v>
      </c>
    </row>
    <row r="927" spans="1:17" ht="14.25" customHeight="1" x14ac:dyDescent="0.3">
      <c r="A927" s="1" t="s">
        <v>953</v>
      </c>
      <c r="B927" s="1" t="s">
        <v>21</v>
      </c>
      <c r="C927" s="1" t="s">
        <v>30</v>
      </c>
      <c r="D927" s="1" t="str">
        <f>IF(Data[[#This Row],[Cancellation Status]]="No", "High Potential", "Normal")</f>
        <v>High Potential</v>
      </c>
      <c r="E927" s="2">
        <v>45946</v>
      </c>
      <c r="F927" s="2">
        <v>45947</v>
      </c>
      <c r="G927" s="2">
        <v>45952</v>
      </c>
      <c r="H927" s="2">
        <v>45959</v>
      </c>
      <c r="I927" s="1" t="s">
        <v>17</v>
      </c>
      <c r="K927" s="2">
        <v>45970</v>
      </c>
      <c r="L927" s="88">
        <f>IF(OR(Data[[#This Row],[Service Follow-up Date]]="",Data[[#This Row],[Delivery Date]]=""),"",INT(Data[[#This Row],[Service Follow-up Date]]-Data[[#This Row],[Delivery Date]]))</f>
        <v>11</v>
      </c>
      <c r="M927" s="1">
        <v>1</v>
      </c>
      <c r="N927" s="1">
        <v>5</v>
      </c>
      <c r="O927" s="1">
        <v>7</v>
      </c>
      <c r="P927" s="1">
        <v>2</v>
      </c>
      <c r="Q927" t="str">
        <f>IF(ISBLANK(Data[[#This Row],[Customer Rating]]),"No Rating",IF(Data[[#This Row],[Customer Rating]]&gt;=9,"Promoter",IF(Data[[#This Row],[Customer Rating]]&gt;=7,"Passive","Detractor")))</f>
        <v>Detractor</v>
      </c>
    </row>
    <row r="928" spans="1:17" ht="14.25" customHeight="1" x14ac:dyDescent="0.3">
      <c r="A928" s="1" t="s">
        <v>954</v>
      </c>
      <c r="B928" s="1" t="s">
        <v>19</v>
      </c>
      <c r="C928" s="1" t="s">
        <v>16</v>
      </c>
      <c r="D928" s="1" t="str">
        <f>IF(Data[[#This Row],[Cancellation Status]]="No", "High Potential", "Normal")</f>
        <v>High Potential</v>
      </c>
      <c r="E928" s="2">
        <v>45945</v>
      </c>
      <c r="F928" s="2">
        <v>45949</v>
      </c>
      <c r="G928" s="2">
        <v>45953</v>
      </c>
      <c r="H928" s="2">
        <v>45959</v>
      </c>
      <c r="I928" s="1" t="s">
        <v>17</v>
      </c>
      <c r="K928" s="2">
        <v>45969</v>
      </c>
      <c r="L928" s="88">
        <f>IF(OR(Data[[#This Row],[Service Follow-up Date]]="",Data[[#This Row],[Delivery Date]]=""),"",INT(Data[[#This Row],[Service Follow-up Date]]-Data[[#This Row],[Delivery Date]]))</f>
        <v>10</v>
      </c>
      <c r="M928" s="1">
        <v>4</v>
      </c>
      <c r="N928" s="1">
        <v>4</v>
      </c>
      <c r="O928" s="1">
        <v>6</v>
      </c>
      <c r="P928" s="1">
        <v>7</v>
      </c>
      <c r="Q928" t="str">
        <f>IF(ISBLANK(Data[[#This Row],[Customer Rating]]),"No Rating",IF(Data[[#This Row],[Customer Rating]]&gt;=9,"Promoter",IF(Data[[#This Row],[Customer Rating]]&gt;=7,"Passive","Detractor")))</f>
        <v>Passive</v>
      </c>
    </row>
    <row r="929" spans="1:17" ht="14.25" customHeight="1" x14ac:dyDescent="0.3">
      <c r="A929" s="1" t="s">
        <v>955</v>
      </c>
      <c r="B929" s="1" t="s">
        <v>19</v>
      </c>
      <c r="C929" s="1" t="s">
        <v>30</v>
      </c>
      <c r="D929" s="1" t="str">
        <f>IF(Data[[#This Row],[Cancellation Status]]="No", "High Potential", "Normal")</f>
        <v>Normal</v>
      </c>
      <c r="E929" s="2">
        <v>45955</v>
      </c>
      <c r="F929" s="2">
        <v>45957</v>
      </c>
      <c r="G929" s="2">
        <v>45960</v>
      </c>
      <c r="H929" s="2">
        <v>45963</v>
      </c>
      <c r="I929" s="1" t="s">
        <v>23</v>
      </c>
      <c r="J929" s="1" t="s">
        <v>63</v>
      </c>
      <c r="L929" s="88" t="str">
        <f>IF(OR(Data[[#This Row],[Service Follow-up Date]]="",Data[[#This Row],[Delivery Date]]=""),"",INT(Data[[#This Row],[Service Follow-up Date]]-Data[[#This Row],[Delivery Date]]))</f>
        <v/>
      </c>
      <c r="M929" s="1">
        <v>2</v>
      </c>
      <c r="N929" s="1">
        <v>3</v>
      </c>
      <c r="O929" s="1">
        <v>3</v>
      </c>
      <c r="Q929" t="str">
        <f>IF(ISBLANK(Data[[#This Row],[Customer Rating]]),"No Rating",IF(Data[[#This Row],[Customer Rating]]&gt;=9,"Promoter",IF(Data[[#This Row],[Customer Rating]]&gt;=7,"Passive","Detractor")))</f>
        <v>No Rating</v>
      </c>
    </row>
    <row r="930" spans="1:17" ht="14.25" customHeight="1" x14ac:dyDescent="0.3">
      <c r="A930" s="1" t="s">
        <v>956</v>
      </c>
      <c r="B930" s="1" t="s">
        <v>21</v>
      </c>
      <c r="C930" s="1" t="s">
        <v>16</v>
      </c>
      <c r="D930" s="1" t="str">
        <f>IF(Data[[#This Row],[Cancellation Status]]="No", "High Potential", "Normal")</f>
        <v>High Potential</v>
      </c>
      <c r="E930" s="2">
        <v>45942</v>
      </c>
      <c r="F930" s="2">
        <v>45945</v>
      </c>
      <c r="G930" s="2">
        <v>45949</v>
      </c>
      <c r="H930" s="2">
        <v>45956</v>
      </c>
      <c r="I930" s="1" t="s">
        <v>17</v>
      </c>
      <c r="K930" s="2">
        <v>45970</v>
      </c>
      <c r="L930" s="88">
        <f>IF(OR(Data[[#This Row],[Service Follow-up Date]]="",Data[[#This Row],[Delivery Date]]=""),"",INT(Data[[#This Row],[Service Follow-up Date]]-Data[[#This Row],[Delivery Date]]))</f>
        <v>14</v>
      </c>
      <c r="M930" s="1">
        <v>3</v>
      </c>
      <c r="N930" s="1">
        <v>4</v>
      </c>
      <c r="O930" s="1">
        <v>7</v>
      </c>
      <c r="P930" s="1">
        <v>8</v>
      </c>
      <c r="Q930" t="str">
        <f>IF(ISBLANK(Data[[#This Row],[Customer Rating]]),"No Rating",IF(Data[[#This Row],[Customer Rating]]&gt;=9,"Promoter",IF(Data[[#This Row],[Customer Rating]]&gt;=7,"Passive","Detractor")))</f>
        <v>Passive</v>
      </c>
    </row>
    <row r="931" spans="1:17" ht="14.25" customHeight="1" x14ac:dyDescent="0.3">
      <c r="A931" s="1" t="s">
        <v>957</v>
      </c>
      <c r="B931" s="1" t="s">
        <v>21</v>
      </c>
      <c r="C931" s="1" t="s">
        <v>16</v>
      </c>
      <c r="D931" s="1" t="str">
        <f>IF(Data[[#This Row],[Cancellation Status]]="No", "High Potential", "Normal")</f>
        <v>High Potential</v>
      </c>
      <c r="E931" s="2">
        <v>45947</v>
      </c>
      <c r="F931" s="2">
        <v>45950</v>
      </c>
      <c r="G931" s="2">
        <v>45951</v>
      </c>
      <c r="H931" s="2">
        <v>45957</v>
      </c>
      <c r="I931" s="1" t="s">
        <v>17</v>
      </c>
      <c r="K931" s="2">
        <v>45987</v>
      </c>
      <c r="L931" s="88">
        <f>IF(OR(Data[[#This Row],[Service Follow-up Date]]="",Data[[#This Row],[Delivery Date]]=""),"",INT(Data[[#This Row],[Service Follow-up Date]]-Data[[#This Row],[Delivery Date]]))</f>
        <v>30</v>
      </c>
      <c r="M931" s="1">
        <v>3</v>
      </c>
      <c r="N931" s="1">
        <v>1</v>
      </c>
      <c r="O931" s="1">
        <v>6</v>
      </c>
      <c r="P931" s="1">
        <v>1</v>
      </c>
      <c r="Q931" t="str">
        <f>IF(ISBLANK(Data[[#This Row],[Customer Rating]]),"No Rating",IF(Data[[#This Row],[Customer Rating]]&gt;=9,"Promoter",IF(Data[[#This Row],[Customer Rating]]&gt;=7,"Passive","Detractor")))</f>
        <v>Detractor</v>
      </c>
    </row>
    <row r="932" spans="1:17" ht="14.25" customHeight="1" x14ac:dyDescent="0.3">
      <c r="A932" s="1" t="s">
        <v>958</v>
      </c>
      <c r="B932" s="1" t="s">
        <v>32</v>
      </c>
      <c r="C932" s="1" t="s">
        <v>16</v>
      </c>
      <c r="D932" s="1" t="str">
        <f>IF(Data[[#This Row],[Cancellation Status]]="No", "High Potential", "Normal")</f>
        <v>High Potential</v>
      </c>
      <c r="E932" s="2">
        <v>45949</v>
      </c>
      <c r="F932" s="2">
        <v>45953</v>
      </c>
      <c r="G932" s="2">
        <v>45954</v>
      </c>
      <c r="H932" s="2">
        <v>45956</v>
      </c>
      <c r="I932" s="1" t="s">
        <v>17</v>
      </c>
      <c r="K932" s="2">
        <v>45971</v>
      </c>
      <c r="L932" s="88">
        <f>IF(OR(Data[[#This Row],[Service Follow-up Date]]="",Data[[#This Row],[Delivery Date]]=""),"",INT(Data[[#This Row],[Service Follow-up Date]]-Data[[#This Row],[Delivery Date]]))</f>
        <v>15</v>
      </c>
      <c r="M932" s="1">
        <v>4</v>
      </c>
      <c r="N932" s="1">
        <v>1</v>
      </c>
      <c r="O932" s="1">
        <v>2</v>
      </c>
      <c r="P932" s="1">
        <v>7</v>
      </c>
      <c r="Q932" t="str">
        <f>IF(ISBLANK(Data[[#This Row],[Customer Rating]]),"No Rating",IF(Data[[#This Row],[Customer Rating]]&gt;=9,"Promoter",IF(Data[[#This Row],[Customer Rating]]&gt;=7,"Passive","Detractor")))</f>
        <v>Passive</v>
      </c>
    </row>
    <row r="933" spans="1:17" ht="14.25" customHeight="1" x14ac:dyDescent="0.3">
      <c r="A933" s="1" t="s">
        <v>959</v>
      </c>
      <c r="B933" s="1" t="s">
        <v>19</v>
      </c>
      <c r="C933" s="1" t="s">
        <v>30</v>
      </c>
      <c r="D933" s="1" t="str">
        <f>IF(Data[[#This Row],[Cancellation Status]]="No", "High Potential", "Normal")</f>
        <v>High Potential</v>
      </c>
      <c r="E933" s="2">
        <v>45934</v>
      </c>
      <c r="F933" s="2">
        <v>45937</v>
      </c>
      <c r="G933" s="2">
        <v>45938</v>
      </c>
      <c r="H933" s="2">
        <v>45943</v>
      </c>
      <c r="I933" s="1" t="s">
        <v>17</v>
      </c>
      <c r="K933" s="2">
        <v>45963</v>
      </c>
      <c r="L933" s="88">
        <f>IF(OR(Data[[#This Row],[Service Follow-up Date]]="",Data[[#This Row],[Delivery Date]]=""),"",INT(Data[[#This Row],[Service Follow-up Date]]-Data[[#This Row],[Delivery Date]]))</f>
        <v>20</v>
      </c>
      <c r="M933" s="1">
        <v>3</v>
      </c>
      <c r="N933" s="1">
        <v>1</v>
      </c>
      <c r="O933" s="1">
        <v>5</v>
      </c>
      <c r="P933" s="1">
        <v>9</v>
      </c>
      <c r="Q933" t="str">
        <f>IF(ISBLANK(Data[[#This Row],[Customer Rating]]),"No Rating",IF(Data[[#This Row],[Customer Rating]]&gt;=9,"Promoter",IF(Data[[#This Row],[Customer Rating]]&gt;=7,"Passive","Detractor")))</f>
        <v>Promoter</v>
      </c>
    </row>
    <row r="934" spans="1:17" ht="14.25" customHeight="1" x14ac:dyDescent="0.3">
      <c r="A934" s="1" t="s">
        <v>960</v>
      </c>
      <c r="B934" s="1" t="s">
        <v>19</v>
      </c>
      <c r="C934" s="1" t="s">
        <v>16</v>
      </c>
      <c r="D934" s="1" t="str">
        <f>IF(Data[[#This Row],[Cancellation Status]]="No", "High Potential", "Normal")</f>
        <v>High Potential</v>
      </c>
      <c r="E934" s="2">
        <v>45945</v>
      </c>
      <c r="F934" s="2">
        <v>45946</v>
      </c>
      <c r="G934" s="2">
        <v>45949</v>
      </c>
      <c r="H934" s="2">
        <v>45956</v>
      </c>
      <c r="I934" s="1" t="s">
        <v>17</v>
      </c>
      <c r="K934" s="2">
        <v>45977</v>
      </c>
      <c r="L934" s="88">
        <f>IF(OR(Data[[#This Row],[Service Follow-up Date]]="",Data[[#This Row],[Delivery Date]]=""),"",INT(Data[[#This Row],[Service Follow-up Date]]-Data[[#This Row],[Delivery Date]]))</f>
        <v>21</v>
      </c>
      <c r="M934" s="1">
        <v>1</v>
      </c>
      <c r="N934" s="1">
        <v>3</v>
      </c>
      <c r="O934" s="1">
        <v>7</v>
      </c>
      <c r="P934" s="1">
        <v>2</v>
      </c>
      <c r="Q934" t="str">
        <f>IF(ISBLANK(Data[[#This Row],[Customer Rating]]),"No Rating",IF(Data[[#This Row],[Customer Rating]]&gt;=9,"Promoter",IF(Data[[#This Row],[Customer Rating]]&gt;=7,"Passive","Detractor")))</f>
        <v>Detractor</v>
      </c>
    </row>
    <row r="935" spans="1:17" ht="14.25" customHeight="1" x14ac:dyDescent="0.3">
      <c r="A935" s="1" t="s">
        <v>961</v>
      </c>
      <c r="B935" s="1" t="s">
        <v>15</v>
      </c>
      <c r="C935" s="1" t="s">
        <v>16</v>
      </c>
      <c r="D935" s="1" t="str">
        <f>IF(Data[[#This Row],[Cancellation Status]]="No", "High Potential", "Normal")</f>
        <v>Normal</v>
      </c>
      <c r="E935" s="2">
        <v>45947</v>
      </c>
      <c r="F935" s="2">
        <v>45951</v>
      </c>
      <c r="G935" s="2">
        <v>45953</v>
      </c>
      <c r="H935" s="2">
        <v>45957</v>
      </c>
      <c r="I935" s="1" t="s">
        <v>23</v>
      </c>
      <c r="J935" s="1" t="s">
        <v>33</v>
      </c>
      <c r="L935" s="88" t="str">
        <f>IF(OR(Data[[#This Row],[Service Follow-up Date]]="",Data[[#This Row],[Delivery Date]]=""),"",INT(Data[[#This Row],[Service Follow-up Date]]-Data[[#This Row],[Delivery Date]]))</f>
        <v/>
      </c>
      <c r="M935" s="1">
        <v>4</v>
      </c>
      <c r="N935" s="1">
        <v>2</v>
      </c>
      <c r="O935" s="1">
        <v>4</v>
      </c>
      <c r="Q935" t="str">
        <f>IF(ISBLANK(Data[[#This Row],[Customer Rating]]),"No Rating",IF(Data[[#This Row],[Customer Rating]]&gt;=9,"Promoter",IF(Data[[#This Row],[Customer Rating]]&gt;=7,"Passive","Detractor")))</f>
        <v>No Rating</v>
      </c>
    </row>
    <row r="936" spans="1:17" ht="14.25" customHeight="1" x14ac:dyDescent="0.3">
      <c r="A936" s="1" t="s">
        <v>962</v>
      </c>
      <c r="B936" s="1" t="s">
        <v>32</v>
      </c>
      <c r="C936" s="1" t="s">
        <v>30</v>
      </c>
      <c r="D936" s="1" t="str">
        <f>IF(Data[[#This Row],[Cancellation Status]]="No", "High Potential", "Normal")</f>
        <v>High Potential</v>
      </c>
      <c r="E936" s="2">
        <v>45938</v>
      </c>
      <c r="F936" s="2">
        <v>45939</v>
      </c>
      <c r="G936" s="2">
        <v>45944</v>
      </c>
      <c r="H936" s="2">
        <v>45949</v>
      </c>
      <c r="I936" s="1" t="s">
        <v>17</v>
      </c>
      <c r="K936" s="2">
        <v>45973</v>
      </c>
      <c r="L936" s="88">
        <f>IF(OR(Data[[#This Row],[Service Follow-up Date]]="",Data[[#This Row],[Delivery Date]]=""),"",INT(Data[[#This Row],[Service Follow-up Date]]-Data[[#This Row],[Delivery Date]]))</f>
        <v>24</v>
      </c>
      <c r="M936" s="1">
        <v>1</v>
      </c>
      <c r="N936" s="1">
        <v>5</v>
      </c>
      <c r="O936" s="1">
        <v>5</v>
      </c>
      <c r="P936" s="1">
        <v>9</v>
      </c>
      <c r="Q936" t="str">
        <f>IF(ISBLANK(Data[[#This Row],[Customer Rating]]),"No Rating",IF(Data[[#This Row],[Customer Rating]]&gt;=9,"Promoter",IF(Data[[#This Row],[Customer Rating]]&gt;=7,"Passive","Detractor")))</f>
        <v>Promoter</v>
      </c>
    </row>
    <row r="937" spans="1:17" ht="14.25" customHeight="1" x14ac:dyDescent="0.3">
      <c r="A937" s="1" t="s">
        <v>963</v>
      </c>
      <c r="B937" s="1" t="s">
        <v>15</v>
      </c>
      <c r="C937" s="1" t="s">
        <v>16</v>
      </c>
      <c r="D937" s="1" t="str">
        <f>IF(Data[[#This Row],[Cancellation Status]]="No", "High Potential", "Normal")</f>
        <v>High Potential</v>
      </c>
      <c r="E937" s="2">
        <v>45961</v>
      </c>
      <c r="F937" s="2">
        <v>45966</v>
      </c>
      <c r="G937" s="2">
        <v>45971</v>
      </c>
      <c r="H937" s="2">
        <v>45977</v>
      </c>
      <c r="I937" s="1" t="s">
        <v>17</v>
      </c>
      <c r="K937" s="2">
        <v>46006</v>
      </c>
      <c r="L937" s="88">
        <f>IF(OR(Data[[#This Row],[Service Follow-up Date]]="",Data[[#This Row],[Delivery Date]]=""),"",INT(Data[[#This Row],[Service Follow-up Date]]-Data[[#This Row],[Delivery Date]]))</f>
        <v>29</v>
      </c>
      <c r="M937" s="1">
        <v>5</v>
      </c>
      <c r="N937" s="1">
        <v>5</v>
      </c>
      <c r="O937" s="1">
        <v>6</v>
      </c>
      <c r="P937" s="1">
        <v>2</v>
      </c>
      <c r="Q937" t="str">
        <f>IF(ISBLANK(Data[[#This Row],[Customer Rating]]),"No Rating",IF(Data[[#This Row],[Customer Rating]]&gt;=9,"Promoter",IF(Data[[#This Row],[Customer Rating]]&gt;=7,"Passive","Detractor")))</f>
        <v>Detractor</v>
      </c>
    </row>
    <row r="938" spans="1:17" ht="14.25" customHeight="1" x14ac:dyDescent="0.3">
      <c r="A938" s="1" t="s">
        <v>964</v>
      </c>
      <c r="B938" s="1" t="s">
        <v>19</v>
      </c>
      <c r="C938" s="1" t="s">
        <v>16</v>
      </c>
      <c r="D938" s="1" t="str">
        <f>IF(Data[[#This Row],[Cancellation Status]]="No", "High Potential", "Normal")</f>
        <v>High Potential</v>
      </c>
      <c r="E938" s="2">
        <v>45950</v>
      </c>
      <c r="F938" s="2">
        <v>45955</v>
      </c>
      <c r="G938" s="2">
        <v>45960</v>
      </c>
      <c r="H938" s="2">
        <v>45965</v>
      </c>
      <c r="I938" s="1" t="s">
        <v>17</v>
      </c>
      <c r="K938" s="2">
        <v>45983</v>
      </c>
      <c r="L938" s="88">
        <f>IF(OR(Data[[#This Row],[Service Follow-up Date]]="",Data[[#This Row],[Delivery Date]]=""),"",INT(Data[[#This Row],[Service Follow-up Date]]-Data[[#This Row],[Delivery Date]]))</f>
        <v>18</v>
      </c>
      <c r="M938" s="1">
        <v>5</v>
      </c>
      <c r="N938" s="1">
        <v>5</v>
      </c>
      <c r="O938" s="1">
        <v>5</v>
      </c>
      <c r="P938" s="1">
        <v>4</v>
      </c>
      <c r="Q938" t="str">
        <f>IF(ISBLANK(Data[[#This Row],[Customer Rating]]),"No Rating",IF(Data[[#This Row],[Customer Rating]]&gt;=9,"Promoter",IF(Data[[#This Row],[Customer Rating]]&gt;=7,"Passive","Detractor")))</f>
        <v>Detractor</v>
      </c>
    </row>
    <row r="939" spans="1:17" ht="14.25" customHeight="1" x14ac:dyDescent="0.3">
      <c r="A939" s="1" t="s">
        <v>965</v>
      </c>
      <c r="B939" s="1" t="s">
        <v>32</v>
      </c>
      <c r="C939" s="1" t="s">
        <v>22</v>
      </c>
      <c r="D939" s="1" t="str">
        <f>IF(Data[[#This Row],[Cancellation Status]]="No", "High Potential", "Normal")</f>
        <v>Normal</v>
      </c>
      <c r="E939" s="2">
        <v>45932</v>
      </c>
      <c r="I939" s="1" t="s">
        <v>23</v>
      </c>
      <c r="J939" s="1" t="s">
        <v>101</v>
      </c>
      <c r="L939" s="88" t="str">
        <f>IF(OR(Data[[#This Row],[Service Follow-up Date]]="",Data[[#This Row],[Delivery Date]]=""),"",INT(Data[[#This Row],[Service Follow-up Date]]-Data[[#This Row],[Delivery Date]]))</f>
        <v/>
      </c>
      <c r="Q939" t="str">
        <f>IF(ISBLANK(Data[[#This Row],[Customer Rating]]),"No Rating",IF(Data[[#This Row],[Customer Rating]]&gt;=9,"Promoter",IF(Data[[#This Row],[Customer Rating]]&gt;=7,"Passive","Detractor")))</f>
        <v>No Rating</v>
      </c>
    </row>
    <row r="940" spans="1:17" ht="14.25" customHeight="1" x14ac:dyDescent="0.3">
      <c r="A940" s="1" t="s">
        <v>966</v>
      </c>
      <c r="B940" s="1" t="s">
        <v>21</v>
      </c>
      <c r="C940" s="1" t="s">
        <v>30</v>
      </c>
      <c r="D940" s="1" t="str">
        <f>IF(Data[[#This Row],[Cancellation Status]]="No", "High Potential", "Normal")</f>
        <v>High Potential</v>
      </c>
      <c r="E940" s="2">
        <v>45954</v>
      </c>
      <c r="F940" s="2">
        <v>45956</v>
      </c>
      <c r="G940" s="2">
        <v>45961</v>
      </c>
      <c r="H940" s="2">
        <v>45965</v>
      </c>
      <c r="I940" s="1" t="s">
        <v>17</v>
      </c>
      <c r="K940" s="2">
        <v>45977</v>
      </c>
      <c r="L940" s="88">
        <f>IF(OR(Data[[#This Row],[Service Follow-up Date]]="",Data[[#This Row],[Delivery Date]]=""),"",INT(Data[[#This Row],[Service Follow-up Date]]-Data[[#This Row],[Delivery Date]]))</f>
        <v>12</v>
      </c>
      <c r="M940" s="1">
        <v>2</v>
      </c>
      <c r="N940" s="1">
        <v>5</v>
      </c>
      <c r="O940" s="1">
        <v>4</v>
      </c>
      <c r="P940" s="1">
        <v>7</v>
      </c>
      <c r="Q940" t="str">
        <f>IF(ISBLANK(Data[[#This Row],[Customer Rating]]),"No Rating",IF(Data[[#This Row],[Customer Rating]]&gt;=9,"Promoter",IF(Data[[#This Row],[Customer Rating]]&gt;=7,"Passive","Detractor")))</f>
        <v>Passive</v>
      </c>
    </row>
    <row r="941" spans="1:17" ht="14.25" customHeight="1" x14ac:dyDescent="0.3">
      <c r="A941" s="1" t="s">
        <v>967</v>
      </c>
      <c r="B941" s="1" t="s">
        <v>32</v>
      </c>
      <c r="C941" s="1" t="s">
        <v>22</v>
      </c>
      <c r="D941" s="1" t="str">
        <f>IF(Data[[#This Row],[Cancellation Status]]="No", "High Potential", "Normal")</f>
        <v>Normal</v>
      </c>
      <c r="E941" s="2">
        <v>45956</v>
      </c>
      <c r="I941" s="1" t="s">
        <v>23</v>
      </c>
      <c r="J941" s="1" t="s">
        <v>101</v>
      </c>
      <c r="L941" s="88" t="str">
        <f>IF(OR(Data[[#This Row],[Service Follow-up Date]]="",Data[[#This Row],[Delivery Date]]=""),"",INT(Data[[#This Row],[Service Follow-up Date]]-Data[[#This Row],[Delivery Date]]))</f>
        <v/>
      </c>
      <c r="Q941" t="str">
        <f>IF(ISBLANK(Data[[#This Row],[Customer Rating]]),"No Rating",IF(Data[[#This Row],[Customer Rating]]&gt;=9,"Promoter",IF(Data[[#This Row],[Customer Rating]]&gt;=7,"Passive","Detractor")))</f>
        <v>No Rating</v>
      </c>
    </row>
    <row r="942" spans="1:17" ht="14.25" customHeight="1" x14ac:dyDescent="0.3">
      <c r="A942" s="1" t="s">
        <v>968</v>
      </c>
      <c r="B942" s="1" t="s">
        <v>21</v>
      </c>
      <c r="C942" s="1" t="s">
        <v>16</v>
      </c>
      <c r="D942" s="1" t="str">
        <f>IF(Data[[#This Row],[Cancellation Status]]="No", "High Potential", "Normal")</f>
        <v>High Potential</v>
      </c>
      <c r="E942" s="2">
        <v>45960</v>
      </c>
      <c r="F942" s="2">
        <v>45963</v>
      </c>
      <c r="G942" s="2">
        <v>45968</v>
      </c>
      <c r="H942" s="2">
        <v>45974</v>
      </c>
      <c r="I942" s="1" t="s">
        <v>17</v>
      </c>
      <c r="K942" s="2">
        <v>45995</v>
      </c>
      <c r="L942" s="88">
        <f>IF(OR(Data[[#This Row],[Service Follow-up Date]]="",Data[[#This Row],[Delivery Date]]=""),"",INT(Data[[#This Row],[Service Follow-up Date]]-Data[[#This Row],[Delivery Date]]))</f>
        <v>21</v>
      </c>
      <c r="M942" s="1">
        <v>3</v>
      </c>
      <c r="N942" s="1">
        <v>5</v>
      </c>
      <c r="O942" s="1">
        <v>6</v>
      </c>
      <c r="P942" s="1">
        <v>8</v>
      </c>
      <c r="Q942" t="str">
        <f>IF(ISBLANK(Data[[#This Row],[Customer Rating]]),"No Rating",IF(Data[[#This Row],[Customer Rating]]&gt;=9,"Promoter",IF(Data[[#This Row],[Customer Rating]]&gt;=7,"Passive","Detractor")))</f>
        <v>Passive</v>
      </c>
    </row>
    <row r="943" spans="1:17" ht="14.25" customHeight="1" x14ac:dyDescent="0.3">
      <c r="A943" s="1" t="s">
        <v>969</v>
      </c>
      <c r="B943" s="1" t="s">
        <v>21</v>
      </c>
      <c r="C943" s="1" t="s">
        <v>16</v>
      </c>
      <c r="D943" s="1" t="str">
        <f>IF(Data[[#This Row],[Cancellation Status]]="No", "High Potential", "Normal")</f>
        <v>High Potential</v>
      </c>
      <c r="E943" s="2">
        <v>45958</v>
      </c>
      <c r="F943" s="2">
        <v>45963</v>
      </c>
      <c r="G943" s="2">
        <v>45965</v>
      </c>
      <c r="H943" s="2">
        <v>45971</v>
      </c>
      <c r="I943" s="1" t="s">
        <v>17</v>
      </c>
      <c r="K943" s="2">
        <v>45991</v>
      </c>
      <c r="L943" s="88">
        <f>IF(OR(Data[[#This Row],[Service Follow-up Date]]="",Data[[#This Row],[Delivery Date]]=""),"",INT(Data[[#This Row],[Service Follow-up Date]]-Data[[#This Row],[Delivery Date]]))</f>
        <v>20</v>
      </c>
      <c r="M943" s="1">
        <v>5</v>
      </c>
      <c r="N943" s="1">
        <v>2</v>
      </c>
      <c r="O943" s="1">
        <v>6</v>
      </c>
      <c r="P943" s="1">
        <v>5</v>
      </c>
      <c r="Q943" t="str">
        <f>IF(ISBLANK(Data[[#This Row],[Customer Rating]]),"No Rating",IF(Data[[#This Row],[Customer Rating]]&gt;=9,"Promoter",IF(Data[[#This Row],[Customer Rating]]&gt;=7,"Passive","Detractor")))</f>
        <v>Detractor</v>
      </c>
    </row>
    <row r="944" spans="1:17" ht="14.25" customHeight="1" x14ac:dyDescent="0.3">
      <c r="A944" s="1" t="s">
        <v>970</v>
      </c>
      <c r="B944" s="1" t="s">
        <v>32</v>
      </c>
      <c r="C944" s="1" t="s">
        <v>30</v>
      </c>
      <c r="D944" s="1" t="str">
        <f>IF(Data[[#This Row],[Cancellation Status]]="No", "High Potential", "Normal")</f>
        <v>High Potential</v>
      </c>
      <c r="E944" s="2">
        <v>45952</v>
      </c>
      <c r="F944" s="2">
        <v>45955</v>
      </c>
      <c r="G944" s="2">
        <v>45959</v>
      </c>
      <c r="H944" s="2">
        <v>45963</v>
      </c>
      <c r="I944" s="1" t="s">
        <v>17</v>
      </c>
      <c r="K944" s="2">
        <v>45978</v>
      </c>
      <c r="L944" s="88">
        <f>IF(OR(Data[[#This Row],[Service Follow-up Date]]="",Data[[#This Row],[Delivery Date]]=""),"",INT(Data[[#This Row],[Service Follow-up Date]]-Data[[#This Row],[Delivery Date]]))</f>
        <v>15</v>
      </c>
      <c r="M944" s="1">
        <v>3</v>
      </c>
      <c r="N944" s="1">
        <v>4</v>
      </c>
      <c r="O944" s="1">
        <v>4</v>
      </c>
      <c r="P944" s="1">
        <v>4</v>
      </c>
      <c r="Q944" t="str">
        <f>IF(ISBLANK(Data[[#This Row],[Customer Rating]]),"No Rating",IF(Data[[#This Row],[Customer Rating]]&gt;=9,"Promoter",IF(Data[[#This Row],[Customer Rating]]&gt;=7,"Passive","Detractor")))</f>
        <v>Detractor</v>
      </c>
    </row>
    <row r="945" spans="1:17" ht="14.25" customHeight="1" x14ac:dyDescent="0.3">
      <c r="A945" s="1" t="s">
        <v>971</v>
      </c>
      <c r="B945" s="1" t="s">
        <v>21</v>
      </c>
      <c r="C945" s="1" t="s">
        <v>16</v>
      </c>
      <c r="D945" s="1" t="str">
        <f>IF(Data[[#This Row],[Cancellation Status]]="No", "High Potential", "Normal")</f>
        <v>High Potential</v>
      </c>
      <c r="E945" s="2">
        <v>45947</v>
      </c>
      <c r="F945" s="2">
        <v>45948</v>
      </c>
      <c r="G945" s="2">
        <v>45951</v>
      </c>
      <c r="H945" s="2">
        <v>45956</v>
      </c>
      <c r="I945" s="1" t="s">
        <v>17</v>
      </c>
      <c r="K945" s="2">
        <v>45969</v>
      </c>
      <c r="L945" s="88">
        <f>IF(OR(Data[[#This Row],[Service Follow-up Date]]="",Data[[#This Row],[Delivery Date]]=""),"",INT(Data[[#This Row],[Service Follow-up Date]]-Data[[#This Row],[Delivery Date]]))</f>
        <v>13</v>
      </c>
      <c r="M945" s="1">
        <v>1</v>
      </c>
      <c r="N945" s="1">
        <v>3</v>
      </c>
      <c r="O945" s="1">
        <v>5</v>
      </c>
      <c r="P945" s="1">
        <v>2</v>
      </c>
      <c r="Q945" t="str">
        <f>IF(ISBLANK(Data[[#This Row],[Customer Rating]]),"No Rating",IF(Data[[#This Row],[Customer Rating]]&gt;=9,"Promoter",IF(Data[[#This Row],[Customer Rating]]&gt;=7,"Passive","Detractor")))</f>
        <v>Detractor</v>
      </c>
    </row>
    <row r="946" spans="1:17" ht="14.25" customHeight="1" x14ac:dyDescent="0.3">
      <c r="A946" s="1" t="s">
        <v>972</v>
      </c>
      <c r="B946" s="1" t="s">
        <v>15</v>
      </c>
      <c r="C946" s="1" t="s">
        <v>30</v>
      </c>
      <c r="D946" s="1" t="str">
        <f>IF(Data[[#This Row],[Cancellation Status]]="No", "High Potential", "Normal")</f>
        <v>High Potential</v>
      </c>
      <c r="E946" s="2">
        <v>45940</v>
      </c>
      <c r="F946" s="2">
        <v>45944</v>
      </c>
      <c r="G946" s="2">
        <v>45948</v>
      </c>
      <c r="H946" s="2">
        <v>45952</v>
      </c>
      <c r="I946" s="1" t="s">
        <v>17</v>
      </c>
      <c r="K946" s="2">
        <v>45974</v>
      </c>
      <c r="L946" s="88">
        <f>IF(OR(Data[[#This Row],[Service Follow-up Date]]="",Data[[#This Row],[Delivery Date]]=""),"",INT(Data[[#This Row],[Service Follow-up Date]]-Data[[#This Row],[Delivery Date]]))</f>
        <v>22</v>
      </c>
      <c r="M946" s="1">
        <v>4</v>
      </c>
      <c r="N946" s="1">
        <v>4</v>
      </c>
      <c r="O946" s="1">
        <v>4</v>
      </c>
      <c r="P946" s="1">
        <v>3</v>
      </c>
      <c r="Q946" t="str">
        <f>IF(ISBLANK(Data[[#This Row],[Customer Rating]]),"No Rating",IF(Data[[#This Row],[Customer Rating]]&gt;=9,"Promoter",IF(Data[[#This Row],[Customer Rating]]&gt;=7,"Passive","Detractor")))</f>
        <v>Detractor</v>
      </c>
    </row>
    <row r="947" spans="1:17" ht="14.25" customHeight="1" x14ac:dyDescent="0.3">
      <c r="A947" s="1" t="s">
        <v>973</v>
      </c>
      <c r="B947" s="1" t="s">
        <v>19</v>
      </c>
      <c r="C947" s="1" t="s">
        <v>16</v>
      </c>
      <c r="D947" s="1" t="str">
        <f>IF(Data[[#This Row],[Cancellation Status]]="No", "High Potential", "Normal")</f>
        <v>High Potential</v>
      </c>
      <c r="E947" s="2">
        <v>45945</v>
      </c>
      <c r="F947" s="2">
        <v>45950</v>
      </c>
      <c r="G947" s="2">
        <v>45954</v>
      </c>
      <c r="H947" s="2">
        <v>45957</v>
      </c>
      <c r="I947" s="1" t="s">
        <v>17</v>
      </c>
      <c r="K947" s="2">
        <v>45979</v>
      </c>
      <c r="L947" s="88">
        <f>IF(OR(Data[[#This Row],[Service Follow-up Date]]="",Data[[#This Row],[Delivery Date]]=""),"",INT(Data[[#This Row],[Service Follow-up Date]]-Data[[#This Row],[Delivery Date]]))</f>
        <v>22</v>
      </c>
      <c r="M947" s="1">
        <v>5</v>
      </c>
      <c r="N947" s="1">
        <v>4</v>
      </c>
      <c r="O947" s="1">
        <v>3</v>
      </c>
      <c r="P947" s="1">
        <v>6</v>
      </c>
      <c r="Q947" t="str">
        <f>IF(ISBLANK(Data[[#This Row],[Customer Rating]]),"No Rating",IF(Data[[#This Row],[Customer Rating]]&gt;=9,"Promoter",IF(Data[[#This Row],[Customer Rating]]&gt;=7,"Passive","Detractor")))</f>
        <v>Detractor</v>
      </c>
    </row>
    <row r="948" spans="1:17" ht="14.25" customHeight="1" x14ac:dyDescent="0.3">
      <c r="A948" s="1" t="s">
        <v>974</v>
      </c>
      <c r="B948" s="1" t="s">
        <v>21</v>
      </c>
      <c r="C948" s="1" t="s">
        <v>30</v>
      </c>
      <c r="D948" s="1" t="str">
        <f>IF(Data[[#This Row],[Cancellation Status]]="No", "High Potential", "Normal")</f>
        <v>High Potential</v>
      </c>
      <c r="E948" s="2">
        <v>45951</v>
      </c>
      <c r="F948" s="2">
        <v>45955</v>
      </c>
      <c r="G948" s="2">
        <v>45960</v>
      </c>
      <c r="H948" s="2">
        <v>45962</v>
      </c>
      <c r="I948" s="1" t="s">
        <v>17</v>
      </c>
      <c r="K948" s="2">
        <v>45986</v>
      </c>
      <c r="L948" s="88">
        <f>IF(OR(Data[[#This Row],[Service Follow-up Date]]="",Data[[#This Row],[Delivery Date]]=""),"",INT(Data[[#This Row],[Service Follow-up Date]]-Data[[#This Row],[Delivery Date]]))</f>
        <v>24</v>
      </c>
      <c r="M948" s="1">
        <v>4</v>
      </c>
      <c r="N948" s="1">
        <v>5</v>
      </c>
      <c r="O948" s="1">
        <v>2</v>
      </c>
      <c r="P948" s="1">
        <v>6</v>
      </c>
      <c r="Q948" t="str">
        <f>IF(ISBLANK(Data[[#This Row],[Customer Rating]]),"No Rating",IF(Data[[#This Row],[Customer Rating]]&gt;=9,"Promoter",IF(Data[[#This Row],[Customer Rating]]&gt;=7,"Passive","Detractor")))</f>
        <v>Detractor</v>
      </c>
    </row>
    <row r="949" spans="1:17" ht="14.25" customHeight="1" x14ac:dyDescent="0.3">
      <c r="A949" s="1" t="s">
        <v>975</v>
      </c>
      <c r="B949" s="1" t="s">
        <v>15</v>
      </c>
      <c r="C949" s="1" t="s">
        <v>22</v>
      </c>
      <c r="D949" s="1" t="str">
        <f>IF(Data[[#This Row],[Cancellation Status]]="No", "High Potential", "Normal")</f>
        <v>Normal</v>
      </c>
      <c r="E949" s="2">
        <v>45961</v>
      </c>
      <c r="I949" s="1" t="s">
        <v>23</v>
      </c>
      <c r="J949" s="1" t="s">
        <v>24</v>
      </c>
      <c r="L949" s="88" t="str">
        <f>IF(OR(Data[[#This Row],[Service Follow-up Date]]="",Data[[#This Row],[Delivery Date]]=""),"",INT(Data[[#This Row],[Service Follow-up Date]]-Data[[#This Row],[Delivery Date]]))</f>
        <v/>
      </c>
      <c r="Q949" t="str">
        <f>IF(ISBLANK(Data[[#This Row],[Customer Rating]]),"No Rating",IF(Data[[#This Row],[Customer Rating]]&gt;=9,"Promoter",IF(Data[[#This Row],[Customer Rating]]&gt;=7,"Passive","Detractor")))</f>
        <v>No Rating</v>
      </c>
    </row>
    <row r="950" spans="1:17" ht="14.25" customHeight="1" x14ac:dyDescent="0.3">
      <c r="A950" s="1" t="s">
        <v>976</v>
      </c>
      <c r="B950" s="1" t="s">
        <v>21</v>
      </c>
      <c r="C950" s="1" t="s">
        <v>16</v>
      </c>
      <c r="D950" s="1" t="str">
        <f>IF(Data[[#This Row],[Cancellation Status]]="No", "High Potential", "Normal")</f>
        <v>High Potential</v>
      </c>
      <c r="E950" s="2">
        <v>45931</v>
      </c>
      <c r="F950" s="2">
        <v>45936</v>
      </c>
      <c r="G950" s="2">
        <v>45941</v>
      </c>
      <c r="H950" s="2">
        <v>45945</v>
      </c>
      <c r="I950" s="1" t="s">
        <v>17</v>
      </c>
      <c r="K950" s="2">
        <v>45963</v>
      </c>
      <c r="L950" s="88">
        <f>IF(OR(Data[[#This Row],[Service Follow-up Date]]="",Data[[#This Row],[Delivery Date]]=""),"",INT(Data[[#This Row],[Service Follow-up Date]]-Data[[#This Row],[Delivery Date]]))</f>
        <v>18</v>
      </c>
      <c r="M950" s="1">
        <v>5</v>
      </c>
      <c r="N950" s="1">
        <v>5</v>
      </c>
      <c r="O950" s="1">
        <v>4</v>
      </c>
      <c r="P950" s="1">
        <v>8</v>
      </c>
      <c r="Q950" t="str">
        <f>IF(ISBLANK(Data[[#This Row],[Customer Rating]]),"No Rating",IF(Data[[#This Row],[Customer Rating]]&gt;=9,"Promoter",IF(Data[[#This Row],[Customer Rating]]&gt;=7,"Passive","Detractor")))</f>
        <v>Passive</v>
      </c>
    </row>
    <row r="951" spans="1:17" ht="14.25" customHeight="1" x14ac:dyDescent="0.3">
      <c r="A951" s="1" t="s">
        <v>977</v>
      </c>
      <c r="B951" s="1" t="s">
        <v>19</v>
      </c>
      <c r="C951" s="1" t="s">
        <v>16</v>
      </c>
      <c r="D951" s="1" t="str">
        <f>IF(Data[[#This Row],[Cancellation Status]]="No", "High Potential", "Normal")</f>
        <v>High Potential</v>
      </c>
      <c r="E951" s="2">
        <v>45932</v>
      </c>
      <c r="F951" s="2">
        <v>45935</v>
      </c>
      <c r="G951" s="2">
        <v>45937</v>
      </c>
      <c r="H951" s="2">
        <v>45943</v>
      </c>
      <c r="I951" s="1" t="s">
        <v>17</v>
      </c>
      <c r="K951" s="2">
        <v>45965</v>
      </c>
      <c r="L951" s="88">
        <f>IF(OR(Data[[#This Row],[Service Follow-up Date]]="",Data[[#This Row],[Delivery Date]]=""),"",INT(Data[[#This Row],[Service Follow-up Date]]-Data[[#This Row],[Delivery Date]]))</f>
        <v>22</v>
      </c>
      <c r="M951" s="1">
        <v>3</v>
      </c>
      <c r="N951" s="1">
        <v>2</v>
      </c>
      <c r="O951" s="1">
        <v>6</v>
      </c>
      <c r="P951" s="1">
        <v>2</v>
      </c>
      <c r="Q951" t="str">
        <f>IF(ISBLANK(Data[[#This Row],[Customer Rating]]),"No Rating",IF(Data[[#This Row],[Customer Rating]]&gt;=9,"Promoter",IF(Data[[#This Row],[Customer Rating]]&gt;=7,"Passive","Detractor")))</f>
        <v>Detractor</v>
      </c>
    </row>
    <row r="952" spans="1:17" ht="14.25" customHeight="1" x14ac:dyDescent="0.3">
      <c r="A952" s="1" t="s">
        <v>978</v>
      </c>
      <c r="B952" s="1" t="s">
        <v>15</v>
      </c>
      <c r="C952" s="1" t="s">
        <v>30</v>
      </c>
      <c r="D952" s="1" t="str">
        <f>IF(Data[[#This Row],[Cancellation Status]]="No", "High Potential", "Normal")</f>
        <v>High Potential</v>
      </c>
      <c r="E952" s="2">
        <v>45946</v>
      </c>
      <c r="F952" s="2">
        <v>45951</v>
      </c>
      <c r="G952" s="2">
        <v>45954</v>
      </c>
      <c r="H952" s="2">
        <v>45957</v>
      </c>
      <c r="I952" s="1" t="s">
        <v>17</v>
      </c>
      <c r="K952" s="2">
        <v>45982</v>
      </c>
      <c r="L952" s="88">
        <f>IF(OR(Data[[#This Row],[Service Follow-up Date]]="",Data[[#This Row],[Delivery Date]]=""),"",INT(Data[[#This Row],[Service Follow-up Date]]-Data[[#This Row],[Delivery Date]]))</f>
        <v>25</v>
      </c>
      <c r="M952" s="1">
        <v>5</v>
      </c>
      <c r="N952" s="1">
        <v>3</v>
      </c>
      <c r="O952" s="1">
        <v>3</v>
      </c>
      <c r="P952" s="1">
        <v>3</v>
      </c>
      <c r="Q952" t="str">
        <f>IF(ISBLANK(Data[[#This Row],[Customer Rating]]),"No Rating",IF(Data[[#This Row],[Customer Rating]]&gt;=9,"Promoter",IF(Data[[#This Row],[Customer Rating]]&gt;=7,"Passive","Detractor")))</f>
        <v>Detractor</v>
      </c>
    </row>
    <row r="953" spans="1:17" ht="14.25" customHeight="1" x14ac:dyDescent="0.3">
      <c r="A953" s="1" t="s">
        <v>979</v>
      </c>
      <c r="B953" s="1" t="s">
        <v>19</v>
      </c>
      <c r="C953" s="1" t="s">
        <v>30</v>
      </c>
      <c r="D953" s="1" t="str">
        <f>IF(Data[[#This Row],[Cancellation Status]]="No", "High Potential", "Normal")</f>
        <v>High Potential</v>
      </c>
      <c r="E953" s="2">
        <v>45958</v>
      </c>
      <c r="F953" s="2">
        <v>45963</v>
      </c>
      <c r="G953" s="2">
        <v>45964</v>
      </c>
      <c r="H953" s="2">
        <v>45966</v>
      </c>
      <c r="I953" s="1" t="s">
        <v>17</v>
      </c>
      <c r="K953" s="2">
        <v>45989</v>
      </c>
      <c r="L953" s="88">
        <f>IF(OR(Data[[#This Row],[Service Follow-up Date]]="",Data[[#This Row],[Delivery Date]]=""),"",INT(Data[[#This Row],[Service Follow-up Date]]-Data[[#This Row],[Delivery Date]]))</f>
        <v>23</v>
      </c>
      <c r="M953" s="1">
        <v>5</v>
      </c>
      <c r="N953" s="1">
        <v>1</v>
      </c>
      <c r="O953" s="1">
        <v>2</v>
      </c>
      <c r="P953" s="1">
        <v>1</v>
      </c>
      <c r="Q953" t="str">
        <f>IF(ISBLANK(Data[[#This Row],[Customer Rating]]),"No Rating",IF(Data[[#This Row],[Customer Rating]]&gt;=9,"Promoter",IF(Data[[#This Row],[Customer Rating]]&gt;=7,"Passive","Detractor")))</f>
        <v>Detractor</v>
      </c>
    </row>
    <row r="954" spans="1:17" ht="14.25" customHeight="1" x14ac:dyDescent="0.3">
      <c r="A954" s="1" t="s">
        <v>980</v>
      </c>
      <c r="B954" s="1" t="s">
        <v>19</v>
      </c>
      <c r="C954" s="1" t="s">
        <v>16</v>
      </c>
      <c r="D954" s="1" t="str">
        <f>IF(Data[[#This Row],[Cancellation Status]]="No", "High Potential", "Normal")</f>
        <v>High Potential</v>
      </c>
      <c r="E954" s="2">
        <v>45943</v>
      </c>
      <c r="F954" s="2">
        <v>45944</v>
      </c>
      <c r="G954" s="2">
        <v>45948</v>
      </c>
      <c r="H954" s="2">
        <v>45952</v>
      </c>
      <c r="I954" s="1" t="s">
        <v>17</v>
      </c>
      <c r="K954" s="2">
        <v>45982</v>
      </c>
      <c r="L954" s="88">
        <f>IF(OR(Data[[#This Row],[Service Follow-up Date]]="",Data[[#This Row],[Delivery Date]]=""),"",INT(Data[[#This Row],[Service Follow-up Date]]-Data[[#This Row],[Delivery Date]]))</f>
        <v>30</v>
      </c>
      <c r="M954" s="1">
        <v>1</v>
      </c>
      <c r="N954" s="1">
        <v>4</v>
      </c>
      <c r="O954" s="1">
        <v>4</v>
      </c>
      <c r="P954" s="1">
        <v>1</v>
      </c>
      <c r="Q954" t="str">
        <f>IF(ISBLANK(Data[[#This Row],[Customer Rating]]),"No Rating",IF(Data[[#This Row],[Customer Rating]]&gt;=9,"Promoter",IF(Data[[#This Row],[Customer Rating]]&gt;=7,"Passive","Detractor")))</f>
        <v>Detractor</v>
      </c>
    </row>
    <row r="955" spans="1:17" ht="14.25" customHeight="1" x14ac:dyDescent="0.3">
      <c r="A955" s="1" t="s">
        <v>981</v>
      </c>
      <c r="B955" s="1" t="s">
        <v>15</v>
      </c>
      <c r="C955" s="1" t="s">
        <v>16</v>
      </c>
      <c r="D955" s="1" t="str">
        <f>IF(Data[[#This Row],[Cancellation Status]]="No", "High Potential", "Normal")</f>
        <v>High Potential</v>
      </c>
      <c r="E955" s="2">
        <v>45944</v>
      </c>
      <c r="F955" s="2">
        <v>45946</v>
      </c>
      <c r="G955" s="2">
        <v>45947</v>
      </c>
      <c r="H955" s="2">
        <v>45949</v>
      </c>
      <c r="I955" s="1" t="s">
        <v>17</v>
      </c>
      <c r="K955" s="2">
        <v>45964</v>
      </c>
      <c r="L955" s="88">
        <f>IF(OR(Data[[#This Row],[Service Follow-up Date]]="",Data[[#This Row],[Delivery Date]]=""),"",INT(Data[[#This Row],[Service Follow-up Date]]-Data[[#This Row],[Delivery Date]]))</f>
        <v>15</v>
      </c>
      <c r="M955" s="1">
        <v>2</v>
      </c>
      <c r="N955" s="1">
        <v>1</v>
      </c>
      <c r="O955" s="1">
        <v>2</v>
      </c>
      <c r="P955" s="1">
        <v>6</v>
      </c>
      <c r="Q955" t="str">
        <f>IF(ISBLANK(Data[[#This Row],[Customer Rating]]),"No Rating",IF(Data[[#This Row],[Customer Rating]]&gt;=9,"Promoter",IF(Data[[#This Row],[Customer Rating]]&gt;=7,"Passive","Detractor")))</f>
        <v>Detractor</v>
      </c>
    </row>
    <row r="956" spans="1:17" ht="14.25" customHeight="1" x14ac:dyDescent="0.3">
      <c r="A956" s="1" t="s">
        <v>982</v>
      </c>
      <c r="B956" s="1" t="s">
        <v>15</v>
      </c>
      <c r="C956" s="1" t="s">
        <v>30</v>
      </c>
      <c r="D956" s="1" t="str">
        <f>IF(Data[[#This Row],[Cancellation Status]]="No", "High Potential", "Normal")</f>
        <v>High Potential</v>
      </c>
      <c r="E956" s="2">
        <v>45952</v>
      </c>
      <c r="F956" s="2">
        <v>45953</v>
      </c>
      <c r="G956" s="2">
        <v>45956</v>
      </c>
      <c r="H956" s="2">
        <v>45961</v>
      </c>
      <c r="I956" s="1" t="s">
        <v>17</v>
      </c>
      <c r="K956" s="2">
        <v>45974</v>
      </c>
      <c r="L956" s="88">
        <f>IF(OR(Data[[#This Row],[Service Follow-up Date]]="",Data[[#This Row],[Delivery Date]]=""),"",INT(Data[[#This Row],[Service Follow-up Date]]-Data[[#This Row],[Delivery Date]]))</f>
        <v>13</v>
      </c>
      <c r="M956" s="1">
        <v>1</v>
      </c>
      <c r="N956" s="1">
        <v>3</v>
      </c>
      <c r="O956" s="1">
        <v>5</v>
      </c>
      <c r="P956" s="1">
        <v>1</v>
      </c>
      <c r="Q956" t="str">
        <f>IF(ISBLANK(Data[[#This Row],[Customer Rating]]),"No Rating",IF(Data[[#This Row],[Customer Rating]]&gt;=9,"Promoter",IF(Data[[#This Row],[Customer Rating]]&gt;=7,"Passive","Detractor")))</f>
        <v>Detractor</v>
      </c>
    </row>
    <row r="957" spans="1:17" ht="14.25" customHeight="1" x14ac:dyDescent="0.3">
      <c r="A957" s="1" t="s">
        <v>983</v>
      </c>
      <c r="B957" s="1" t="s">
        <v>15</v>
      </c>
      <c r="C957" s="1" t="s">
        <v>16</v>
      </c>
      <c r="D957" s="1" t="str">
        <f>IF(Data[[#This Row],[Cancellation Status]]="No", "High Potential", "Normal")</f>
        <v>High Potential</v>
      </c>
      <c r="E957" s="2">
        <v>45934</v>
      </c>
      <c r="F957" s="2">
        <v>45938</v>
      </c>
      <c r="G957" s="2">
        <v>45942</v>
      </c>
      <c r="H957" s="2">
        <v>45948</v>
      </c>
      <c r="I957" s="1" t="s">
        <v>17</v>
      </c>
      <c r="K957" s="2">
        <v>45962</v>
      </c>
      <c r="L957" s="88">
        <f>IF(OR(Data[[#This Row],[Service Follow-up Date]]="",Data[[#This Row],[Delivery Date]]=""),"",INT(Data[[#This Row],[Service Follow-up Date]]-Data[[#This Row],[Delivery Date]]))</f>
        <v>14</v>
      </c>
      <c r="M957" s="1">
        <v>4</v>
      </c>
      <c r="N957" s="1">
        <v>4</v>
      </c>
      <c r="O957" s="1">
        <v>6</v>
      </c>
      <c r="P957" s="1">
        <v>2</v>
      </c>
      <c r="Q957" t="str">
        <f>IF(ISBLANK(Data[[#This Row],[Customer Rating]]),"No Rating",IF(Data[[#This Row],[Customer Rating]]&gt;=9,"Promoter",IF(Data[[#This Row],[Customer Rating]]&gt;=7,"Passive","Detractor")))</f>
        <v>Detractor</v>
      </c>
    </row>
    <row r="958" spans="1:17" ht="14.25" customHeight="1" x14ac:dyDescent="0.3">
      <c r="A958" s="1" t="s">
        <v>984</v>
      </c>
      <c r="B958" s="1" t="s">
        <v>32</v>
      </c>
      <c r="C958" s="1" t="s">
        <v>22</v>
      </c>
      <c r="D958" s="1" t="str">
        <f>IF(Data[[#This Row],[Cancellation Status]]="No", "High Potential", "Normal")</f>
        <v>Normal</v>
      </c>
      <c r="E958" s="2">
        <v>45946</v>
      </c>
      <c r="I958" s="1" t="s">
        <v>23</v>
      </c>
      <c r="J958" s="1" t="s">
        <v>101</v>
      </c>
      <c r="L958" s="88" t="str">
        <f>IF(OR(Data[[#This Row],[Service Follow-up Date]]="",Data[[#This Row],[Delivery Date]]=""),"",INT(Data[[#This Row],[Service Follow-up Date]]-Data[[#This Row],[Delivery Date]]))</f>
        <v/>
      </c>
      <c r="Q958" t="str">
        <f>IF(ISBLANK(Data[[#This Row],[Customer Rating]]),"No Rating",IF(Data[[#This Row],[Customer Rating]]&gt;=9,"Promoter",IF(Data[[#This Row],[Customer Rating]]&gt;=7,"Passive","Detractor")))</f>
        <v>No Rating</v>
      </c>
    </row>
    <row r="959" spans="1:17" ht="14.25" customHeight="1" x14ac:dyDescent="0.3">
      <c r="A959" s="1" t="s">
        <v>985</v>
      </c>
      <c r="B959" s="1" t="s">
        <v>15</v>
      </c>
      <c r="C959" s="1" t="s">
        <v>16</v>
      </c>
      <c r="D959" s="1" t="str">
        <f>IF(Data[[#This Row],[Cancellation Status]]="No", "High Potential", "Normal")</f>
        <v>High Potential</v>
      </c>
      <c r="E959" s="2">
        <v>45953</v>
      </c>
      <c r="F959" s="2">
        <v>45956</v>
      </c>
      <c r="G959" s="2">
        <v>45957</v>
      </c>
      <c r="H959" s="2">
        <v>45961</v>
      </c>
      <c r="I959" s="1" t="s">
        <v>17</v>
      </c>
      <c r="K959" s="2">
        <v>45972</v>
      </c>
      <c r="L959" s="88">
        <f>IF(OR(Data[[#This Row],[Service Follow-up Date]]="",Data[[#This Row],[Delivery Date]]=""),"",INT(Data[[#This Row],[Service Follow-up Date]]-Data[[#This Row],[Delivery Date]]))</f>
        <v>11</v>
      </c>
      <c r="M959" s="1">
        <v>3</v>
      </c>
      <c r="N959" s="1">
        <v>1</v>
      </c>
      <c r="O959" s="1">
        <v>4</v>
      </c>
      <c r="P959" s="1">
        <v>10</v>
      </c>
      <c r="Q959" t="str">
        <f>IF(ISBLANK(Data[[#This Row],[Customer Rating]]),"No Rating",IF(Data[[#This Row],[Customer Rating]]&gt;=9,"Promoter",IF(Data[[#This Row],[Customer Rating]]&gt;=7,"Passive","Detractor")))</f>
        <v>Promoter</v>
      </c>
    </row>
    <row r="960" spans="1:17" ht="14.25" customHeight="1" x14ac:dyDescent="0.3">
      <c r="A960" s="1" t="s">
        <v>986</v>
      </c>
      <c r="B960" s="1" t="s">
        <v>15</v>
      </c>
      <c r="C960" s="1" t="s">
        <v>16</v>
      </c>
      <c r="D960" s="1" t="str">
        <f>IF(Data[[#This Row],[Cancellation Status]]="No", "High Potential", "Normal")</f>
        <v>High Potential</v>
      </c>
      <c r="E960" s="2">
        <v>45960</v>
      </c>
      <c r="F960" s="2">
        <v>45963</v>
      </c>
      <c r="G960" s="2">
        <v>45964</v>
      </c>
      <c r="H960" s="2">
        <v>45970</v>
      </c>
      <c r="I960" s="1" t="s">
        <v>17</v>
      </c>
      <c r="K960" s="2">
        <v>45985</v>
      </c>
      <c r="L960" s="88">
        <f>IF(OR(Data[[#This Row],[Service Follow-up Date]]="",Data[[#This Row],[Delivery Date]]=""),"",INT(Data[[#This Row],[Service Follow-up Date]]-Data[[#This Row],[Delivery Date]]))</f>
        <v>15</v>
      </c>
      <c r="M960" s="1">
        <v>3</v>
      </c>
      <c r="N960" s="1">
        <v>1</v>
      </c>
      <c r="O960" s="1">
        <v>6</v>
      </c>
      <c r="P960" s="1">
        <v>1</v>
      </c>
      <c r="Q960" t="str">
        <f>IF(ISBLANK(Data[[#This Row],[Customer Rating]]),"No Rating",IF(Data[[#This Row],[Customer Rating]]&gt;=9,"Promoter",IF(Data[[#This Row],[Customer Rating]]&gt;=7,"Passive","Detractor")))</f>
        <v>Detractor</v>
      </c>
    </row>
    <row r="961" spans="1:17" ht="14.25" customHeight="1" x14ac:dyDescent="0.3">
      <c r="A961" s="1" t="s">
        <v>987</v>
      </c>
      <c r="B961" s="1" t="s">
        <v>15</v>
      </c>
      <c r="C961" s="1" t="s">
        <v>22</v>
      </c>
      <c r="D961" s="1" t="str">
        <f>IF(Data[[#This Row],[Cancellation Status]]="No", "High Potential", "Normal")</f>
        <v>Normal</v>
      </c>
      <c r="E961" s="2">
        <v>45945</v>
      </c>
      <c r="I961" s="1" t="s">
        <v>23</v>
      </c>
      <c r="J961" s="1" t="s">
        <v>33</v>
      </c>
      <c r="L961" s="88" t="str">
        <f>IF(OR(Data[[#This Row],[Service Follow-up Date]]="",Data[[#This Row],[Delivery Date]]=""),"",INT(Data[[#This Row],[Service Follow-up Date]]-Data[[#This Row],[Delivery Date]]))</f>
        <v/>
      </c>
      <c r="Q961" t="str">
        <f>IF(ISBLANK(Data[[#This Row],[Customer Rating]]),"No Rating",IF(Data[[#This Row],[Customer Rating]]&gt;=9,"Promoter",IF(Data[[#This Row],[Customer Rating]]&gt;=7,"Passive","Detractor")))</f>
        <v>No Rating</v>
      </c>
    </row>
    <row r="962" spans="1:17" ht="14.25" customHeight="1" x14ac:dyDescent="0.3">
      <c r="A962" s="1" t="s">
        <v>988</v>
      </c>
      <c r="B962" s="1" t="s">
        <v>15</v>
      </c>
      <c r="C962" s="1" t="s">
        <v>30</v>
      </c>
      <c r="D962" s="1" t="str">
        <f>IF(Data[[#This Row],[Cancellation Status]]="No", "High Potential", "Normal")</f>
        <v>High Potential</v>
      </c>
      <c r="E962" s="2">
        <v>45933</v>
      </c>
      <c r="F962" s="2">
        <v>45938</v>
      </c>
      <c r="G962" s="2">
        <v>45940</v>
      </c>
      <c r="H962" s="2">
        <v>45943</v>
      </c>
      <c r="I962" s="1" t="s">
        <v>17</v>
      </c>
      <c r="K962" s="2">
        <v>45956</v>
      </c>
      <c r="L962" s="88">
        <f>IF(OR(Data[[#This Row],[Service Follow-up Date]]="",Data[[#This Row],[Delivery Date]]=""),"",INT(Data[[#This Row],[Service Follow-up Date]]-Data[[#This Row],[Delivery Date]]))</f>
        <v>13</v>
      </c>
      <c r="M962" s="1">
        <v>5</v>
      </c>
      <c r="N962" s="1">
        <v>2</v>
      </c>
      <c r="O962" s="1">
        <v>3</v>
      </c>
      <c r="P962" s="1">
        <v>8</v>
      </c>
      <c r="Q962" t="str">
        <f>IF(ISBLANK(Data[[#This Row],[Customer Rating]]),"No Rating",IF(Data[[#This Row],[Customer Rating]]&gt;=9,"Promoter",IF(Data[[#This Row],[Customer Rating]]&gt;=7,"Passive","Detractor")))</f>
        <v>Passive</v>
      </c>
    </row>
    <row r="963" spans="1:17" ht="14.25" customHeight="1" x14ac:dyDescent="0.3">
      <c r="A963" s="1" t="s">
        <v>989</v>
      </c>
      <c r="B963" s="1" t="s">
        <v>21</v>
      </c>
      <c r="C963" s="1" t="s">
        <v>16</v>
      </c>
      <c r="D963" s="1" t="str">
        <f>IF(Data[[#This Row],[Cancellation Status]]="No", "High Potential", "Normal")</f>
        <v>High Potential</v>
      </c>
      <c r="E963" s="2">
        <v>45959</v>
      </c>
      <c r="F963" s="2">
        <v>45962</v>
      </c>
      <c r="G963" s="2">
        <v>45965</v>
      </c>
      <c r="H963" s="2">
        <v>45968</v>
      </c>
      <c r="I963" s="1" t="s">
        <v>17</v>
      </c>
      <c r="K963" s="2">
        <v>45991</v>
      </c>
      <c r="L963" s="88">
        <f>IF(OR(Data[[#This Row],[Service Follow-up Date]]="",Data[[#This Row],[Delivery Date]]=""),"",INT(Data[[#This Row],[Service Follow-up Date]]-Data[[#This Row],[Delivery Date]]))</f>
        <v>23</v>
      </c>
      <c r="M963" s="1">
        <v>3</v>
      </c>
      <c r="N963" s="1">
        <v>3</v>
      </c>
      <c r="O963" s="1">
        <v>3</v>
      </c>
      <c r="P963" s="1">
        <v>6</v>
      </c>
      <c r="Q963" t="str">
        <f>IF(ISBLANK(Data[[#This Row],[Customer Rating]]),"No Rating",IF(Data[[#This Row],[Customer Rating]]&gt;=9,"Promoter",IF(Data[[#This Row],[Customer Rating]]&gt;=7,"Passive","Detractor")))</f>
        <v>Detractor</v>
      </c>
    </row>
    <row r="964" spans="1:17" ht="14.25" customHeight="1" x14ac:dyDescent="0.3">
      <c r="A964" s="1" t="s">
        <v>990</v>
      </c>
      <c r="B964" s="1" t="s">
        <v>32</v>
      </c>
      <c r="C964" s="1" t="s">
        <v>22</v>
      </c>
      <c r="D964" s="1" t="str">
        <f>IF(Data[[#This Row],[Cancellation Status]]="No", "High Potential", "Normal")</f>
        <v>Normal</v>
      </c>
      <c r="E964" s="2">
        <v>45933</v>
      </c>
      <c r="I964" s="1" t="s">
        <v>23</v>
      </c>
      <c r="J964" s="1" t="s">
        <v>24</v>
      </c>
      <c r="L964" s="88" t="str">
        <f>IF(OR(Data[[#This Row],[Service Follow-up Date]]="",Data[[#This Row],[Delivery Date]]=""),"",INT(Data[[#This Row],[Service Follow-up Date]]-Data[[#This Row],[Delivery Date]]))</f>
        <v/>
      </c>
      <c r="Q964" t="str">
        <f>IF(ISBLANK(Data[[#This Row],[Customer Rating]]),"No Rating",IF(Data[[#This Row],[Customer Rating]]&gt;=9,"Promoter",IF(Data[[#This Row],[Customer Rating]]&gt;=7,"Passive","Detractor")))</f>
        <v>No Rating</v>
      </c>
    </row>
    <row r="965" spans="1:17" ht="14.25" customHeight="1" x14ac:dyDescent="0.3">
      <c r="A965" s="1" t="s">
        <v>991</v>
      </c>
      <c r="B965" s="1" t="s">
        <v>19</v>
      </c>
      <c r="C965" s="1" t="s">
        <v>30</v>
      </c>
      <c r="D965" s="1" t="str">
        <f>IF(Data[[#This Row],[Cancellation Status]]="No", "High Potential", "Normal")</f>
        <v>High Potential</v>
      </c>
      <c r="E965" s="2">
        <v>45941</v>
      </c>
      <c r="F965" s="2">
        <v>45943</v>
      </c>
      <c r="G965" s="2">
        <v>45946</v>
      </c>
      <c r="H965" s="2">
        <v>45948</v>
      </c>
      <c r="I965" s="1" t="s">
        <v>17</v>
      </c>
      <c r="K965" s="2">
        <v>45976</v>
      </c>
      <c r="L965" s="88">
        <f>IF(OR(Data[[#This Row],[Service Follow-up Date]]="",Data[[#This Row],[Delivery Date]]=""),"",INT(Data[[#This Row],[Service Follow-up Date]]-Data[[#This Row],[Delivery Date]]))</f>
        <v>28</v>
      </c>
      <c r="M965" s="1">
        <v>2</v>
      </c>
      <c r="N965" s="1">
        <v>3</v>
      </c>
      <c r="O965" s="1">
        <v>2</v>
      </c>
      <c r="P965" s="1">
        <v>3</v>
      </c>
      <c r="Q965" t="str">
        <f>IF(ISBLANK(Data[[#This Row],[Customer Rating]]),"No Rating",IF(Data[[#This Row],[Customer Rating]]&gt;=9,"Promoter",IF(Data[[#This Row],[Customer Rating]]&gt;=7,"Passive","Detractor")))</f>
        <v>Detractor</v>
      </c>
    </row>
    <row r="966" spans="1:17" ht="14.25" customHeight="1" x14ac:dyDescent="0.3">
      <c r="A966" s="1" t="s">
        <v>992</v>
      </c>
      <c r="B966" s="1" t="s">
        <v>15</v>
      </c>
      <c r="C966" s="1" t="s">
        <v>16</v>
      </c>
      <c r="D966" s="1" t="str">
        <f>IF(Data[[#This Row],[Cancellation Status]]="No", "High Potential", "Normal")</f>
        <v>High Potential</v>
      </c>
      <c r="E966" s="2">
        <v>45950</v>
      </c>
      <c r="F966" s="2">
        <v>45952</v>
      </c>
      <c r="G966" s="2">
        <v>45955</v>
      </c>
      <c r="H966" s="2">
        <v>45958</v>
      </c>
      <c r="I966" s="1" t="s">
        <v>17</v>
      </c>
      <c r="K966" s="2">
        <v>45983</v>
      </c>
      <c r="L966" s="88">
        <f>IF(OR(Data[[#This Row],[Service Follow-up Date]]="",Data[[#This Row],[Delivery Date]]=""),"",INT(Data[[#This Row],[Service Follow-up Date]]-Data[[#This Row],[Delivery Date]]))</f>
        <v>25</v>
      </c>
      <c r="M966" s="1">
        <v>2</v>
      </c>
      <c r="N966" s="1">
        <v>3</v>
      </c>
      <c r="O966" s="1">
        <v>3</v>
      </c>
      <c r="P966" s="1">
        <v>9</v>
      </c>
      <c r="Q966" t="str">
        <f>IF(ISBLANK(Data[[#This Row],[Customer Rating]]),"No Rating",IF(Data[[#This Row],[Customer Rating]]&gt;=9,"Promoter",IF(Data[[#This Row],[Customer Rating]]&gt;=7,"Passive","Detractor")))</f>
        <v>Promoter</v>
      </c>
    </row>
    <row r="967" spans="1:17" ht="14.25" customHeight="1" x14ac:dyDescent="0.3">
      <c r="A967" s="1" t="s">
        <v>993</v>
      </c>
      <c r="B967" s="1" t="s">
        <v>21</v>
      </c>
      <c r="C967" s="1" t="s">
        <v>16</v>
      </c>
      <c r="D967" s="1" t="str">
        <f>IF(Data[[#This Row],[Cancellation Status]]="No", "High Potential", "Normal")</f>
        <v>High Potential</v>
      </c>
      <c r="E967" s="2">
        <v>45935</v>
      </c>
      <c r="F967" s="2">
        <v>45940</v>
      </c>
      <c r="G967" s="2">
        <v>45944</v>
      </c>
      <c r="H967" s="2">
        <v>45951</v>
      </c>
      <c r="I967" s="1" t="s">
        <v>17</v>
      </c>
      <c r="K967" s="2">
        <v>45979</v>
      </c>
      <c r="L967" s="88">
        <f>IF(OR(Data[[#This Row],[Service Follow-up Date]]="",Data[[#This Row],[Delivery Date]]=""),"",INT(Data[[#This Row],[Service Follow-up Date]]-Data[[#This Row],[Delivery Date]]))</f>
        <v>28</v>
      </c>
      <c r="M967" s="1">
        <v>5</v>
      </c>
      <c r="N967" s="1">
        <v>4</v>
      </c>
      <c r="O967" s="1">
        <v>7</v>
      </c>
      <c r="P967" s="1">
        <v>7</v>
      </c>
      <c r="Q967" t="str">
        <f>IF(ISBLANK(Data[[#This Row],[Customer Rating]]),"No Rating",IF(Data[[#This Row],[Customer Rating]]&gt;=9,"Promoter",IF(Data[[#This Row],[Customer Rating]]&gt;=7,"Passive","Detractor")))</f>
        <v>Passive</v>
      </c>
    </row>
    <row r="968" spans="1:17" ht="14.25" customHeight="1" x14ac:dyDescent="0.3">
      <c r="A968" s="1" t="s">
        <v>994</v>
      </c>
      <c r="B968" s="1" t="s">
        <v>21</v>
      </c>
      <c r="C968" s="1" t="s">
        <v>16</v>
      </c>
      <c r="D968" s="1" t="str">
        <f>IF(Data[[#This Row],[Cancellation Status]]="No", "High Potential", "Normal")</f>
        <v>High Potential</v>
      </c>
      <c r="E968" s="2">
        <v>45933</v>
      </c>
      <c r="F968" s="2">
        <v>45938</v>
      </c>
      <c r="G968" s="2">
        <v>45940</v>
      </c>
      <c r="H968" s="2">
        <v>45943</v>
      </c>
      <c r="I968" s="1" t="s">
        <v>17</v>
      </c>
      <c r="K968" s="2">
        <v>45967</v>
      </c>
      <c r="L968" s="88">
        <f>IF(OR(Data[[#This Row],[Service Follow-up Date]]="",Data[[#This Row],[Delivery Date]]=""),"",INT(Data[[#This Row],[Service Follow-up Date]]-Data[[#This Row],[Delivery Date]]))</f>
        <v>24</v>
      </c>
      <c r="M968" s="1">
        <v>5</v>
      </c>
      <c r="N968" s="1">
        <v>2</v>
      </c>
      <c r="O968" s="1">
        <v>3</v>
      </c>
      <c r="P968" s="1">
        <v>4</v>
      </c>
      <c r="Q968" t="str">
        <f>IF(ISBLANK(Data[[#This Row],[Customer Rating]]),"No Rating",IF(Data[[#This Row],[Customer Rating]]&gt;=9,"Promoter",IF(Data[[#This Row],[Customer Rating]]&gt;=7,"Passive","Detractor")))</f>
        <v>Detractor</v>
      </c>
    </row>
    <row r="969" spans="1:17" ht="14.25" customHeight="1" x14ac:dyDescent="0.3">
      <c r="A969" s="1" t="s">
        <v>995</v>
      </c>
      <c r="B969" s="1" t="s">
        <v>21</v>
      </c>
      <c r="C969" s="1" t="s">
        <v>16</v>
      </c>
      <c r="D969" s="1" t="str">
        <f>IF(Data[[#This Row],[Cancellation Status]]="No", "High Potential", "Normal")</f>
        <v>High Potential</v>
      </c>
      <c r="E969" s="2">
        <v>45935</v>
      </c>
      <c r="F969" s="2">
        <v>45939</v>
      </c>
      <c r="G969" s="2">
        <v>45944</v>
      </c>
      <c r="H969" s="2">
        <v>45948</v>
      </c>
      <c r="I969" s="1" t="s">
        <v>17</v>
      </c>
      <c r="K969" s="2">
        <v>45963</v>
      </c>
      <c r="L969" s="88">
        <f>IF(OR(Data[[#This Row],[Service Follow-up Date]]="",Data[[#This Row],[Delivery Date]]=""),"",INT(Data[[#This Row],[Service Follow-up Date]]-Data[[#This Row],[Delivery Date]]))</f>
        <v>15</v>
      </c>
      <c r="M969" s="1">
        <v>4</v>
      </c>
      <c r="N969" s="1">
        <v>5</v>
      </c>
      <c r="O969" s="1">
        <v>4</v>
      </c>
      <c r="P969" s="1">
        <v>7</v>
      </c>
      <c r="Q969" t="str">
        <f>IF(ISBLANK(Data[[#This Row],[Customer Rating]]),"No Rating",IF(Data[[#This Row],[Customer Rating]]&gt;=9,"Promoter",IF(Data[[#This Row],[Customer Rating]]&gt;=7,"Passive","Detractor")))</f>
        <v>Passive</v>
      </c>
    </row>
    <row r="970" spans="1:17" ht="14.25" customHeight="1" x14ac:dyDescent="0.3">
      <c r="A970" s="1" t="s">
        <v>996</v>
      </c>
      <c r="B970" s="1" t="s">
        <v>19</v>
      </c>
      <c r="C970" s="1" t="s">
        <v>22</v>
      </c>
      <c r="D970" s="1" t="str">
        <f>IF(Data[[#This Row],[Cancellation Status]]="No", "High Potential", "Normal")</f>
        <v>Normal</v>
      </c>
      <c r="E970" s="2">
        <v>45939</v>
      </c>
      <c r="I970" s="1" t="s">
        <v>23</v>
      </c>
      <c r="J970" s="1" t="s">
        <v>63</v>
      </c>
      <c r="L970" s="88" t="str">
        <f>IF(OR(Data[[#This Row],[Service Follow-up Date]]="",Data[[#This Row],[Delivery Date]]=""),"",INT(Data[[#This Row],[Service Follow-up Date]]-Data[[#This Row],[Delivery Date]]))</f>
        <v/>
      </c>
      <c r="Q970" t="str">
        <f>IF(ISBLANK(Data[[#This Row],[Customer Rating]]),"No Rating",IF(Data[[#This Row],[Customer Rating]]&gt;=9,"Promoter",IF(Data[[#This Row],[Customer Rating]]&gt;=7,"Passive","Detractor")))</f>
        <v>No Rating</v>
      </c>
    </row>
    <row r="971" spans="1:17" ht="14.25" customHeight="1" x14ac:dyDescent="0.3">
      <c r="A971" s="1" t="s">
        <v>997</v>
      </c>
      <c r="B971" s="1" t="s">
        <v>15</v>
      </c>
      <c r="C971" s="1" t="s">
        <v>16</v>
      </c>
      <c r="D971" s="1" t="str">
        <f>IF(Data[[#This Row],[Cancellation Status]]="No", "High Potential", "Normal")</f>
        <v>High Potential</v>
      </c>
      <c r="E971" s="2">
        <v>45950</v>
      </c>
      <c r="F971" s="2">
        <v>45955</v>
      </c>
      <c r="G971" s="2">
        <v>45959</v>
      </c>
      <c r="H971" s="2">
        <v>45965</v>
      </c>
      <c r="I971" s="1" t="s">
        <v>17</v>
      </c>
      <c r="K971" s="2">
        <v>45994</v>
      </c>
      <c r="L971" s="88">
        <f>IF(OR(Data[[#This Row],[Service Follow-up Date]]="",Data[[#This Row],[Delivery Date]]=""),"",INT(Data[[#This Row],[Service Follow-up Date]]-Data[[#This Row],[Delivery Date]]))</f>
        <v>29</v>
      </c>
      <c r="M971" s="1">
        <v>5</v>
      </c>
      <c r="N971" s="1">
        <v>4</v>
      </c>
      <c r="O971" s="1">
        <v>6</v>
      </c>
      <c r="P971" s="1">
        <v>6</v>
      </c>
      <c r="Q971" t="str">
        <f>IF(ISBLANK(Data[[#This Row],[Customer Rating]]),"No Rating",IF(Data[[#This Row],[Customer Rating]]&gt;=9,"Promoter",IF(Data[[#This Row],[Customer Rating]]&gt;=7,"Passive","Detractor")))</f>
        <v>Detractor</v>
      </c>
    </row>
    <row r="972" spans="1:17" ht="14.25" customHeight="1" x14ac:dyDescent="0.3">
      <c r="A972" s="1" t="s">
        <v>998</v>
      </c>
      <c r="B972" s="1" t="s">
        <v>32</v>
      </c>
      <c r="C972" s="1" t="s">
        <v>30</v>
      </c>
      <c r="D972" s="1" t="str">
        <f>IF(Data[[#This Row],[Cancellation Status]]="No", "High Potential", "Normal")</f>
        <v>High Potential</v>
      </c>
      <c r="E972" s="2">
        <v>45951</v>
      </c>
      <c r="F972" s="2">
        <v>45952</v>
      </c>
      <c r="G972" s="2">
        <v>45955</v>
      </c>
      <c r="H972" s="2">
        <v>45962</v>
      </c>
      <c r="I972" s="1" t="s">
        <v>17</v>
      </c>
      <c r="K972" s="2">
        <v>45984</v>
      </c>
      <c r="L972" s="88">
        <f>IF(OR(Data[[#This Row],[Service Follow-up Date]]="",Data[[#This Row],[Delivery Date]]=""),"",INT(Data[[#This Row],[Service Follow-up Date]]-Data[[#This Row],[Delivery Date]]))</f>
        <v>22</v>
      </c>
      <c r="M972" s="1">
        <v>1</v>
      </c>
      <c r="N972" s="1">
        <v>3</v>
      </c>
      <c r="O972" s="1">
        <v>7</v>
      </c>
      <c r="P972" s="1">
        <v>10</v>
      </c>
      <c r="Q972" t="str">
        <f>IF(ISBLANK(Data[[#This Row],[Customer Rating]]),"No Rating",IF(Data[[#This Row],[Customer Rating]]&gt;=9,"Promoter",IF(Data[[#This Row],[Customer Rating]]&gt;=7,"Passive","Detractor")))</f>
        <v>Promoter</v>
      </c>
    </row>
    <row r="973" spans="1:17" ht="14.25" customHeight="1" x14ac:dyDescent="0.3">
      <c r="A973" s="1" t="s">
        <v>999</v>
      </c>
      <c r="B973" s="1" t="s">
        <v>32</v>
      </c>
      <c r="C973" s="1" t="s">
        <v>22</v>
      </c>
      <c r="D973" s="1" t="str">
        <f>IF(Data[[#This Row],[Cancellation Status]]="No", "High Potential", "Normal")</f>
        <v>Normal</v>
      </c>
      <c r="E973" s="2">
        <v>45949</v>
      </c>
      <c r="I973" s="1" t="s">
        <v>23</v>
      </c>
      <c r="J973" s="1" t="s">
        <v>101</v>
      </c>
      <c r="L973" s="88" t="str">
        <f>IF(OR(Data[[#This Row],[Service Follow-up Date]]="",Data[[#This Row],[Delivery Date]]=""),"",INT(Data[[#This Row],[Service Follow-up Date]]-Data[[#This Row],[Delivery Date]]))</f>
        <v/>
      </c>
      <c r="Q973" t="str">
        <f>IF(ISBLANK(Data[[#This Row],[Customer Rating]]),"No Rating",IF(Data[[#This Row],[Customer Rating]]&gt;=9,"Promoter",IF(Data[[#This Row],[Customer Rating]]&gt;=7,"Passive","Detractor")))</f>
        <v>No Rating</v>
      </c>
    </row>
    <row r="974" spans="1:17" ht="14.25" customHeight="1" x14ac:dyDescent="0.3">
      <c r="A974" s="1" t="s">
        <v>1000</v>
      </c>
      <c r="B974" s="1" t="s">
        <v>21</v>
      </c>
      <c r="C974" s="1" t="s">
        <v>30</v>
      </c>
      <c r="D974" s="1" t="str">
        <f>IF(Data[[#This Row],[Cancellation Status]]="No", "High Potential", "Normal")</f>
        <v>High Potential</v>
      </c>
      <c r="E974" s="2">
        <v>45948</v>
      </c>
      <c r="F974" s="2">
        <v>45949</v>
      </c>
      <c r="G974" s="2">
        <v>45953</v>
      </c>
      <c r="H974" s="2">
        <v>45955</v>
      </c>
      <c r="I974" s="1" t="s">
        <v>17</v>
      </c>
      <c r="K974" s="2">
        <v>45976</v>
      </c>
      <c r="L974" s="88">
        <f>IF(OR(Data[[#This Row],[Service Follow-up Date]]="",Data[[#This Row],[Delivery Date]]=""),"",INT(Data[[#This Row],[Service Follow-up Date]]-Data[[#This Row],[Delivery Date]]))</f>
        <v>21</v>
      </c>
      <c r="M974" s="1">
        <v>1</v>
      </c>
      <c r="N974" s="1">
        <v>4</v>
      </c>
      <c r="O974" s="1">
        <v>2</v>
      </c>
      <c r="P974" s="1">
        <v>10</v>
      </c>
      <c r="Q974" t="str">
        <f>IF(ISBLANK(Data[[#This Row],[Customer Rating]]),"No Rating",IF(Data[[#This Row],[Customer Rating]]&gt;=9,"Promoter",IF(Data[[#This Row],[Customer Rating]]&gt;=7,"Passive","Detractor")))</f>
        <v>Promoter</v>
      </c>
    </row>
    <row r="975" spans="1:17" ht="14.25" customHeight="1" x14ac:dyDescent="0.3">
      <c r="A975" s="1" t="s">
        <v>1001</v>
      </c>
      <c r="B975" s="1" t="s">
        <v>19</v>
      </c>
      <c r="C975" s="1" t="s">
        <v>16</v>
      </c>
      <c r="D975" s="1" t="str">
        <f>IF(Data[[#This Row],[Cancellation Status]]="No", "High Potential", "Normal")</f>
        <v>High Potential</v>
      </c>
      <c r="E975" s="2">
        <v>45953</v>
      </c>
      <c r="F975" s="2">
        <v>45954</v>
      </c>
      <c r="G975" s="2">
        <v>45955</v>
      </c>
      <c r="H975" s="2">
        <v>45958</v>
      </c>
      <c r="I975" s="1" t="s">
        <v>17</v>
      </c>
      <c r="K975" s="2">
        <v>45987</v>
      </c>
      <c r="L975" s="88">
        <f>IF(OR(Data[[#This Row],[Service Follow-up Date]]="",Data[[#This Row],[Delivery Date]]=""),"",INT(Data[[#This Row],[Service Follow-up Date]]-Data[[#This Row],[Delivery Date]]))</f>
        <v>29</v>
      </c>
      <c r="M975" s="1">
        <v>1</v>
      </c>
      <c r="N975" s="1">
        <v>1</v>
      </c>
      <c r="O975" s="1">
        <v>3</v>
      </c>
      <c r="P975" s="1">
        <v>9</v>
      </c>
      <c r="Q975" t="str">
        <f>IF(ISBLANK(Data[[#This Row],[Customer Rating]]),"No Rating",IF(Data[[#This Row],[Customer Rating]]&gt;=9,"Promoter",IF(Data[[#This Row],[Customer Rating]]&gt;=7,"Passive","Detractor")))</f>
        <v>Promoter</v>
      </c>
    </row>
    <row r="976" spans="1:17" ht="14.25" customHeight="1" x14ac:dyDescent="0.3">
      <c r="A976" s="1" t="s">
        <v>1002</v>
      </c>
      <c r="B976" s="1" t="s">
        <v>19</v>
      </c>
      <c r="C976" s="1" t="s">
        <v>16</v>
      </c>
      <c r="D976" s="1" t="str">
        <f>IF(Data[[#This Row],[Cancellation Status]]="No", "High Potential", "Normal")</f>
        <v>High Potential</v>
      </c>
      <c r="E976" s="2">
        <v>45941</v>
      </c>
      <c r="F976" s="2">
        <v>45943</v>
      </c>
      <c r="G976" s="2">
        <v>45947</v>
      </c>
      <c r="H976" s="2">
        <v>45953</v>
      </c>
      <c r="I976" s="1" t="s">
        <v>17</v>
      </c>
      <c r="K976" s="2">
        <v>45963</v>
      </c>
      <c r="L976" s="88">
        <f>IF(OR(Data[[#This Row],[Service Follow-up Date]]="",Data[[#This Row],[Delivery Date]]=""),"",INT(Data[[#This Row],[Service Follow-up Date]]-Data[[#This Row],[Delivery Date]]))</f>
        <v>10</v>
      </c>
      <c r="M976" s="1">
        <v>2</v>
      </c>
      <c r="N976" s="1">
        <v>4</v>
      </c>
      <c r="O976" s="1">
        <v>6</v>
      </c>
      <c r="P976" s="1">
        <v>7</v>
      </c>
      <c r="Q976" t="str">
        <f>IF(ISBLANK(Data[[#This Row],[Customer Rating]]),"No Rating",IF(Data[[#This Row],[Customer Rating]]&gt;=9,"Promoter",IF(Data[[#This Row],[Customer Rating]]&gt;=7,"Passive","Detractor")))</f>
        <v>Passive</v>
      </c>
    </row>
    <row r="977" spans="1:17" ht="14.25" customHeight="1" x14ac:dyDescent="0.3">
      <c r="A977" s="1" t="s">
        <v>1003</v>
      </c>
      <c r="B977" s="1" t="s">
        <v>19</v>
      </c>
      <c r="C977" s="1" t="s">
        <v>16</v>
      </c>
      <c r="D977" s="1" t="str">
        <f>IF(Data[[#This Row],[Cancellation Status]]="No", "High Potential", "Normal")</f>
        <v>Normal</v>
      </c>
      <c r="E977" s="2">
        <v>45943</v>
      </c>
      <c r="F977" s="2">
        <v>45946</v>
      </c>
      <c r="G977" s="2">
        <v>45950</v>
      </c>
      <c r="H977" s="2">
        <v>45955</v>
      </c>
      <c r="I977" s="1" t="s">
        <v>23</v>
      </c>
      <c r="J977" s="1" t="s">
        <v>26</v>
      </c>
      <c r="L977" s="88" t="str">
        <f>IF(OR(Data[[#This Row],[Service Follow-up Date]]="",Data[[#This Row],[Delivery Date]]=""),"",INT(Data[[#This Row],[Service Follow-up Date]]-Data[[#This Row],[Delivery Date]]))</f>
        <v/>
      </c>
      <c r="M977" s="1">
        <v>3</v>
      </c>
      <c r="N977" s="1">
        <v>4</v>
      </c>
      <c r="O977" s="1">
        <v>5</v>
      </c>
      <c r="Q977" t="str">
        <f>IF(ISBLANK(Data[[#This Row],[Customer Rating]]),"No Rating",IF(Data[[#This Row],[Customer Rating]]&gt;=9,"Promoter",IF(Data[[#This Row],[Customer Rating]]&gt;=7,"Passive","Detractor")))</f>
        <v>No Rating</v>
      </c>
    </row>
    <row r="978" spans="1:17" ht="14.25" customHeight="1" x14ac:dyDescent="0.3">
      <c r="A978" s="1" t="s">
        <v>1004</v>
      </c>
      <c r="B978" s="1" t="s">
        <v>32</v>
      </c>
      <c r="C978" s="1" t="s">
        <v>16</v>
      </c>
      <c r="D978" s="1" t="str">
        <f>IF(Data[[#This Row],[Cancellation Status]]="No", "High Potential", "Normal")</f>
        <v>Normal</v>
      </c>
      <c r="E978" s="2">
        <v>45950</v>
      </c>
      <c r="F978" s="2">
        <v>45954</v>
      </c>
      <c r="G978" s="2">
        <v>45957</v>
      </c>
      <c r="H978" s="2">
        <v>45961</v>
      </c>
      <c r="I978" s="1" t="s">
        <v>23</v>
      </c>
      <c r="J978" s="1" t="s">
        <v>101</v>
      </c>
      <c r="L978" s="88" t="str">
        <f>IF(OR(Data[[#This Row],[Service Follow-up Date]]="",Data[[#This Row],[Delivery Date]]=""),"",INT(Data[[#This Row],[Service Follow-up Date]]-Data[[#This Row],[Delivery Date]]))</f>
        <v/>
      </c>
      <c r="M978" s="1">
        <v>4</v>
      </c>
      <c r="N978" s="1">
        <v>3</v>
      </c>
      <c r="O978" s="1">
        <v>4</v>
      </c>
      <c r="Q978" t="str">
        <f>IF(ISBLANK(Data[[#This Row],[Customer Rating]]),"No Rating",IF(Data[[#This Row],[Customer Rating]]&gt;=9,"Promoter",IF(Data[[#This Row],[Customer Rating]]&gt;=7,"Passive","Detractor")))</f>
        <v>No Rating</v>
      </c>
    </row>
    <row r="979" spans="1:17" ht="14.25" customHeight="1" x14ac:dyDescent="0.3">
      <c r="A979" s="1" t="s">
        <v>1005</v>
      </c>
      <c r="B979" s="1" t="s">
        <v>21</v>
      </c>
      <c r="C979" s="1" t="s">
        <v>22</v>
      </c>
      <c r="D979" s="1" t="str">
        <f>IF(Data[[#This Row],[Cancellation Status]]="No", "High Potential", "Normal")</f>
        <v>Normal</v>
      </c>
      <c r="E979" s="2">
        <v>45947</v>
      </c>
      <c r="I979" s="1" t="s">
        <v>23</v>
      </c>
      <c r="J979" s="1" t="s">
        <v>63</v>
      </c>
      <c r="L979" s="88" t="str">
        <f>IF(OR(Data[[#This Row],[Service Follow-up Date]]="",Data[[#This Row],[Delivery Date]]=""),"",INT(Data[[#This Row],[Service Follow-up Date]]-Data[[#This Row],[Delivery Date]]))</f>
        <v/>
      </c>
      <c r="Q979" t="str">
        <f>IF(ISBLANK(Data[[#This Row],[Customer Rating]]),"No Rating",IF(Data[[#This Row],[Customer Rating]]&gt;=9,"Promoter",IF(Data[[#This Row],[Customer Rating]]&gt;=7,"Passive","Detractor")))</f>
        <v>No Rating</v>
      </c>
    </row>
    <row r="980" spans="1:17" ht="14.25" customHeight="1" x14ac:dyDescent="0.3">
      <c r="A980" s="1" t="s">
        <v>1006</v>
      </c>
      <c r="B980" s="1" t="s">
        <v>15</v>
      </c>
      <c r="C980" s="1" t="s">
        <v>16</v>
      </c>
      <c r="D980" s="1" t="str">
        <f>IF(Data[[#This Row],[Cancellation Status]]="No", "High Potential", "Normal")</f>
        <v>High Potential</v>
      </c>
      <c r="E980" s="2">
        <v>45940</v>
      </c>
      <c r="F980" s="2">
        <v>45945</v>
      </c>
      <c r="G980" s="2">
        <v>45946</v>
      </c>
      <c r="H980" s="2">
        <v>45949</v>
      </c>
      <c r="I980" s="1" t="s">
        <v>17</v>
      </c>
      <c r="K980" s="2">
        <v>45963</v>
      </c>
      <c r="L980" s="88">
        <f>IF(OR(Data[[#This Row],[Service Follow-up Date]]="",Data[[#This Row],[Delivery Date]]=""),"",INT(Data[[#This Row],[Service Follow-up Date]]-Data[[#This Row],[Delivery Date]]))</f>
        <v>14</v>
      </c>
      <c r="M980" s="1">
        <v>5</v>
      </c>
      <c r="N980" s="1">
        <v>1</v>
      </c>
      <c r="O980" s="1">
        <v>3</v>
      </c>
      <c r="P980" s="1">
        <v>8</v>
      </c>
      <c r="Q980" t="str">
        <f>IF(ISBLANK(Data[[#This Row],[Customer Rating]]),"No Rating",IF(Data[[#This Row],[Customer Rating]]&gt;=9,"Promoter",IF(Data[[#This Row],[Customer Rating]]&gt;=7,"Passive","Detractor")))</f>
        <v>Passive</v>
      </c>
    </row>
    <row r="981" spans="1:17" ht="14.25" customHeight="1" x14ac:dyDescent="0.3">
      <c r="A981" s="1" t="s">
        <v>1007</v>
      </c>
      <c r="B981" s="1" t="s">
        <v>32</v>
      </c>
      <c r="C981" s="1" t="s">
        <v>16</v>
      </c>
      <c r="D981" s="1" t="str">
        <f>IF(Data[[#This Row],[Cancellation Status]]="No", "High Potential", "Normal")</f>
        <v>High Potential</v>
      </c>
      <c r="E981" s="2">
        <v>45945</v>
      </c>
      <c r="F981" s="2">
        <v>45949</v>
      </c>
      <c r="G981" s="2">
        <v>45952</v>
      </c>
      <c r="H981" s="2">
        <v>45955</v>
      </c>
      <c r="I981" s="1" t="s">
        <v>17</v>
      </c>
      <c r="K981" s="2">
        <v>45980</v>
      </c>
      <c r="L981" s="88">
        <f>IF(OR(Data[[#This Row],[Service Follow-up Date]]="",Data[[#This Row],[Delivery Date]]=""),"",INT(Data[[#This Row],[Service Follow-up Date]]-Data[[#This Row],[Delivery Date]]))</f>
        <v>25</v>
      </c>
      <c r="M981" s="1">
        <v>4</v>
      </c>
      <c r="N981" s="1">
        <v>3</v>
      </c>
      <c r="O981" s="1">
        <v>3</v>
      </c>
      <c r="P981" s="1">
        <v>5</v>
      </c>
      <c r="Q981" t="str">
        <f>IF(ISBLANK(Data[[#This Row],[Customer Rating]]),"No Rating",IF(Data[[#This Row],[Customer Rating]]&gt;=9,"Promoter",IF(Data[[#This Row],[Customer Rating]]&gt;=7,"Passive","Detractor")))</f>
        <v>Detractor</v>
      </c>
    </row>
    <row r="982" spans="1:17" ht="14.25" customHeight="1" x14ac:dyDescent="0.3">
      <c r="A982" s="1" t="s">
        <v>1008</v>
      </c>
      <c r="B982" s="1" t="s">
        <v>21</v>
      </c>
      <c r="C982" s="1" t="s">
        <v>30</v>
      </c>
      <c r="D982" s="1" t="str">
        <f>IF(Data[[#This Row],[Cancellation Status]]="No", "High Potential", "Normal")</f>
        <v>High Potential</v>
      </c>
      <c r="E982" s="2">
        <v>45947</v>
      </c>
      <c r="F982" s="2">
        <v>45949</v>
      </c>
      <c r="G982" s="2">
        <v>45950</v>
      </c>
      <c r="H982" s="2">
        <v>45953</v>
      </c>
      <c r="I982" s="1" t="s">
        <v>17</v>
      </c>
      <c r="K982" s="2">
        <v>45978</v>
      </c>
      <c r="L982" s="88">
        <f>IF(OR(Data[[#This Row],[Service Follow-up Date]]="",Data[[#This Row],[Delivery Date]]=""),"",INT(Data[[#This Row],[Service Follow-up Date]]-Data[[#This Row],[Delivery Date]]))</f>
        <v>25</v>
      </c>
      <c r="M982" s="1">
        <v>2</v>
      </c>
      <c r="N982" s="1">
        <v>1</v>
      </c>
      <c r="O982" s="1">
        <v>3</v>
      </c>
      <c r="P982" s="1">
        <v>0</v>
      </c>
      <c r="Q982" t="str">
        <f>IF(ISBLANK(Data[[#This Row],[Customer Rating]]),"No Rating",IF(Data[[#This Row],[Customer Rating]]&gt;=9,"Promoter",IF(Data[[#This Row],[Customer Rating]]&gt;=7,"Passive","Detractor")))</f>
        <v>Detractor</v>
      </c>
    </row>
    <row r="983" spans="1:17" ht="14.25" customHeight="1" x14ac:dyDescent="0.3">
      <c r="A983" s="1" t="s">
        <v>1009</v>
      </c>
      <c r="B983" s="1" t="s">
        <v>21</v>
      </c>
      <c r="C983" s="1" t="s">
        <v>22</v>
      </c>
      <c r="D983" s="1" t="str">
        <f>IF(Data[[#This Row],[Cancellation Status]]="No", "High Potential", "Normal")</f>
        <v>Normal</v>
      </c>
      <c r="E983" s="2">
        <v>45950</v>
      </c>
      <c r="I983" s="1" t="s">
        <v>23</v>
      </c>
      <c r="J983" s="1" t="s">
        <v>24</v>
      </c>
      <c r="L983" s="88" t="str">
        <f>IF(OR(Data[[#This Row],[Service Follow-up Date]]="",Data[[#This Row],[Delivery Date]]=""),"",INT(Data[[#This Row],[Service Follow-up Date]]-Data[[#This Row],[Delivery Date]]))</f>
        <v/>
      </c>
      <c r="Q983" t="str">
        <f>IF(ISBLANK(Data[[#This Row],[Customer Rating]]),"No Rating",IF(Data[[#This Row],[Customer Rating]]&gt;=9,"Promoter",IF(Data[[#This Row],[Customer Rating]]&gt;=7,"Passive","Detractor")))</f>
        <v>No Rating</v>
      </c>
    </row>
    <row r="984" spans="1:17" ht="14.25" customHeight="1" x14ac:dyDescent="0.3">
      <c r="A984" s="1" t="s">
        <v>1010</v>
      </c>
      <c r="B984" s="1" t="s">
        <v>15</v>
      </c>
      <c r="C984" s="1" t="s">
        <v>22</v>
      </c>
      <c r="D984" s="1" t="str">
        <f>IF(Data[[#This Row],[Cancellation Status]]="No", "High Potential", "Normal")</f>
        <v>Normal</v>
      </c>
      <c r="E984" s="2">
        <v>45944</v>
      </c>
      <c r="I984" s="1" t="s">
        <v>23</v>
      </c>
      <c r="J984" s="1" t="s">
        <v>63</v>
      </c>
      <c r="L984" s="88" t="str">
        <f>IF(OR(Data[[#This Row],[Service Follow-up Date]]="",Data[[#This Row],[Delivery Date]]=""),"",INT(Data[[#This Row],[Service Follow-up Date]]-Data[[#This Row],[Delivery Date]]))</f>
        <v/>
      </c>
      <c r="Q984" t="str">
        <f>IF(ISBLANK(Data[[#This Row],[Customer Rating]]),"No Rating",IF(Data[[#This Row],[Customer Rating]]&gt;=9,"Promoter",IF(Data[[#This Row],[Customer Rating]]&gt;=7,"Passive","Detractor")))</f>
        <v>No Rating</v>
      </c>
    </row>
    <row r="985" spans="1:17" ht="14.25" customHeight="1" x14ac:dyDescent="0.3">
      <c r="A985" s="1" t="s">
        <v>1011</v>
      </c>
      <c r="B985" s="1" t="s">
        <v>15</v>
      </c>
      <c r="C985" s="1" t="s">
        <v>16</v>
      </c>
      <c r="D985" s="1" t="str">
        <f>IF(Data[[#This Row],[Cancellation Status]]="No", "High Potential", "Normal")</f>
        <v>High Potential</v>
      </c>
      <c r="E985" s="2">
        <v>45934</v>
      </c>
      <c r="F985" s="2">
        <v>45939</v>
      </c>
      <c r="G985" s="2">
        <v>45940</v>
      </c>
      <c r="H985" s="2">
        <v>45946</v>
      </c>
      <c r="I985" s="1" t="s">
        <v>17</v>
      </c>
      <c r="K985" s="2">
        <v>45959</v>
      </c>
      <c r="L985" s="88">
        <f>IF(OR(Data[[#This Row],[Service Follow-up Date]]="",Data[[#This Row],[Delivery Date]]=""),"",INT(Data[[#This Row],[Service Follow-up Date]]-Data[[#This Row],[Delivery Date]]))</f>
        <v>13</v>
      </c>
      <c r="M985" s="1">
        <v>5</v>
      </c>
      <c r="N985" s="1">
        <v>1</v>
      </c>
      <c r="O985" s="1">
        <v>6</v>
      </c>
      <c r="P985" s="1">
        <v>2</v>
      </c>
      <c r="Q985" t="str">
        <f>IF(ISBLANK(Data[[#This Row],[Customer Rating]]),"No Rating",IF(Data[[#This Row],[Customer Rating]]&gt;=9,"Promoter",IF(Data[[#This Row],[Customer Rating]]&gt;=7,"Passive","Detractor")))</f>
        <v>Detractor</v>
      </c>
    </row>
    <row r="986" spans="1:17" ht="14.25" customHeight="1" x14ac:dyDescent="0.3">
      <c r="A986" s="1" t="s">
        <v>1012</v>
      </c>
      <c r="B986" s="1" t="s">
        <v>15</v>
      </c>
      <c r="C986" s="1" t="s">
        <v>30</v>
      </c>
      <c r="D986" s="1" t="str">
        <f>IF(Data[[#This Row],[Cancellation Status]]="No", "High Potential", "Normal")</f>
        <v>High Potential</v>
      </c>
      <c r="E986" s="2">
        <v>45956</v>
      </c>
      <c r="F986" s="2">
        <v>45961</v>
      </c>
      <c r="G986" s="2">
        <v>45962</v>
      </c>
      <c r="H986" s="2">
        <v>45966</v>
      </c>
      <c r="I986" s="1" t="s">
        <v>17</v>
      </c>
      <c r="K986" s="2">
        <v>45989</v>
      </c>
      <c r="L986" s="88">
        <f>IF(OR(Data[[#This Row],[Service Follow-up Date]]="",Data[[#This Row],[Delivery Date]]=""),"",INT(Data[[#This Row],[Service Follow-up Date]]-Data[[#This Row],[Delivery Date]]))</f>
        <v>23</v>
      </c>
      <c r="M986" s="1">
        <v>5</v>
      </c>
      <c r="N986" s="1">
        <v>1</v>
      </c>
      <c r="O986" s="1">
        <v>4</v>
      </c>
      <c r="P986" s="1">
        <v>2</v>
      </c>
      <c r="Q986" t="str">
        <f>IF(ISBLANK(Data[[#This Row],[Customer Rating]]),"No Rating",IF(Data[[#This Row],[Customer Rating]]&gt;=9,"Promoter",IF(Data[[#This Row],[Customer Rating]]&gt;=7,"Passive","Detractor")))</f>
        <v>Detractor</v>
      </c>
    </row>
    <row r="987" spans="1:17" ht="14.25" customHeight="1" x14ac:dyDescent="0.3">
      <c r="A987" s="1" t="s">
        <v>1013</v>
      </c>
      <c r="B987" s="1" t="s">
        <v>19</v>
      </c>
      <c r="C987" s="1" t="s">
        <v>30</v>
      </c>
      <c r="D987" s="1" t="str">
        <f>IF(Data[[#This Row],[Cancellation Status]]="No", "High Potential", "Normal")</f>
        <v>High Potential</v>
      </c>
      <c r="E987" s="2">
        <v>45953</v>
      </c>
      <c r="F987" s="2">
        <v>45955</v>
      </c>
      <c r="G987" s="2">
        <v>45958</v>
      </c>
      <c r="H987" s="2">
        <v>45965</v>
      </c>
      <c r="I987" s="1" t="s">
        <v>17</v>
      </c>
      <c r="K987" s="2">
        <v>45989</v>
      </c>
      <c r="L987" s="88">
        <f>IF(OR(Data[[#This Row],[Service Follow-up Date]]="",Data[[#This Row],[Delivery Date]]=""),"",INT(Data[[#This Row],[Service Follow-up Date]]-Data[[#This Row],[Delivery Date]]))</f>
        <v>24</v>
      </c>
      <c r="M987" s="1">
        <v>2</v>
      </c>
      <c r="N987" s="1">
        <v>3</v>
      </c>
      <c r="O987" s="1">
        <v>7</v>
      </c>
      <c r="P987" s="1">
        <v>7</v>
      </c>
      <c r="Q987" t="str">
        <f>IF(ISBLANK(Data[[#This Row],[Customer Rating]]),"No Rating",IF(Data[[#This Row],[Customer Rating]]&gt;=9,"Promoter",IF(Data[[#This Row],[Customer Rating]]&gt;=7,"Passive","Detractor")))</f>
        <v>Passive</v>
      </c>
    </row>
    <row r="988" spans="1:17" ht="14.25" customHeight="1" x14ac:dyDescent="0.3">
      <c r="A988" s="1" t="s">
        <v>1014</v>
      </c>
      <c r="B988" s="1" t="s">
        <v>15</v>
      </c>
      <c r="C988" s="1" t="s">
        <v>30</v>
      </c>
      <c r="D988" s="1" t="str">
        <f>IF(Data[[#This Row],[Cancellation Status]]="No", "High Potential", "Normal")</f>
        <v>High Potential</v>
      </c>
      <c r="E988" s="2">
        <v>45934</v>
      </c>
      <c r="F988" s="2">
        <v>45937</v>
      </c>
      <c r="G988" s="2">
        <v>45938</v>
      </c>
      <c r="H988" s="2">
        <v>45945</v>
      </c>
      <c r="I988" s="1" t="s">
        <v>17</v>
      </c>
      <c r="K988" s="2">
        <v>45956</v>
      </c>
      <c r="L988" s="88">
        <f>IF(OR(Data[[#This Row],[Service Follow-up Date]]="",Data[[#This Row],[Delivery Date]]=""),"",INT(Data[[#This Row],[Service Follow-up Date]]-Data[[#This Row],[Delivery Date]]))</f>
        <v>11</v>
      </c>
      <c r="M988" s="1">
        <v>3</v>
      </c>
      <c r="N988" s="1">
        <v>1</v>
      </c>
      <c r="O988" s="1">
        <v>7</v>
      </c>
      <c r="P988" s="1">
        <v>8</v>
      </c>
      <c r="Q988" t="str">
        <f>IF(ISBLANK(Data[[#This Row],[Customer Rating]]),"No Rating",IF(Data[[#This Row],[Customer Rating]]&gt;=9,"Promoter",IF(Data[[#This Row],[Customer Rating]]&gt;=7,"Passive","Detractor")))</f>
        <v>Passive</v>
      </c>
    </row>
    <row r="989" spans="1:17" ht="14.25" customHeight="1" x14ac:dyDescent="0.3">
      <c r="A989" s="1" t="s">
        <v>1015</v>
      </c>
      <c r="B989" s="1" t="s">
        <v>21</v>
      </c>
      <c r="C989" s="1" t="s">
        <v>30</v>
      </c>
      <c r="D989" s="1" t="str">
        <f>IF(Data[[#This Row],[Cancellation Status]]="No", "High Potential", "Normal")</f>
        <v>High Potential</v>
      </c>
      <c r="E989" s="2">
        <v>45958</v>
      </c>
      <c r="F989" s="2">
        <v>45963</v>
      </c>
      <c r="G989" s="2">
        <v>45965</v>
      </c>
      <c r="H989" s="2">
        <v>45969</v>
      </c>
      <c r="I989" s="1" t="s">
        <v>17</v>
      </c>
      <c r="K989" s="2">
        <v>45981</v>
      </c>
      <c r="L989" s="88">
        <f>IF(OR(Data[[#This Row],[Service Follow-up Date]]="",Data[[#This Row],[Delivery Date]]=""),"",INT(Data[[#This Row],[Service Follow-up Date]]-Data[[#This Row],[Delivery Date]]))</f>
        <v>12</v>
      </c>
      <c r="M989" s="1">
        <v>5</v>
      </c>
      <c r="N989" s="1">
        <v>2</v>
      </c>
      <c r="O989" s="1">
        <v>4</v>
      </c>
      <c r="P989" s="1">
        <v>0</v>
      </c>
      <c r="Q989" t="str">
        <f>IF(ISBLANK(Data[[#This Row],[Customer Rating]]),"No Rating",IF(Data[[#This Row],[Customer Rating]]&gt;=9,"Promoter",IF(Data[[#This Row],[Customer Rating]]&gt;=7,"Passive","Detractor")))</f>
        <v>Detractor</v>
      </c>
    </row>
    <row r="990" spans="1:17" ht="14.25" customHeight="1" x14ac:dyDescent="0.3">
      <c r="A990" s="1" t="s">
        <v>1016</v>
      </c>
      <c r="B990" s="1" t="s">
        <v>15</v>
      </c>
      <c r="C990" s="1" t="s">
        <v>16</v>
      </c>
      <c r="D990" s="1" t="str">
        <f>IF(Data[[#This Row],[Cancellation Status]]="No", "High Potential", "Normal")</f>
        <v>High Potential</v>
      </c>
      <c r="E990" s="2">
        <v>45951</v>
      </c>
      <c r="F990" s="2">
        <v>45954</v>
      </c>
      <c r="G990" s="2">
        <v>45956</v>
      </c>
      <c r="H990" s="2">
        <v>45962</v>
      </c>
      <c r="I990" s="1" t="s">
        <v>17</v>
      </c>
      <c r="K990" s="2">
        <v>45980</v>
      </c>
      <c r="L990" s="88">
        <f>IF(OR(Data[[#This Row],[Service Follow-up Date]]="",Data[[#This Row],[Delivery Date]]=""),"",INT(Data[[#This Row],[Service Follow-up Date]]-Data[[#This Row],[Delivery Date]]))</f>
        <v>18</v>
      </c>
      <c r="M990" s="1">
        <v>3</v>
      </c>
      <c r="N990" s="1">
        <v>2</v>
      </c>
      <c r="O990" s="1">
        <v>6</v>
      </c>
      <c r="P990" s="1">
        <v>4</v>
      </c>
      <c r="Q990" t="str">
        <f>IF(ISBLANK(Data[[#This Row],[Customer Rating]]),"No Rating",IF(Data[[#This Row],[Customer Rating]]&gt;=9,"Promoter",IF(Data[[#This Row],[Customer Rating]]&gt;=7,"Passive","Detractor")))</f>
        <v>Detractor</v>
      </c>
    </row>
    <row r="991" spans="1:17" ht="14.25" customHeight="1" x14ac:dyDescent="0.3">
      <c r="A991" s="1" t="s">
        <v>1017</v>
      </c>
      <c r="B991" s="1" t="s">
        <v>21</v>
      </c>
      <c r="C991" s="1" t="s">
        <v>22</v>
      </c>
      <c r="D991" s="1" t="str">
        <f>IF(Data[[#This Row],[Cancellation Status]]="No", "High Potential", "Normal")</f>
        <v>Normal</v>
      </c>
      <c r="E991" s="2">
        <v>45951</v>
      </c>
      <c r="I991" s="1" t="s">
        <v>23</v>
      </c>
      <c r="J991" s="1" t="s">
        <v>26</v>
      </c>
      <c r="L991" s="88" t="str">
        <f>IF(OR(Data[[#This Row],[Service Follow-up Date]]="",Data[[#This Row],[Delivery Date]]=""),"",INT(Data[[#This Row],[Service Follow-up Date]]-Data[[#This Row],[Delivery Date]]))</f>
        <v/>
      </c>
      <c r="Q991" t="str">
        <f>IF(ISBLANK(Data[[#This Row],[Customer Rating]]),"No Rating",IF(Data[[#This Row],[Customer Rating]]&gt;=9,"Promoter",IF(Data[[#This Row],[Customer Rating]]&gt;=7,"Passive","Detractor")))</f>
        <v>No Rating</v>
      </c>
    </row>
    <row r="992" spans="1:17" ht="14.25" customHeight="1" x14ac:dyDescent="0.3">
      <c r="A992" s="1" t="s">
        <v>1018</v>
      </c>
      <c r="B992" s="1" t="s">
        <v>32</v>
      </c>
      <c r="C992" s="1" t="s">
        <v>16</v>
      </c>
      <c r="D992" s="1" t="str">
        <f>IF(Data[[#This Row],[Cancellation Status]]="No", "High Potential", "Normal")</f>
        <v>High Potential</v>
      </c>
      <c r="E992" s="2">
        <v>45959</v>
      </c>
      <c r="F992" s="2">
        <v>45961</v>
      </c>
      <c r="G992" s="2">
        <v>45966</v>
      </c>
      <c r="H992" s="2">
        <v>45968</v>
      </c>
      <c r="I992" s="1" t="s">
        <v>17</v>
      </c>
      <c r="K992" s="2">
        <v>45998</v>
      </c>
      <c r="L992" s="88">
        <f>IF(OR(Data[[#This Row],[Service Follow-up Date]]="",Data[[#This Row],[Delivery Date]]=""),"",INT(Data[[#This Row],[Service Follow-up Date]]-Data[[#This Row],[Delivery Date]]))</f>
        <v>30</v>
      </c>
      <c r="M992" s="1">
        <v>2</v>
      </c>
      <c r="N992" s="1">
        <v>5</v>
      </c>
      <c r="O992" s="1">
        <v>2</v>
      </c>
      <c r="P992" s="1">
        <v>6</v>
      </c>
      <c r="Q992" t="str">
        <f>IF(ISBLANK(Data[[#This Row],[Customer Rating]]),"No Rating",IF(Data[[#This Row],[Customer Rating]]&gt;=9,"Promoter",IF(Data[[#This Row],[Customer Rating]]&gt;=7,"Passive","Detractor")))</f>
        <v>Detractor</v>
      </c>
    </row>
    <row r="993" spans="1:17" ht="14.25" customHeight="1" x14ac:dyDescent="0.3">
      <c r="A993" s="1" t="s">
        <v>1019</v>
      </c>
      <c r="B993" s="1" t="s">
        <v>19</v>
      </c>
      <c r="C993" s="1" t="s">
        <v>30</v>
      </c>
      <c r="D993" s="1" t="str">
        <f>IF(Data[[#This Row],[Cancellation Status]]="No", "High Potential", "Normal")</f>
        <v>High Potential</v>
      </c>
      <c r="E993" s="2">
        <v>45955</v>
      </c>
      <c r="F993" s="2">
        <v>45959</v>
      </c>
      <c r="G993" s="2">
        <v>45961</v>
      </c>
      <c r="H993" s="2">
        <v>45968</v>
      </c>
      <c r="I993" s="1" t="s">
        <v>17</v>
      </c>
      <c r="K993" s="2">
        <v>45988</v>
      </c>
      <c r="L993" s="88">
        <f>IF(OR(Data[[#This Row],[Service Follow-up Date]]="",Data[[#This Row],[Delivery Date]]=""),"",INT(Data[[#This Row],[Service Follow-up Date]]-Data[[#This Row],[Delivery Date]]))</f>
        <v>20</v>
      </c>
      <c r="M993" s="1">
        <v>4</v>
      </c>
      <c r="N993" s="1">
        <v>2</v>
      </c>
      <c r="O993" s="1">
        <v>7</v>
      </c>
      <c r="P993" s="1">
        <v>3</v>
      </c>
      <c r="Q993" t="str">
        <f>IF(ISBLANK(Data[[#This Row],[Customer Rating]]),"No Rating",IF(Data[[#This Row],[Customer Rating]]&gt;=9,"Promoter",IF(Data[[#This Row],[Customer Rating]]&gt;=7,"Passive","Detractor")))</f>
        <v>Detractor</v>
      </c>
    </row>
    <row r="994" spans="1:17" ht="14.25" customHeight="1" x14ac:dyDescent="0.3">
      <c r="A994" s="1" t="s">
        <v>1020</v>
      </c>
      <c r="B994" s="1" t="s">
        <v>32</v>
      </c>
      <c r="C994" s="1" t="s">
        <v>30</v>
      </c>
      <c r="D994" s="1" t="str">
        <f>IF(Data[[#This Row],[Cancellation Status]]="No", "High Potential", "Normal")</f>
        <v>High Potential</v>
      </c>
      <c r="E994" s="2">
        <v>45948</v>
      </c>
      <c r="F994" s="2">
        <v>45953</v>
      </c>
      <c r="G994" s="2">
        <v>45958</v>
      </c>
      <c r="H994" s="2">
        <v>45965</v>
      </c>
      <c r="I994" s="1" t="s">
        <v>17</v>
      </c>
      <c r="K994" s="2">
        <v>45975</v>
      </c>
      <c r="L994" s="88">
        <f>IF(OR(Data[[#This Row],[Service Follow-up Date]]="",Data[[#This Row],[Delivery Date]]=""),"",INT(Data[[#This Row],[Service Follow-up Date]]-Data[[#This Row],[Delivery Date]]))</f>
        <v>10</v>
      </c>
      <c r="M994" s="1">
        <v>5</v>
      </c>
      <c r="N994" s="1">
        <v>5</v>
      </c>
      <c r="O994" s="1">
        <v>7</v>
      </c>
      <c r="P994" s="1">
        <v>5</v>
      </c>
      <c r="Q994" t="str">
        <f>IF(ISBLANK(Data[[#This Row],[Customer Rating]]),"No Rating",IF(Data[[#This Row],[Customer Rating]]&gt;=9,"Promoter",IF(Data[[#This Row],[Customer Rating]]&gt;=7,"Passive","Detractor")))</f>
        <v>Detractor</v>
      </c>
    </row>
    <row r="995" spans="1:17" ht="14.25" customHeight="1" x14ac:dyDescent="0.3">
      <c r="A995" s="1" t="s">
        <v>1021</v>
      </c>
      <c r="B995" s="1" t="s">
        <v>32</v>
      </c>
      <c r="C995" s="1" t="s">
        <v>30</v>
      </c>
      <c r="D995" s="1" t="str">
        <f>IF(Data[[#This Row],[Cancellation Status]]="No", "High Potential", "Normal")</f>
        <v>High Potential</v>
      </c>
      <c r="E995" s="2">
        <v>45954</v>
      </c>
      <c r="F995" s="2">
        <v>45957</v>
      </c>
      <c r="G995" s="2">
        <v>45959</v>
      </c>
      <c r="H995" s="2">
        <v>45963</v>
      </c>
      <c r="I995" s="1" t="s">
        <v>17</v>
      </c>
      <c r="K995" s="2">
        <v>45989</v>
      </c>
      <c r="L995" s="88">
        <f>IF(OR(Data[[#This Row],[Service Follow-up Date]]="",Data[[#This Row],[Delivery Date]]=""),"",INT(Data[[#This Row],[Service Follow-up Date]]-Data[[#This Row],[Delivery Date]]))</f>
        <v>26</v>
      </c>
      <c r="M995" s="1">
        <v>3</v>
      </c>
      <c r="N995" s="1">
        <v>2</v>
      </c>
      <c r="O995" s="1">
        <v>4</v>
      </c>
      <c r="P995" s="1">
        <v>7</v>
      </c>
      <c r="Q995" t="str">
        <f>IF(ISBLANK(Data[[#This Row],[Customer Rating]]),"No Rating",IF(Data[[#This Row],[Customer Rating]]&gt;=9,"Promoter",IF(Data[[#This Row],[Customer Rating]]&gt;=7,"Passive","Detractor")))</f>
        <v>Passive</v>
      </c>
    </row>
    <row r="996" spans="1:17" ht="14.25" customHeight="1" x14ac:dyDescent="0.3">
      <c r="A996" s="1" t="s">
        <v>1022</v>
      </c>
      <c r="B996" s="1" t="s">
        <v>21</v>
      </c>
      <c r="C996" s="1" t="s">
        <v>30</v>
      </c>
      <c r="D996" s="1" t="str">
        <f>IF(Data[[#This Row],[Cancellation Status]]="No", "High Potential", "Normal")</f>
        <v>High Potential</v>
      </c>
      <c r="E996" s="2">
        <v>45958</v>
      </c>
      <c r="F996" s="2">
        <v>45963</v>
      </c>
      <c r="G996" s="2">
        <v>45966</v>
      </c>
      <c r="H996" s="2">
        <v>45972</v>
      </c>
      <c r="I996" s="1" t="s">
        <v>17</v>
      </c>
      <c r="K996" s="2">
        <v>46000</v>
      </c>
      <c r="L996" s="88">
        <f>IF(OR(Data[[#This Row],[Service Follow-up Date]]="",Data[[#This Row],[Delivery Date]]=""),"",INT(Data[[#This Row],[Service Follow-up Date]]-Data[[#This Row],[Delivery Date]]))</f>
        <v>28</v>
      </c>
      <c r="M996" s="1">
        <v>5</v>
      </c>
      <c r="N996" s="1">
        <v>3</v>
      </c>
      <c r="O996" s="1">
        <v>6</v>
      </c>
      <c r="P996" s="1">
        <v>1</v>
      </c>
      <c r="Q996" t="str">
        <f>IF(ISBLANK(Data[[#This Row],[Customer Rating]]),"No Rating",IF(Data[[#This Row],[Customer Rating]]&gt;=9,"Promoter",IF(Data[[#This Row],[Customer Rating]]&gt;=7,"Passive","Detractor")))</f>
        <v>Detractor</v>
      </c>
    </row>
    <row r="997" spans="1:17" ht="14.25" customHeight="1" x14ac:dyDescent="0.3">
      <c r="A997" s="1" t="s">
        <v>1023</v>
      </c>
      <c r="B997" s="1" t="s">
        <v>32</v>
      </c>
      <c r="C997" s="1" t="s">
        <v>30</v>
      </c>
      <c r="D997" s="1" t="str">
        <f>IF(Data[[#This Row],[Cancellation Status]]="No", "High Potential", "Normal")</f>
        <v>High Potential</v>
      </c>
      <c r="E997" s="2">
        <v>45937</v>
      </c>
      <c r="F997" s="2">
        <v>45940</v>
      </c>
      <c r="G997" s="2">
        <v>45945</v>
      </c>
      <c r="H997" s="2">
        <v>45951</v>
      </c>
      <c r="I997" s="1" t="s">
        <v>17</v>
      </c>
      <c r="K997" s="2">
        <v>45979</v>
      </c>
      <c r="L997" s="88">
        <f>IF(OR(Data[[#This Row],[Service Follow-up Date]]="",Data[[#This Row],[Delivery Date]]=""),"",INT(Data[[#This Row],[Service Follow-up Date]]-Data[[#This Row],[Delivery Date]]))</f>
        <v>28</v>
      </c>
      <c r="M997" s="1">
        <v>3</v>
      </c>
      <c r="N997" s="1">
        <v>5</v>
      </c>
      <c r="O997" s="1">
        <v>6</v>
      </c>
      <c r="P997" s="1">
        <v>5</v>
      </c>
      <c r="Q997" t="str">
        <f>IF(ISBLANK(Data[[#This Row],[Customer Rating]]),"No Rating",IF(Data[[#This Row],[Customer Rating]]&gt;=9,"Promoter",IF(Data[[#This Row],[Customer Rating]]&gt;=7,"Passive","Detractor")))</f>
        <v>Detractor</v>
      </c>
    </row>
    <row r="998" spans="1:17" ht="14.25" customHeight="1" x14ac:dyDescent="0.3">
      <c r="A998" s="1" t="s">
        <v>1024</v>
      </c>
      <c r="B998" s="1" t="s">
        <v>21</v>
      </c>
      <c r="C998" s="1" t="s">
        <v>30</v>
      </c>
      <c r="D998" s="1" t="str">
        <f>IF(Data[[#This Row],[Cancellation Status]]="No", "High Potential", "Normal")</f>
        <v>High Potential</v>
      </c>
      <c r="E998" s="2">
        <v>45944</v>
      </c>
      <c r="F998" s="2">
        <v>45949</v>
      </c>
      <c r="G998" s="2">
        <v>45953</v>
      </c>
      <c r="H998" s="2">
        <v>45956</v>
      </c>
      <c r="I998" s="1" t="s">
        <v>17</v>
      </c>
      <c r="K998" s="2">
        <v>45973</v>
      </c>
      <c r="L998" s="88">
        <f>IF(OR(Data[[#This Row],[Service Follow-up Date]]="",Data[[#This Row],[Delivery Date]]=""),"",INT(Data[[#This Row],[Service Follow-up Date]]-Data[[#This Row],[Delivery Date]]))</f>
        <v>17</v>
      </c>
      <c r="M998" s="1">
        <v>5</v>
      </c>
      <c r="N998" s="1">
        <v>4</v>
      </c>
      <c r="O998" s="1">
        <v>3</v>
      </c>
      <c r="P998" s="1">
        <v>7</v>
      </c>
      <c r="Q998" t="str">
        <f>IF(ISBLANK(Data[[#This Row],[Customer Rating]]),"No Rating",IF(Data[[#This Row],[Customer Rating]]&gt;=9,"Promoter",IF(Data[[#This Row],[Customer Rating]]&gt;=7,"Passive","Detractor")))</f>
        <v>Passive</v>
      </c>
    </row>
    <row r="999" spans="1:17" ht="14.25" customHeight="1" x14ac:dyDescent="0.3">
      <c r="A999" s="1" t="s">
        <v>1025</v>
      </c>
      <c r="B999" s="1" t="s">
        <v>15</v>
      </c>
      <c r="C999" s="1" t="s">
        <v>16</v>
      </c>
      <c r="D999" s="1" t="str">
        <f>IF(Data[[#This Row],[Cancellation Status]]="No", "High Potential", "Normal")</f>
        <v>High Potential</v>
      </c>
      <c r="E999" s="2">
        <v>45945</v>
      </c>
      <c r="F999" s="2">
        <v>45950</v>
      </c>
      <c r="G999" s="2">
        <v>45954</v>
      </c>
      <c r="H999" s="2">
        <v>45960</v>
      </c>
      <c r="I999" s="1" t="s">
        <v>17</v>
      </c>
      <c r="K999" s="2">
        <v>45980</v>
      </c>
      <c r="L999" s="88">
        <f>IF(OR(Data[[#This Row],[Service Follow-up Date]]="",Data[[#This Row],[Delivery Date]]=""),"",INT(Data[[#This Row],[Service Follow-up Date]]-Data[[#This Row],[Delivery Date]]))</f>
        <v>20</v>
      </c>
      <c r="M999" s="1">
        <v>5</v>
      </c>
      <c r="N999" s="1">
        <v>4</v>
      </c>
      <c r="O999" s="1">
        <v>6</v>
      </c>
      <c r="P999" s="1">
        <v>3</v>
      </c>
      <c r="Q999" t="str">
        <f>IF(ISBLANK(Data[[#This Row],[Customer Rating]]),"No Rating",IF(Data[[#This Row],[Customer Rating]]&gt;=9,"Promoter",IF(Data[[#This Row],[Customer Rating]]&gt;=7,"Passive","Detractor")))</f>
        <v>Detractor</v>
      </c>
    </row>
    <row r="1000" spans="1:17" ht="14.25" customHeight="1" x14ac:dyDescent="0.3">
      <c r="A1000" s="1" t="s">
        <v>1026</v>
      </c>
      <c r="B1000" s="1" t="s">
        <v>15</v>
      </c>
      <c r="C1000" s="1" t="s">
        <v>22</v>
      </c>
      <c r="D1000" s="1" t="str">
        <f>IF(Data[[#This Row],[Cancellation Status]]="No", "High Potential", "Normal")</f>
        <v>Normal</v>
      </c>
      <c r="E1000" s="2">
        <v>45959</v>
      </c>
      <c r="I1000" s="1" t="s">
        <v>23</v>
      </c>
      <c r="J1000" s="1" t="s">
        <v>33</v>
      </c>
      <c r="L1000" s="88" t="str">
        <f>IF(OR(Data[[#This Row],[Service Follow-up Date]]="",Data[[#This Row],[Delivery Date]]=""),"",INT(Data[[#This Row],[Service Follow-up Date]]-Data[[#This Row],[Delivery Date]]))</f>
        <v/>
      </c>
      <c r="Q1000" t="str">
        <f>IF(ISBLANK(Data[[#This Row],[Customer Rating]]),"No Rating",IF(Data[[#This Row],[Customer Rating]]&gt;=9,"Promoter",IF(Data[[#This Row],[Customer Rating]]&gt;=7,"Passive","Detractor")))</f>
        <v>No Rating</v>
      </c>
    </row>
    <row r="1001" spans="1:17" ht="14.25" customHeight="1" x14ac:dyDescent="0.3">
      <c r="A1001" s="1" t="s">
        <v>1027</v>
      </c>
      <c r="B1001" s="1" t="s">
        <v>21</v>
      </c>
      <c r="C1001" s="1" t="s">
        <v>16</v>
      </c>
      <c r="D1001" s="1" t="str">
        <f>IF(Data[[#This Row],[Cancellation Status]]="No", "High Potential", "Normal")</f>
        <v>High Potential</v>
      </c>
      <c r="E1001" s="2">
        <v>45938</v>
      </c>
      <c r="F1001" s="2">
        <v>45943</v>
      </c>
      <c r="G1001" s="2">
        <v>45945</v>
      </c>
      <c r="H1001" s="2">
        <v>45948</v>
      </c>
      <c r="I1001" s="1" t="s">
        <v>17</v>
      </c>
      <c r="K1001" s="2">
        <v>45974</v>
      </c>
      <c r="L1001" s="88">
        <f>IF(OR(Data[[#This Row],[Service Follow-up Date]]="",Data[[#This Row],[Delivery Date]]=""),"",INT(Data[[#This Row],[Service Follow-up Date]]-Data[[#This Row],[Delivery Date]]))</f>
        <v>26</v>
      </c>
      <c r="M1001" s="1">
        <v>5</v>
      </c>
      <c r="N1001" s="1">
        <v>2</v>
      </c>
      <c r="O1001" s="1">
        <v>3</v>
      </c>
      <c r="P1001" s="1">
        <v>4</v>
      </c>
      <c r="Q1001" t="str">
        <f>IF(ISBLANK(Data[[#This Row],[Customer Rating]]),"No Rating",IF(Data[[#This Row],[Customer Rating]]&gt;=9,"Promoter",IF(Data[[#This Row],[Customer Rating]]&gt;=7,"Passive","Detractor")))</f>
        <v>Detractor</v>
      </c>
    </row>
  </sheetData>
  <conditionalFormatting sqref="D1:D1048576">
    <cfRule type="containsText" dxfId="0" priority="1" operator="containsText" text="high">
      <formula>NOT(ISERROR(SEARCH("high",D1)))</formula>
    </cfRule>
  </conditionalFormatting>
  <pageMargins left="0.7" right="0.7" top="0.75" bottom="0.75" header="0" footer="0"/>
  <pageSetup orientation="landscape"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0309D0-5058-4287-9D3C-9F3509FF5EBD}">
  <sheetPr>
    <tabColor rgb="FFFFFF00"/>
  </sheetPr>
  <dimension ref="A1:N187"/>
  <sheetViews>
    <sheetView zoomScale="84" zoomScaleNormal="48" workbookViewId="0">
      <selection activeCell="A4" sqref="A4"/>
    </sheetView>
  </sheetViews>
  <sheetFormatPr defaultColWidth="20.77734375" defaultRowHeight="14.4" x14ac:dyDescent="0.3"/>
  <cols>
    <col min="1" max="1" width="15.44140625" bestFit="1" customWidth="1"/>
    <col min="2" max="2" width="30.88671875" bestFit="1" customWidth="1"/>
    <col min="3" max="3" width="27.33203125" bestFit="1" customWidth="1"/>
    <col min="4" max="4" width="28.109375" bestFit="1" customWidth="1"/>
    <col min="5" max="5" width="32.6640625" bestFit="1" customWidth="1"/>
    <col min="6" max="6" width="26.5546875" bestFit="1" customWidth="1"/>
    <col min="7" max="7" width="5" bestFit="1" customWidth="1"/>
    <col min="8" max="8" width="10.6640625" bestFit="1" customWidth="1"/>
  </cols>
  <sheetData>
    <row r="1" spans="2:6" ht="15" thickBot="1" x14ac:dyDescent="0.35"/>
    <row r="2" spans="2:6" ht="36.6" customHeight="1" x14ac:dyDescent="0.4">
      <c r="B2" s="121" t="s">
        <v>1076</v>
      </c>
      <c r="C2" s="122"/>
      <c r="D2" s="123"/>
    </row>
    <row r="3" spans="2:6" x14ac:dyDescent="0.3">
      <c r="B3" s="22"/>
      <c r="D3" s="23"/>
    </row>
    <row r="4" spans="2:6" x14ac:dyDescent="0.3">
      <c r="B4" s="22"/>
      <c r="D4" s="23"/>
    </row>
    <row r="5" spans="2:6" x14ac:dyDescent="0.3">
      <c r="B5" s="22"/>
      <c r="D5" s="23"/>
    </row>
    <row r="6" spans="2:6" x14ac:dyDescent="0.3">
      <c r="B6" s="22"/>
      <c r="D6" s="23"/>
    </row>
    <row r="7" spans="2:6" x14ac:dyDescent="0.3">
      <c r="B7" s="22"/>
      <c r="D7" s="23"/>
    </row>
    <row r="8" spans="2:6" x14ac:dyDescent="0.3">
      <c r="B8" s="22" t="s">
        <v>1028</v>
      </c>
      <c r="C8" t="s">
        <v>1029</v>
      </c>
      <c r="D8" s="23" t="s">
        <v>1038</v>
      </c>
    </row>
    <row r="9" spans="2:6" x14ac:dyDescent="0.3">
      <c r="B9" s="22">
        <f>COUNTA(Data[Lead ID])</f>
        <v>1000</v>
      </c>
      <c r="C9">
        <f>COUNTIF(Data[Pre-Booking Date],"&lt;&gt;")</f>
        <v>812</v>
      </c>
      <c r="D9" s="24">
        <f>COUNTIF(Data[Pre-Booking Date],"&lt;&gt;" ) / COUNTA(Data[Lead ID])</f>
        <v>0.81200000000000006</v>
      </c>
    </row>
    <row r="10" spans="2:6" x14ac:dyDescent="0.3">
      <c r="B10" s="22"/>
      <c r="D10" s="23"/>
    </row>
    <row r="11" spans="2:6" x14ac:dyDescent="0.3">
      <c r="B11" s="22"/>
      <c r="D11" s="23"/>
    </row>
    <row r="12" spans="2:6" x14ac:dyDescent="0.3">
      <c r="B12" s="22" t="s">
        <v>1029</v>
      </c>
      <c r="C12" t="s">
        <v>1039</v>
      </c>
      <c r="D12" s="23" t="s">
        <v>1040</v>
      </c>
    </row>
    <row r="13" spans="2:6" x14ac:dyDescent="0.3">
      <c r="B13" s="22">
        <f>COUNTIF(Data[Pre-Booking Date],"&lt;&gt;")</f>
        <v>812</v>
      </c>
      <c r="C13">
        <f>COUNTIF(Data[Booking Date],"&lt;&gt;")</f>
        <v>812</v>
      </c>
      <c r="D13" s="25">
        <f>COUNTIF(Data[Booking Date],"&lt;&gt;")/COUNTIF(Data[Pre-Booking Date],"&lt;&gt;")</f>
        <v>1</v>
      </c>
      <c r="F13" s="3"/>
    </row>
    <row r="14" spans="2:6" x14ac:dyDescent="0.3">
      <c r="B14" s="22"/>
      <c r="D14" s="23"/>
    </row>
    <row r="15" spans="2:6" x14ac:dyDescent="0.3">
      <c r="B15" s="22"/>
      <c r="D15" s="23"/>
    </row>
    <row r="16" spans="2:6" x14ac:dyDescent="0.3">
      <c r="B16" s="22" t="s">
        <v>1039</v>
      </c>
      <c r="C16" t="s">
        <v>1041</v>
      </c>
      <c r="D16" s="23" t="s">
        <v>1042</v>
      </c>
    </row>
    <row r="17" spans="1:4" x14ac:dyDescent="0.3">
      <c r="B17" s="22">
        <f>COUNTIF(Data[Booking Date],"&lt;&gt;")</f>
        <v>812</v>
      </c>
      <c r="C17">
        <f>COUNTIF(Data[Cancellation Status],"No")</f>
        <v>729</v>
      </c>
      <c r="D17" s="25">
        <f>Table4[[#This Row],[totleads_delivered]]/Table4[[#This Row],[totleads_booked]]</f>
        <v>0.89778325123152714</v>
      </c>
    </row>
    <row r="18" spans="1:4" ht="15" thickBot="1" x14ac:dyDescent="0.35">
      <c r="B18" s="26"/>
      <c r="C18" s="27"/>
      <c r="D18" s="28"/>
    </row>
    <row r="24" spans="1:4" ht="15" thickBot="1" x14ac:dyDescent="0.35"/>
    <row r="25" spans="1:4" ht="21" x14ac:dyDescent="0.4">
      <c r="A25" s="29"/>
      <c r="B25" s="121" t="s">
        <v>1077</v>
      </c>
      <c r="C25" s="128"/>
      <c r="D25" s="21"/>
    </row>
    <row r="26" spans="1:4" x14ac:dyDescent="0.3">
      <c r="A26" s="22"/>
      <c r="D26" s="23"/>
    </row>
    <row r="27" spans="1:4" x14ac:dyDescent="0.3">
      <c r="A27" s="22"/>
      <c r="D27" s="23"/>
    </row>
    <row r="28" spans="1:4" x14ac:dyDescent="0.3">
      <c r="A28" s="22"/>
      <c r="D28" s="23"/>
    </row>
    <row r="29" spans="1:4" ht="15" thickBot="1" x14ac:dyDescent="0.35">
      <c r="A29" s="22"/>
      <c r="D29" s="23"/>
    </row>
    <row r="30" spans="1:4" ht="15" thickBot="1" x14ac:dyDescent="0.35">
      <c r="A30" s="36" t="s">
        <v>1034</v>
      </c>
      <c r="B30" s="41" t="s">
        <v>1031</v>
      </c>
      <c r="C30" s="42" t="s">
        <v>1033</v>
      </c>
      <c r="D30" s="52" t="s">
        <v>1032</v>
      </c>
    </row>
    <row r="31" spans="1:4" x14ac:dyDescent="0.3">
      <c r="A31" s="37" t="s">
        <v>15</v>
      </c>
      <c r="B31" s="49">
        <v>3.1179245283018866</v>
      </c>
      <c r="C31" s="50">
        <v>3.0330188679245285</v>
      </c>
      <c r="D31" s="46">
        <v>4.5141509433962268</v>
      </c>
    </row>
    <row r="32" spans="1:4" x14ac:dyDescent="0.3">
      <c r="A32" s="38" t="s">
        <v>32</v>
      </c>
      <c r="B32" s="55">
        <v>3.1213872832369942</v>
      </c>
      <c r="C32" s="94">
        <v>3.2023121387283235</v>
      </c>
      <c r="D32" s="30">
        <v>4.3872832369942198</v>
      </c>
    </row>
    <row r="33" spans="1:4" x14ac:dyDescent="0.3">
      <c r="A33" s="38" t="s">
        <v>19</v>
      </c>
      <c r="B33" s="55">
        <v>3.0283018867924527</v>
      </c>
      <c r="C33" s="94">
        <v>3.0188679245283021</v>
      </c>
      <c r="D33" s="30">
        <v>4.283018867924528</v>
      </c>
    </row>
    <row r="34" spans="1:4" ht="15" thickBot="1" x14ac:dyDescent="0.35">
      <c r="A34" s="39" t="s">
        <v>21</v>
      </c>
      <c r="B34" s="55">
        <v>2.9767441860465116</v>
      </c>
      <c r="C34" s="94">
        <v>3.0465116279069768</v>
      </c>
      <c r="D34" s="30">
        <v>4.6279069767441863</v>
      </c>
    </row>
    <row r="35" spans="1:4" ht="15" thickBot="1" x14ac:dyDescent="0.35">
      <c r="A35" s="45" t="s">
        <v>1030</v>
      </c>
      <c r="B35" s="51">
        <v>3.0578817733990147</v>
      </c>
      <c r="C35" s="47">
        <v>3.0689655172413794</v>
      </c>
      <c r="D35" s="48">
        <v>4.4568965517241379</v>
      </c>
    </row>
    <row r="36" spans="1:4" x14ac:dyDescent="0.3">
      <c r="A36" s="22"/>
      <c r="D36" s="23"/>
    </row>
    <row r="37" spans="1:4" x14ac:dyDescent="0.3">
      <c r="A37" s="22"/>
      <c r="B37" s="34" t="s">
        <v>1068</v>
      </c>
      <c r="C37" s="34" t="s">
        <v>1069</v>
      </c>
      <c r="D37" s="85" t="s">
        <v>1070</v>
      </c>
    </row>
    <row r="38" spans="1:4" x14ac:dyDescent="0.3">
      <c r="A38" s="22"/>
      <c r="B38" s="86">
        <f>GETPIVOTDATA("Average of TAT Pre-Booking (Days)",$A$30)</f>
        <v>3.0578817733990147</v>
      </c>
      <c r="C38" s="86">
        <f>GETPIVOTDATA("Average of TAT Booking (Days)",$A$30)</f>
        <v>3.0689655172413794</v>
      </c>
      <c r="D38" s="87">
        <f>GETPIVOTDATA("Average of TAT Delivery (Days)",$A$30)</f>
        <v>4.4568965517241379</v>
      </c>
    </row>
    <row r="39" spans="1:4" ht="15" thickBot="1" x14ac:dyDescent="0.35">
      <c r="A39" s="26"/>
      <c r="B39" s="27"/>
      <c r="C39" s="27"/>
      <c r="D39" s="28"/>
    </row>
    <row r="50" spans="1:10" ht="15" thickBot="1" x14ac:dyDescent="0.35"/>
    <row r="51" spans="1:10" ht="21" x14ac:dyDescent="0.4">
      <c r="A51" s="29"/>
      <c r="B51" s="121" t="s">
        <v>1078</v>
      </c>
      <c r="C51" s="128"/>
      <c r="D51" s="32"/>
      <c r="E51" s="32"/>
      <c r="F51" s="32"/>
      <c r="G51" s="32"/>
      <c r="H51" s="32"/>
      <c r="I51" s="32"/>
      <c r="J51" s="21"/>
    </row>
    <row r="52" spans="1:10" x14ac:dyDescent="0.3">
      <c r="A52" s="22"/>
      <c r="J52" s="23"/>
    </row>
    <row r="53" spans="1:10" x14ac:dyDescent="0.3">
      <c r="A53" s="22"/>
      <c r="J53" s="23"/>
    </row>
    <row r="54" spans="1:10" x14ac:dyDescent="0.3">
      <c r="A54" s="22"/>
      <c r="J54" s="23"/>
    </row>
    <row r="55" spans="1:10" ht="15" thickBot="1" x14ac:dyDescent="0.35">
      <c r="A55" s="22"/>
      <c r="J55" s="23"/>
    </row>
    <row r="56" spans="1:10" ht="21" x14ac:dyDescent="0.4">
      <c r="A56" s="124" t="s">
        <v>1081</v>
      </c>
      <c r="B56" s="125"/>
      <c r="J56" s="23"/>
    </row>
    <row r="57" spans="1:10" x14ac:dyDescent="0.3">
      <c r="A57" s="22"/>
      <c r="J57" s="23"/>
    </row>
    <row r="58" spans="1:10" ht="15" thickBot="1" x14ac:dyDescent="0.35">
      <c r="A58" s="22"/>
      <c r="J58" s="23"/>
    </row>
    <row r="59" spans="1:10" ht="15" thickBot="1" x14ac:dyDescent="0.35">
      <c r="A59" s="36" t="s">
        <v>1037</v>
      </c>
      <c r="B59" s="40" t="s">
        <v>1036</v>
      </c>
      <c r="J59" s="23"/>
    </row>
    <row r="60" spans="1:10" x14ac:dyDescent="0.3">
      <c r="A60" s="37" t="s">
        <v>22</v>
      </c>
      <c r="B60" s="101">
        <v>188</v>
      </c>
      <c r="J60" s="23"/>
    </row>
    <row r="61" spans="1:10" x14ac:dyDescent="0.3">
      <c r="A61" s="38" t="s">
        <v>30</v>
      </c>
      <c r="B61" s="102">
        <v>303</v>
      </c>
      <c r="J61" s="23"/>
    </row>
    <row r="62" spans="1:10" ht="15" thickBot="1" x14ac:dyDescent="0.35">
      <c r="A62" s="39" t="s">
        <v>16</v>
      </c>
      <c r="B62" s="103">
        <v>509</v>
      </c>
      <c r="J62" s="23"/>
    </row>
    <row r="63" spans="1:10" x14ac:dyDescent="0.3">
      <c r="A63" s="22"/>
      <c r="J63" s="23"/>
    </row>
    <row r="64" spans="1:10" x14ac:dyDescent="0.3">
      <c r="A64" s="22"/>
      <c r="J64" s="23"/>
    </row>
    <row r="65" spans="1:10" x14ac:dyDescent="0.3">
      <c r="A65" s="22"/>
      <c r="J65" s="23"/>
    </row>
    <row r="66" spans="1:10" x14ac:dyDescent="0.3">
      <c r="A66" s="22"/>
      <c r="J66" s="23"/>
    </row>
    <row r="67" spans="1:10" x14ac:dyDescent="0.3">
      <c r="A67" s="22"/>
      <c r="J67" s="23"/>
    </row>
    <row r="68" spans="1:10" x14ac:dyDescent="0.3">
      <c r="A68" s="22"/>
      <c r="J68" s="23"/>
    </row>
    <row r="69" spans="1:10" x14ac:dyDescent="0.3">
      <c r="A69" s="22"/>
      <c r="J69" s="23"/>
    </row>
    <row r="70" spans="1:10" x14ac:dyDescent="0.3">
      <c r="A70" s="22"/>
      <c r="J70" s="23"/>
    </row>
    <row r="71" spans="1:10" x14ac:dyDescent="0.3">
      <c r="A71" s="22"/>
      <c r="J71" s="23"/>
    </row>
    <row r="72" spans="1:10" x14ac:dyDescent="0.3">
      <c r="A72" s="22"/>
      <c r="J72" s="23"/>
    </row>
    <row r="73" spans="1:10" x14ac:dyDescent="0.3">
      <c r="A73" s="22"/>
      <c r="J73" s="23"/>
    </row>
    <row r="74" spans="1:10" x14ac:dyDescent="0.3">
      <c r="A74" s="22"/>
      <c r="J74" s="23"/>
    </row>
    <row r="75" spans="1:10" ht="15" thickBot="1" x14ac:dyDescent="0.35">
      <c r="A75" s="22"/>
      <c r="J75" s="23"/>
    </row>
    <row r="76" spans="1:10" ht="21" x14ac:dyDescent="0.4">
      <c r="A76" s="22"/>
      <c r="B76" s="124" t="s">
        <v>1082</v>
      </c>
      <c r="C76" s="125"/>
      <c r="J76" s="23"/>
    </row>
    <row r="77" spans="1:10" x14ac:dyDescent="0.3">
      <c r="A77" s="22"/>
      <c r="J77" s="23"/>
    </row>
    <row r="78" spans="1:10" x14ac:dyDescent="0.3">
      <c r="A78" s="22"/>
      <c r="J78" s="23"/>
    </row>
    <row r="79" spans="1:10" ht="15" thickBot="1" x14ac:dyDescent="0.35">
      <c r="A79" s="22"/>
      <c r="J79" s="23"/>
    </row>
    <row r="80" spans="1:10" ht="15" thickBot="1" x14ac:dyDescent="0.35">
      <c r="A80" s="36" t="s">
        <v>1036</v>
      </c>
      <c r="B80" s="36" t="s">
        <v>1035</v>
      </c>
      <c r="C80" s="41"/>
      <c r="D80" s="42"/>
      <c r="E80" s="43"/>
      <c r="J80" s="23"/>
    </row>
    <row r="81" spans="1:10" ht="15" thickBot="1" x14ac:dyDescent="0.35">
      <c r="A81" s="36" t="s">
        <v>1037</v>
      </c>
      <c r="B81" s="41" t="s">
        <v>22</v>
      </c>
      <c r="C81" s="42" t="s">
        <v>30</v>
      </c>
      <c r="D81" s="43" t="s">
        <v>16</v>
      </c>
      <c r="E81" s="40" t="s">
        <v>1030</v>
      </c>
      <c r="J81" s="23"/>
    </row>
    <row r="82" spans="1:10" x14ac:dyDescent="0.3">
      <c r="A82" s="37" t="s">
        <v>15</v>
      </c>
      <c r="B82" s="29">
        <v>51</v>
      </c>
      <c r="C82" s="32">
        <v>80</v>
      </c>
      <c r="D82" s="32">
        <v>132</v>
      </c>
      <c r="E82" s="21">
        <v>263</v>
      </c>
      <c r="J82" s="23"/>
    </row>
    <row r="83" spans="1:10" x14ac:dyDescent="0.3">
      <c r="A83" s="38" t="s">
        <v>32</v>
      </c>
      <c r="B83" s="22">
        <v>39</v>
      </c>
      <c r="C83">
        <v>70</v>
      </c>
      <c r="D83">
        <v>103</v>
      </c>
      <c r="E83" s="23">
        <v>212</v>
      </c>
      <c r="J83" s="23"/>
    </row>
    <row r="84" spans="1:10" x14ac:dyDescent="0.3">
      <c r="A84" s="38" t="s">
        <v>19</v>
      </c>
      <c r="B84" s="22">
        <v>51</v>
      </c>
      <c r="C84">
        <v>70</v>
      </c>
      <c r="D84">
        <v>142</v>
      </c>
      <c r="E84" s="23">
        <v>263</v>
      </c>
      <c r="J84" s="23"/>
    </row>
    <row r="85" spans="1:10" ht="15" thickBot="1" x14ac:dyDescent="0.35">
      <c r="A85" s="39" t="s">
        <v>21</v>
      </c>
      <c r="B85" s="26">
        <v>47</v>
      </c>
      <c r="C85" s="27">
        <v>83</v>
      </c>
      <c r="D85" s="27">
        <v>132</v>
      </c>
      <c r="E85" s="28">
        <v>262</v>
      </c>
      <c r="J85" s="23"/>
    </row>
    <row r="86" spans="1:10" x14ac:dyDescent="0.3">
      <c r="A86" s="22"/>
      <c r="J86" s="23"/>
    </row>
    <row r="87" spans="1:10" ht="15" thickBot="1" x14ac:dyDescent="0.35">
      <c r="A87" s="26"/>
      <c r="B87" s="27"/>
      <c r="C87" s="27"/>
      <c r="D87" s="27"/>
      <c r="E87" s="27"/>
      <c r="F87" s="27"/>
      <c r="G87" s="27"/>
      <c r="H87" s="27"/>
      <c r="I87" s="27"/>
      <c r="J87" s="28"/>
    </row>
    <row r="91" spans="1:10" ht="15" thickBot="1" x14ac:dyDescent="0.35"/>
    <row r="92" spans="1:10" x14ac:dyDescent="0.3">
      <c r="A92" s="29"/>
      <c r="B92" s="32"/>
      <c r="C92" s="32"/>
      <c r="D92" s="32"/>
      <c r="E92" s="32"/>
      <c r="F92" s="32"/>
      <c r="G92" s="32"/>
      <c r="H92" s="32"/>
      <c r="I92" s="32"/>
      <c r="J92" s="21"/>
    </row>
    <row r="93" spans="1:10" ht="15" thickBot="1" x14ac:dyDescent="0.35">
      <c r="A93" s="22"/>
      <c r="J93" s="23"/>
    </row>
    <row r="94" spans="1:10" ht="21" x14ac:dyDescent="0.4">
      <c r="A94" s="22"/>
      <c r="B94" s="121" t="s">
        <v>1079</v>
      </c>
      <c r="C94" s="128"/>
      <c r="J94" s="23"/>
    </row>
    <row r="95" spans="1:10" x14ac:dyDescent="0.3">
      <c r="A95" s="22"/>
      <c r="J95" s="23"/>
    </row>
    <row r="96" spans="1:10" x14ac:dyDescent="0.3">
      <c r="A96" s="22"/>
      <c r="J96" s="23"/>
    </row>
    <row r="97" spans="1:10" x14ac:dyDescent="0.3">
      <c r="A97" s="22"/>
      <c r="J97" s="23"/>
    </row>
    <row r="98" spans="1:10" x14ac:dyDescent="0.3">
      <c r="A98" s="22"/>
      <c r="J98" s="23"/>
    </row>
    <row r="99" spans="1:10" ht="15" thickBot="1" x14ac:dyDescent="0.35">
      <c r="A99" s="22"/>
      <c r="J99" s="23"/>
    </row>
    <row r="100" spans="1:10" ht="21" x14ac:dyDescent="0.4">
      <c r="A100" s="22"/>
      <c r="B100" s="124" t="s">
        <v>1083</v>
      </c>
      <c r="C100" s="125"/>
      <c r="J100" s="23"/>
    </row>
    <row r="101" spans="1:10" x14ac:dyDescent="0.3">
      <c r="A101" s="22"/>
      <c r="J101" s="23"/>
    </row>
    <row r="102" spans="1:10" ht="15" thickBot="1" x14ac:dyDescent="0.35">
      <c r="A102" s="22"/>
      <c r="J102" s="23"/>
    </row>
    <row r="103" spans="1:10" ht="15" thickBot="1" x14ac:dyDescent="0.35">
      <c r="A103" s="22"/>
      <c r="B103" s="44" t="s">
        <v>7</v>
      </c>
      <c r="C103" s="43" t="s">
        <v>23</v>
      </c>
      <c r="J103" s="23"/>
    </row>
    <row r="104" spans="1:10" ht="15" thickBot="1" x14ac:dyDescent="0.35">
      <c r="A104" s="22"/>
      <c r="J104" s="23"/>
    </row>
    <row r="105" spans="1:10" ht="15" thickBot="1" x14ac:dyDescent="0.35">
      <c r="A105" s="22"/>
      <c r="B105" s="36" t="s">
        <v>1037</v>
      </c>
      <c r="C105" s="40" t="s">
        <v>1043</v>
      </c>
      <c r="J105" s="23"/>
    </row>
    <row r="106" spans="1:10" x14ac:dyDescent="0.3">
      <c r="A106" s="22"/>
      <c r="B106" s="37" t="s">
        <v>22</v>
      </c>
      <c r="C106" s="101">
        <v>188</v>
      </c>
      <c r="J106" s="23"/>
    </row>
    <row r="107" spans="1:10" x14ac:dyDescent="0.3">
      <c r="A107" s="22"/>
      <c r="B107" s="38" t="s">
        <v>30</v>
      </c>
      <c r="C107" s="102">
        <v>26</v>
      </c>
      <c r="J107" s="23"/>
    </row>
    <row r="108" spans="1:10" ht="15" thickBot="1" x14ac:dyDescent="0.35">
      <c r="A108" s="22"/>
      <c r="B108" s="39" t="s">
        <v>16</v>
      </c>
      <c r="C108" s="102">
        <v>57</v>
      </c>
      <c r="J108" s="23"/>
    </row>
    <row r="109" spans="1:10" ht="15" thickBot="1" x14ac:dyDescent="0.35">
      <c r="A109" s="22"/>
      <c r="B109" s="45" t="s">
        <v>1030</v>
      </c>
      <c r="C109" s="103">
        <v>271</v>
      </c>
      <c r="J109" s="23"/>
    </row>
    <row r="110" spans="1:10" x14ac:dyDescent="0.3">
      <c r="A110" s="22"/>
      <c r="J110" s="23"/>
    </row>
    <row r="111" spans="1:10" ht="15" thickBot="1" x14ac:dyDescent="0.35">
      <c r="A111" s="22"/>
      <c r="J111" s="23"/>
    </row>
    <row r="112" spans="1:10" ht="15.6" x14ac:dyDescent="0.3">
      <c r="A112" s="22"/>
      <c r="B112" s="127" t="s">
        <v>1097</v>
      </c>
      <c r="C112" s="125"/>
      <c r="J112" s="23"/>
    </row>
    <row r="113" spans="1:10" x14ac:dyDescent="0.3">
      <c r="A113" s="22"/>
      <c r="J113" s="23"/>
    </row>
    <row r="114" spans="1:10" ht="15" thickBot="1" x14ac:dyDescent="0.35">
      <c r="A114" s="22"/>
      <c r="J114" s="23"/>
    </row>
    <row r="115" spans="1:10" ht="15" thickBot="1" x14ac:dyDescent="0.35">
      <c r="A115" s="76" t="s">
        <v>4</v>
      </c>
      <c r="B115" s="77" t="s">
        <v>1093</v>
      </c>
      <c r="C115" s="76" t="s">
        <v>7</v>
      </c>
      <c r="D115" s="77" t="s">
        <v>23</v>
      </c>
      <c r="E115" s="84" t="s">
        <v>1094</v>
      </c>
      <c r="F115" s="84" t="s">
        <v>1101</v>
      </c>
      <c r="J115" s="23"/>
    </row>
    <row r="116" spans="1:10" ht="15" thickBot="1" x14ac:dyDescent="0.35">
      <c r="A116" s="22"/>
      <c r="C116" s="76" t="s">
        <v>5</v>
      </c>
      <c r="D116" s="77" t="s">
        <v>1095</v>
      </c>
      <c r="E116" s="34">
        <f>GETPIVOTDATA("Lead ID",$A$117)</f>
        <v>188</v>
      </c>
      <c r="F116" s="34">
        <f>GETPIVOTDATA("Lead ID",$C$118)</f>
        <v>83</v>
      </c>
      <c r="J116" s="23"/>
    </row>
    <row r="117" spans="1:10" ht="15" thickBot="1" x14ac:dyDescent="0.35">
      <c r="A117" s="40" t="s">
        <v>1036</v>
      </c>
      <c r="C117" s="22"/>
      <c r="J117" s="23"/>
    </row>
    <row r="118" spans="1:10" ht="15" thickBot="1" x14ac:dyDescent="0.35">
      <c r="A118" s="40">
        <v>188</v>
      </c>
      <c r="C118" s="40" t="s">
        <v>1036</v>
      </c>
      <c r="J118" s="23"/>
    </row>
    <row r="119" spans="1:10" ht="15" thickBot="1" x14ac:dyDescent="0.35">
      <c r="A119" s="22"/>
      <c r="C119" s="40">
        <v>83</v>
      </c>
      <c r="J119" s="23"/>
    </row>
    <row r="120" spans="1:10" x14ac:dyDescent="0.3">
      <c r="A120" s="22"/>
      <c r="J120" s="23"/>
    </row>
    <row r="121" spans="1:10" x14ac:dyDescent="0.3">
      <c r="A121" s="22"/>
      <c r="J121" s="23"/>
    </row>
    <row r="122" spans="1:10" x14ac:dyDescent="0.3">
      <c r="A122" s="22"/>
      <c r="J122" s="23"/>
    </row>
    <row r="123" spans="1:10" x14ac:dyDescent="0.3">
      <c r="A123" s="22"/>
      <c r="J123" s="23"/>
    </row>
    <row r="124" spans="1:10" ht="15" thickBot="1" x14ac:dyDescent="0.35">
      <c r="A124" s="22"/>
      <c r="J124" s="23"/>
    </row>
    <row r="125" spans="1:10" ht="18" x14ac:dyDescent="0.35">
      <c r="A125" s="22"/>
      <c r="B125" s="126" t="s">
        <v>1084</v>
      </c>
      <c r="C125" s="125"/>
      <c r="J125" s="23"/>
    </row>
    <row r="126" spans="1:10" x14ac:dyDescent="0.3">
      <c r="A126" s="22"/>
      <c r="J126" s="23"/>
    </row>
    <row r="127" spans="1:10" x14ac:dyDescent="0.3">
      <c r="A127" s="22"/>
      <c r="J127" s="23"/>
    </row>
    <row r="128" spans="1:10" x14ac:dyDescent="0.3">
      <c r="A128" s="22"/>
      <c r="J128" s="23"/>
    </row>
    <row r="129" spans="1:10" x14ac:dyDescent="0.3">
      <c r="A129" s="22"/>
      <c r="J129" s="23"/>
    </row>
    <row r="130" spans="1:10" x14ac:dyDescent="0.3">
      <c r="A130" s="22"/>
      <c r="J130" s="23"/>
    </row>
    <row r="131" spans="1:10" x14ac:dyDescent="0.3">
      <c r="A131" s="22"/>
      <c r="J131" s="23"/>
    </row>
    <row r="132" spans="1:10" x14ac:dyDescent="0.3">
      <c r="A132" s="22"/>
      <c r="J132" s="23"/>
    </row>
    <row r="133" spans="1:10" x14ac:dyDescent="0.3">
      <c r="A133" s="22"/>
      <c r="J133" s="23"/>
    </row>
    <row r="134" spans="1:10" ht="15" thickBot="1" x14ac:dyDescent="0.35">
      <c r="A134" s="22"/>
      <c r="J134" s="23"/>
    </row>
    <row r="135" spans="1:10" ht="15" thickBot="1" x14ac:dyDescent="0.35">
      <c r="A135" s="22"/>
      <c r="B135" s="44" t="s">
        <v>7</v>
      </c>
      <c r="C135" s="43" t="s">
        <v>23</v>
      </c>
      <c r="J135" s="23"/>
    </row>
    <row r="136" spans="1:10" ht="15" thickBot="1" x14ac:dyDescent="0.35">
      <c r="A136" s="22"/>
      <c r="J136" s="23"/>
    </row>
    <row r="137" spans="1:10" ht="15" thickBot="1" x14ac:dyDescent="0.35">
      <c r="A137" s="22"/>
      <c r="B137" s="36" t="s">
        <v>8</v>
      </c>
      <c r="C137" s="40" t="s">
        <v>1045</v>
      </c>
      <c r="J137" s="23"/>
    </row>
    <row r="138" spans="1:10" x14ac:dyDescent="0.3">
      <c r="A138" s="22"/>
      <c r="B138" s="37" t="s">
        <v>33</v>
      </c>
      <c r="C138" s="101">
        <v>51</v>
      </c>
      <c r="J138" s="23"/>
    </row>
    <row r="139" spans="1:10" x14ac:dyDescent="0.3">
      <c r="A139" s="22"/>
      <c r="B139" s="38" t="s">
        <v>63</v>
      </c>
      <c r="C139" s="102">
        <v>59</v>
      </c>
      <c r="J139" s="23"/>
    </row>
    <row r="140" spans="1:10" x14ac:dyDescent="0.3">
      <c r="A140" s="22"/>
      <c r="B140" s="38" t="s">
        <v>26</v>
      </c>
      <c r="C140" s="102">
        <v>43</v>
      </c>
      <c r="J140" s="23"/>
    </row>
    <row r="141" spans="1:10" x14ac:dyDescent="0.3">
      <c r="A141" s="22"/>
      <c r="B141" s="38" t="s">
        <v>24</v>
      </c>
      <c r="C141" s="102">
        <v>57</v>
      </c>
      <c r="J141" s="23"/>
    </row>
    <row r="142" spans="1:10" ht="15" thickBot="1" x14ac:dyDescent="0.35">
      <c r="A142" s="22"/>
      <c r="B142" s="39" t="s">
        <v>101</v>
      </c>
      <c r="C142" s="103">
        <v>61</v>
      </c>
      <c r="J142" s="23"/>
    </row>
    <row r="143" spans="1:10" x14ac:dyDescent="0.3">
      <c r="A143" s="22"/>
      <c r="J143" s="23"/>
    </row>
    <row r="144" spans="1:10" x14ac:dyDescent="0.3">
      <c r="A144" s="22"/>
      <c r="J144" s="23"/>
    </row>
    <row r="145" spans="1:10" x14ac:dyDescent="0.3">
      <c r="A145" s="22"/>
      <c r="J145" s="23"/>
    </row>
    <row r="146" spans="1:10" ht="15" thickBot="1" x14ac:dyDescent="0.35">
      <c r="A146" s="22"/>
      <c r="J146" s="23"/>
    </row>
    <row r="147" spans="1:10" ht="21" x14ac:dyDescent="0.4">
      <c r="A147" s="22"/>
      <c r="B147" s="124" t="s">
        <v>1085</v>
      </c>
      <c r="C147" s="125"/>
      <c r="J147" s="23"/>
    </row>
    <row r="148" spans="1:10" x14ac:dyDescent="0.3">
      <c r="A148" s="22"/>
      <c r="J148" s="23"/>
    </row>
    <row r="149" spans="1:10" x14ac:dyDescent="0.3">
      <c r="A149" s="22"/>
      <c r="J149" s="23"/>
    </row>
    <row r="150" spans="1:10" x14ac:dyDescent="0.3">
      <c r="A150" s="22"/>
      <c r="J150" s="23"/>
    </row>
    <row r="151" spans="1:10" x14ac:dyDescent="0.3">
      <c r="A151" s="22"/>
      <c r="J151" s="23"/>
    </row>
    <row r="152" spans="1:10" ht="15" thickBot="1" x14ac:dyDescent="0.35">
      <c r="A152" s="22"/>
      <c r="J152" s="23"/>
    </row>
    <row r="153" spans="1:10" ht="15" thickBot="1" x14ac:dyDescent="0.35">
      <c r="A153" s="22"/>
      <c r="B153" s="44" t="s">
        <v>7</v>
      </c>
      <c r="C153" s="43" t="s">
        <v>23</v>
      </c>
      <c r="J153" s="23"/>
    </row>
    <row r="154" spans="1:10" ht="15" thickBot="1" x14ac:dyDescent="0.35">
      <c r="A154" s="22"/>
      <c r="J154" s="23"/>
    </row>
    <row r="155" spans="1:10" ht="15" thickBot="1" x14ac:dyDescent="0.35">
      <c r="A155" s="22"/>
      <c r="B155" s="36" t="s">
        <v>1036</v>
      </c>
      <c r="C155" s="36" t="s">
        <v>1035</v>
      </c>
      <c r="D155" s="41"/>
      <c r="E155" s="42"/>
      <c r="F155" s="42"/>
      <c r="G155" s="42"/>
      <c r="H155" s="43"/>
      <c r="J155" s="23"/>
    </row>
    <row r="156" spans="1:10" ht="15" thickBot="1" x14ac:dyDescent="0.35">
      <c r="A156" s="22"/>
      <c r="B156" s="36" t="s">
        <v>1037</v>
      </c>
      <c r="C156" s="41" t="s">
        <v>33</v>
      </c>
      <c r="D156" s="42" t="s">
        <v>63</v>
      </c>
      <c r="E156" s="42" t="s">
        <v>26</v>
      </c>
      <c r="F156" s="42" t="s">
        <v>24</v>
      </c>
      <c r="G156" s="43" t="s">
        <v>101</v>
      </c>
      <c r="H156" s="40" t="s">
        <v>1030</v>
      </c>
      <c r="J156" s="23"/>
    </row>
    <row r="157" spans="1:10" x14ac:dyDescent="0.3">
      <c r="A157" s="22"/>
      <c r="B157" s="37" t="s">
        <v>15</v>
      </c>
      <c r="C157" s="29">
        <v>13</v>
      </c>
      <c r="D157" s="32">
        <v>14</v>
      </c>
      <c r="E157" s="32">
        <v>13</v>
      </c>
      <c r="F157" s="32">
        <v>22</v>
      </c>
      <c r="G157" s="32">
        <v>10</v>
      </c>
      <c r="H157" s="21">
        <v>72</v>
      </c>
      <c r="J157" s="23"/>
    </row>
    <row r="158" spans="1:10" x14ac:dyDescent="0.3">
      <c r="A158" s="22"/>
      <c r="B158" s="38" t="s">
        <v>32</v>
      </c>
      <c r="C158" s="22">
        <v>15</v>
      </c>
      <c r="D158">
        <v>10</v>
      </c>
      <c r="E158">
        <v>8</v>
      </c>
      <c r="F158">
        <v>8</v>
      </c>
      <c r="G158">
        <v>18</v>
      </c>
      <c r="H158" s="23">
        <v>59</v>
      </c>
      <c r="J158" s="23"/>
    </row>
    <row r="159" spans="1:10" x14ac:dyDescent="0.3">
      <c r="A159" s="22"/>
      <c r="B159" s="38" t="s">
        <v>19</v>
      </c>
      <c r="C159" s="22">
        <v>14</v>
      </c>
      <c r="D159">
        <v>21</v>
      </c>
      <c r="E159">
        <v>13</v>
      </c>
      <c r="F159">
        <v>13</v>
      </c>
      <c r="G159">
        <v>16</v>
      </c>
      <c r="H159" s="23">
        <v>77</v>
      </c>
      <c r="J159" s="23"/>
    </row>
    <row r="160" spans="1:10" ht="15" thickBot="1" x14ac:dyDescent="0.35">
      <c r="A160" s="22"/>
      <c r="B160" s="39" t="s">
        <v>21</v>
      </c>
      <c r="C160" s="26">
        <v>9</v>
      </c>
      <c r="D160" s="27">
        <v>14</v>
      </c>
      <c r="E160" s="27">
        <v>9</v>
      </c>
      <c r="F160" s="27">
        <v>14</v>
      </c>
      <c r="G160" s="27">
        <v>17</v>
      </c>
      <c r="H160" s="28">
        <v>63</v>
      </c>
      <c r="J160" s="23"/>
    </row>
    <row r="161" spans="1:14" x14ac:dyDescent="0.3">
      <c r="A161" s="22"/>
      <c r="J161" s="23"/>
    </row>
    <row r="162" spans="1:14" x14ac:dyDescent="0.3">
      <c r="A162" s="22"/>
      <c r="J162" s="23"/>
    </row>
    <row r="163" spans="1:14" ht="15" thickBot="1" x14ac:dyDescent="0.35">
      <c r="A163" s="26"/>
      <c r="B163" s="27"/>
      <c r="C163" s="27"/>
      <c r="D163" s="27"/>
      <c r="E163" s="27"/>
      <c r="F163" s="27"/>
      <c r="G163" s="27"/>
      <c r="H163" s="27"/>
      <c r="I163" s="27"/>
      <c r="J163" s="28"/>
    </row>
    <row r="166" spans="1:14" ht="15" thickBot="1" x14ac:dyDescent="0.35"/>
    <row r="167" spans="1:14" ht="21" x14ac:dyDescent="0.4">
      <c r="B167" s="29"/>
      <c r="C167" s="121" t="s">
        <v>1080</v>
      </c>
      <c r="D167" s="128"/>
      <c r="E167" s="32"/>
      <c r="F167" s="32"/>
      <c r="G167" s="32"/>
      <c r="H167" s="32"/>
      <c r="I167" s="32"/>
      <c r="J167" s="32"/>
      <c r="K167" s="32"/>
      <c r="L167" s="32"/>
      <c r="M167" s="32"/>
      <c r="N167" s="21"/>
    </row>
    <row r="168" spans="1:14" x14ac:dyDescent="0.3">
      <c r="B168" s="22"/>
      <c r="N168" s="23"/>
    </row>
    <row r="169" spans="1:14" x14ac:dyDescent="0.3">
      <c r="B169" s="22"/>
      <c r="N169" s="23"/>
    </row>
    <row r="170" spans="1:14" x14ac:dyDescent="0.3">
      <c r="B170" s="22"/>
      <c r="N170" s="23"/>
    </row>
    <row r="171" spans="1:14" x14ac:dyDescent="0.3">
      <c r="B171" s="22"/>
      <c r="N171" s="23"/>
    </row>
    <row r="172" spans="1:14" x14ac:dyDescent="0.3">
      <c r="B172" s="22"/>
      <c r="N172" s="23"/>
    </row>
    <row r="173" spans="1:14" x14ac:dyDescent="0.3">
      <c r="B173" s="22"/>
      <c r="N173" s="23"/>
    </row>
    <row r="174" spans="1:14" ht="15" thickBot="1" x14ac:dyDescent="0.35">
      <c r="B174" s="22"/>
      <c r="N174" s="23"/>
    </row>
    <row r="175" spans="1:14" ht="15" thickBot="1" x14ac:dyDescent="0.35">
      <c r="B175" s="36" t="s">
        <v>1036</v>
      </c>
      <c r="C175" s="36" t="s">
        <v>1035</v>
      </c>
      <c r="D175" s="41"/>
      <c r="E175" s="43"/>
      <c r="N175" s="23"/>
    </row>
    <row r="176" spans="1:14" ht="15" thickBot="1" x14ac:dyDescent="0.35">
      <c r="B176" s="36" t="s">
        <v>1034</v>
      </c>
      <c r="C176" s="41" t="s">
        <v>1047</v>
      </c>
      <c r="D176" s="42" t="s">
        <v>1048</v>
      </c>
      <c r="E176" s="43" t="s">
        <v>1049</v>
      </c>
      <c r="F176" s="34" t="s">
        <v>1050</v>
      </c>
      <c r="N176" s="23"/>
    </row>
    <row r="177" spans="2:14" x14ac:dyDescent="0.3">
      <c r="B177" s="37" t="s">
        <v>15</v>
      </c>
      <c r="C177" s="57">
        <v>0.70157068062827221</v>
      </c>
      <c r="D177" s="58">
        <v>0.17801047120418848</v>
      </c>
      <c r="E177" s="59">
        <v>0.12041884816753927</v>
      </c>
      <c r="F177" s="35">
        <f>E177-C177</f>
        <v>-0.58115183246073299</v>
      </c>
      <c r="H177" s="33"/>
      <c r="N177" s="23"/>
    </row>
    <row r="178" spans="2:14" x14ac:dyDescent="0.3">
      <c r="B178" s="38" t="s">
        <v>32</v>
      </c>
      <c r="C178" s="60">
        <v>0.6470588235294118</v>
      </c>
      <c r="D178" s="33">
        <v>0.16993464052287582</v>
      </c>
      <c r="E178" s="56">
        <v>0.18300653594771241</v>
      </c>
      <c r="F178" s="35">
        <f t="shared" ref="F178:F180" si="0">E178-C178</f>
        <v>-0.46405228758169936</v>
      </c>
      <c r="H178" s="33"/>
      <c r="N178" s="23"/>
    </row>
    <row r="179" spans="2:14" x14ac:dyDescent="0.3">
      <c r="B179" s="38" t="s">
        <v>19</v>
      </c>
      <c r="C179" s="60">
        <v>0.66129032258064513</v>
      </c>
      <c r="D179" s="33">
        <v>0.17741935483870969</v>
      </c>
      <c r="E179" s="56">
        <v>0.16129032258064516</v>
      </c>
      <c r="F179" s="35">
        <f t="shared" si="0"/>
        <v>-0.5</v>
      </c>
      <c r="H179" s="33"/>
      <c r="N179" s="23"/>
    </row>
    <row r="180" spans="2:14" ht="15" thickBot="1" x14ac:dyDescent="0.35">
      <c r="B180" s="39" t="s">
        <v>21</v>
      </c>
      <c r="C180" s="61">
        <v>0.69346733668341709</v>
      </c>
      <c r="D180" s="53">
        <v>0.19095477386934673</v>
      </c>
      <c r="E180" s="54">
        <v>0.11557788944723618</v>
      </c>
      <c r="F180" s="35">
        <f t="shared" si="0"/>
        <v>-0.57788944723618085</v>
      </c>
      <c r="H180" s="33"/>
      <c r="N180" s="23"/>
    </row>
    <row r="181" spans="2:14" x14ac:dyDescent="0.3">
      <c r="B181" s="22"/>
      <c r="F181" s="33"/>
      <c r="H181" s="33"/>
      <c r="N181" s="23"/>
    </row>
    <row r="182" spans="2:14" x14ac:dyDescent="0.3">
      <c r="B182" s="22"/>
      <c r="N182" s="23"/>
    </row>
    <row r="183" spans="2:14" x14ac:dyDescent="0.3">
      <c r="B183" s="22"/>
      <c r="N183" s="23"/>
    </row>
    <row r="184" spans="2:14" x14ac:dyDescent="0.3">
      <c r="B184" s="22"/>
      <c r="N184" s="23"/>
    </row>
    <row r="185" spans="2:14" x14ac:dyDescent="0.3">
      <c r="B185" s="22"/>
      <c r="N185" s="23"/>
    </row>
    <row r="186" spans="2:14" x14ac:dyDescent="0.3">
      <c r="B186" s="22"/>
      <c r="N186" s="23"/>
    </row>
    <row r="187" spans="2:14" ht="15" thickBot="1" x14ac:dyDescent="0.35">
      <c r="B187" s="26"/>
      <c r="C187" s="27"/>
      <c r="D187" s="27"/>
      <c r="E187" s="27"/>
      <c r="F187" s="27"/>
      <c r="G187" s="27"/>
      <c r="H187" s="27"/>
      <c r="I187" s="27"/>
      <c r="J187" s="27"/>
      <c r="K187" s="27"/>
      <c r="L187" s="27"/>
      <c r="M187" s="27"/>
      <c r="N187" s="28"/>
    </row>
  </sheetData>
  <mergeCells count="11">
    <mergeCell ref="B147:C147"/>
    <mergeCell ref="B25:C25"/>
    <mergeCell ref="B51:C51"/>
    <mergeCell ref="B94:C94"/>
    <mergeCell ref="C167:D167"/>
    <mergeCell ref="B2:D2"/>
    <mergeCell ref="A56:B56"/>
    <mergeCell ref="B76:C76"/>
    <mergeCell ref="B100:C100"/>
    <mergeCell ref="B125:C125"/>
    <mergeCell ref="B112:C112"/>
  </mergeCells>
  <pageMargins left="0.7" right="0.7" top="0.75" bottom="0.75" header="0.3" footer="0.3"/>
  <pageSetup orientation="portrait" r:id="rId10"/>
  <drawing r:id="rId11"/>
  <tableParts count="3">
    <tablePart r:id="rId12"/>
    <tablePart r:id="rId13"/>
    <tablePart r:id="rId14"/>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45854-CE13-4D9D-9EF1-419D418B7205}">
  <sheetPr>
    <tabColor theme="9" tint="-0.249977111117893"/>
  </sheetPr>
  <dimension ref="A1:O213"/>
  <sheetViews>
    <sheetView zoomScale="50" zoomScaleNormal="55" workbookViewId="0">
      <selection sqref="A1:XFD1048576"/>
    </sheetView>
  </sheetViews>
  <sheetFormatPr defaultColWidth="12.77734375" defaultRowHeight="14.4" x14ac:dyDescent="0.3"/>
  <cols>
    <col min="1" max="1" width="40.77734375" customWidth="1"/>
    <col min="2" max="2" width="41" bestFit="1" customWidth="1"/>
    <col min="3" max="3" width="34.109375" bestFit="1" customWidth="1"/>
    <col min="4" max="4" width="28.77734375" bestFit="1" customWidth="1"/>
    <col min="5" max="5" width="41" bestFit="1" customWidth="1"/>
    <col min="6" max="6" width="28.109375" bestFit="1" customWidth="1"/>
    <col min="7" max="7" width="16.77734375" bestFit="1" customWidth="1"/>
    <col min="8" max="8" width="33.88671875" bestFit="1" customWidth="1"/>
    <col min="9" max="9" width="28.5546875" bestFit="1" customWidth="1"/>
    <col min="10" max="10" width="46.33203125" bestFit="1" customWidth="1"/>
    <col min="11" max="11" width="15.88671875" bestFit="1" customWidth="1"/>
    <col min="12" max="12" width="18.5546875" bestFit="1" customWidth="1"/>
    <col min="13" max="13" width="6.33203125" bestFit="1" customWidth="1"/>
    <col min="14" max="14" width="6.5546875" bestFit="1" customWidth="1"/>
  </cols>
  <sheetData>
    <row r="1" spans="1:10" ht="15" thickBot="1" x14ac:dyDescent="0.35">
      <c r="A1" s="29"/>
      <c r="B1" s="32"/>
      <c r="C1" s="32"/>
      <c r="D1" s="93" t="s">
        <v>7</v>
      </c>
      <c r="E1" s="92" t="s">
        <v>17</v>
      </c>
      <c r="F1" s="32"/>
      <c r="G1" s="21"/>
    </row>
    <row r="2" spans="1:10" ht="15" thickBot="1" x14ac:dyDescent="0.35">
      <c r="A2" s="62" t="s">
        <v>1086</v>
      </c>
      <c r="B2" s="118" t="s">
        <v>1099</v>
      </c>
      <c r="C2" s="116" t="s">
        <v>1064</v>
      </c>
      <c r="G2" s="23"/>
    </row>
    <row r="3" spans="1:10" ht="15" thickBot="1" x14ac:dyDescent="0.35">
      <c r="A3" s="22"/>
      <c r="B3" s="115">
        <v>1000</v>
      </c>
      <c r="C3" s="117">
        <v>4.8504801097393688</v>
      </c>
      <c r="D3" s="115" t="s">
        <v>1098</v>
      </c>
      <c r="F3" s="114" t="s">
        <v>1102</v>
      </c>
      <c r="G3" s="23"/>
    </row>
    <row r="4" spans="1:10" x14ac:dyDescent="0.3">
      <c r="A4" s="22"/>
      <c r="B4">
        <f>GETPIVOTDATA("Total Lead",$B$2)</f>
        <v>1000</v>
      </c>
      <c r="C4" s="94">
        <f>GETPIVOTDATA("Avg Customer Rating",$B$2)</f>
        <v>4.8504801097393688</v>
      </c>
      <c r="D4" s="115">
        <v>729</v>
      </c>
      <c r="F4" s="34">
        <f>GETPIVOTDATA("Total Lead",$B$2)-GETPIVOTDATA("Lead ID",$D$3)</f>
        <v>271</v>
      </c>
      <c r="G4" s="23"/>
    </row>
    <row r="5" spans="1:10" x14ac:dyDescent="0.3">
      <c r="A5" s="22"/>
      <c r="D5">
        <f>GETPIVOTDATA("Lead ID",$D$3)</f>
        <v>729</v>
      </c>
      <c r="G5" s="23"/>
    </row>
    <row r="6" spans="1:10" x14ac:dyDescent="0.3">
      <c r="A6" s="89"/>
      <c r="B6" s="90"/>
      <c r="C6" s="90"/>
      <c r="D6" s="90"/>
      <c r="E6" s="90"/>
      <c r="F6" s="90"/>
      <c r="G6" s="91"/>
    </row>
    <row r="7" spans="1:10" ht="15" thickBot="1" x14ac:dyDescent="0.35">
      <c r="J7" s="4"/>
    </row>
    <row r="8" spans="1:10" x14ac:dyDescent="0.3">
      <c r="A8" s="29"/>
      <c r="B8" s="32"/>
      <c r="C8" s="32"/>
      <c r="D8" s="32"/>
      <c r="E8" s="32"/>
      <c r="F8" s="32"/>
      <c r="G8" s="32"/>
      <c r="H8" s="32"/>
      <c r="I8" s="32"/>
      <c r="J8" s="64"/>
    </row>
    <row r="9" spans="1:10" ht="15" thickBot="1" x14ac:dyDescent="0.35">
      <c r="A9" s="22"/>
      <c r="B9" s="62" t="s">
        <v>1087</v>
      </c>
      <c r="J9" s="65"/>
    </row>
    <row r="10" spans="1:10" ht="15" thickBot="1" x14ac:dyDescent="0.35">
      <c r="A10" s="22"/>
      <c r="E10" s="44" t="s">
        <v>7</v>
      </c>
      <c r="F10" s="43" t="s">
        <v>17</v>
      </c>
      <c r="J10" s="23"/>
    </row>
    <row r="11" spans="1:10" ht="15" thickBot="1" x14ac:dyDescent="0.35">
      <c r="A11" s="31"/>
      <c r="J11" s="23"/>
    </row>
    <row r="12" spans="1:10" ht="15" thickBot="1" x14ac:dyDescent="0.35">
      <c r="A12" s="36" t="s">
        <v>1052</v>
      </c>
      <c r="B12" s="41" t="s">
        <v>1036</v>
      </c>
      <c r="C12" s="42" t="s">
        <v>1053</v>
      </c>
      <c r="D12" s="43" t="s">
        <v>1054</v>
      </c>
      <c r="E12" s="36" t="s">
        <v>1052</v>
      </c>
      <c r="F12" s="21" t="s">
        <v>1100</v>
      </c>
      <c r="G12" s="66" t="s">
        <v>1044</v>
      </c>
      <c r="H12" s="66" t="s">
        <v>1055</v>
      </c>
      <c r="I12" s="66" t="s">
        <v>1056</v>
      </c>
      <c r="J12" s="67" t="s">
        <v>1060</v>
      </c>
    </row>
    <row r="13" spans="1:10" x14ac:dyDescent="0.3">
      <c r="A13" s="37" t="s">
        <v>15</v>
      </c>
      <c r="B13" s="29">
        <v>263</v>
      </c>
      <c r="C13" s="32">
        <v>212</v>
      </c>
      <c r="D13" s="21">
        <v>212</v>
      </c>
      <c r="E13" s="31" t="s">
        <v>15</v>
      </c>
      <c r="F13" s="101">
        <v>191</v>
      </c>
      <c r="G13" s="4" t="s">
        <v>15</v>
      </c>
      <c r="H13" s="68">
        <f>GETPIVOTDATA("Count of Pre-Booking Date",$A$12,"Store Name","Bangalore MBC")/GETPIVOTDATA("Count of Lead ID",$A$12,"Store Name","Bangalore MBC")</f>
        <v>0.80608365019011408</v>
      </c>
      <c r="I13" s="68">
        <f>GETPIVOTDATA("Count of Booking Date",$A$12,"Store Name","Bangalore MBC")/GETPIVOTDATA("Count of Pre-Booking Date",$A$12,"Store Name","Bangalore MBC")</f>
        <v>1</v>
      </c>
      <c r="J13" s="69">
        <f>GETPIVOTDATA("Lead ID",$E$12,"Store Name","Bangalore MBC")/GETPIVOTDATA("Count of Booking Date",$A$12,"Store Name","Bangalore MBC")</f>
        <v>0.90094339622641506</v>
      </c>
    </row>
    <row r="14" spans="1:10" x14ac:dyDescent="0.3">
      <c r="A14" s="38" t="s">
        <v>32</v>
      </c>
      <c r="B14" s="22">
        <v>212</v>
      </c>
      <c r="C14">
        <v>173</v>
      </c>
      <c r="D14" s="23">
        <v>173</v>
      </c>
      <c r="E14" s="31" t="s">
        <v>32</v>
      </c>
      <c r="F14" s="102">
        <v>153</v>
      </c>
      <c r="G14" s="4" t="s">
        <v>32</v>
      </c>
      <c r="H14" s="68">
        <f>GETPIVOTDATA("Count of Pre-Booking Date",$A$12,"Store Name","Chennai MBC")/GETPIVOTDATA("Count of Lead ID",$A$12,"Store Name","Chennai MBC")</f>
        <v>0.81603773584905659</v>
      </c>
      <c r="I14" s="68">
        <f>GETPIVOTDATA("Count of Booking Date",$A$12,"Store Name","Chennai MBC")/GETPIVOTDATA("Count of Pre-Booking Date",$A$12,"Store Name","Chennai MBC")</f>
        <v>1</v>
      </c>
      <c r="J14" s="69">
        <f>GETPIVOTDATA("Lead ID",$E$12,"Store Name","Chennai MBC")/GETPIVOTDATA("Count of Booking Date",$A$12,"Store Name","Chennai MBC")</f>
        <v>0.88439306358381498</v>
      </c>
    </row>
    <row r="15" spans="1:10" x14ac:dyDescent="0.3">
      <c r="A15" s="38" t="s">
        <v>19</v>
      </c>
      <c r="B15" s="22">
        <v>263</v>
      </c>
      <c r="C15">
        <v>212</v>
      </c>
      <c r="D15" s="23">
        <v>212</v>
      </c>
      <c r="E15" s="31" t="s">
        <v>19</v>
      </c>
      <c r="F15" s="102">
        <v>186</v>
      </c>
      <c r="G15" s="4" t="s">
        <v>19</v>
      </c>
      <c r="H15" s="68">
        <f>GETPIVOTDATA("Count of Pre-Booking Date",$A$12,"Store Name","Delhi MBC")/GETPIVOTDATA("Count of Lead ID",$A$12,"Store Name","Delhi MBC")</f>
        <v>0.80608365019011408</v>
      </c>
      <c r="I15" s="68">
        <f>GETPIVOTDATA("Count of Booking Date",$A$12,"Store Name","Delhi MBC")/GETPIVOTDATA("Count of Pre-Booking Date",$A$12,"Store Name","Delhi MBC")</f>
        <v>1</v>
      </c>
      <c r="J15" s="69">
        <f>GETPIVOTDATA("Lead ID",$E$12,"Store Name","Delhi MBC")/GETPIVOTDATA("Count of Booking Date",$A$12,"Store Name","Delhi MBC")</f>
        <v>0.87735849056603776</v>
      </c>
    </row>
    <row r="16" spans="1:10" ht="15" thickBot="1" x14ac:dyDescent="0.35">
      <c r="A16" s="39" t="s">
        <v>21</v>
      </c>
      <c r="B16" s="22">
        <v>262</v>
      </c>
      <c r="C16">
        <v>215</v>
      </c>
      <c r="D16" s="23">
        <v>215</v>
      </c>
      <c r="E16" s="31" t="s">
        <v>21</v>
      </c>
      <c r="F16" s="102">
        <v>199</v>
      </c>
      <c r="G16" s="4" t="s">
        <v>21</v>
      </c>
      <c r="H16" s="68">
        <f>GETPIVOTDATA("Count of Pre-Booking Date",$A$12,"Store Name","Mumbai MBC")/GETPIVOTDATA("Count of Lead ID",$A$12,"Store Name","Mumbai MBC")</f>
        <v>0.82061068702290074</v>
      </c>
      <c r="I16" s="68">
        <f>GETPIVOTDATA("Count of Booking Date",$A$12,"Store Name","Mumbai MBC")/GETPIVOTDATA("Count of Pre-Booking Date",$A$12,"Store Name","Mumbai MBC")</f>
        <v>1</v>
      </c>
      <c r="J16" s="69">
        <f>GETPIVOTDATA("Lead ID",$E$12,"Store Name","Mumbai MBC")/GETPIVOTDATA("Count of Booking Date",$A$12,"Store Name","Mumbai MBC")</f>
        <v>0.92558139534883721</v>
      </c>
    </row>
    <row r="17" spans="1:10" ht="15" thickBot="1" x14ac:dyDescent="0.35">
      <c r="A17" s="45" t="s">
        <v>1030</v>
      </c>
      <c r="B17" s="26">
        <v>1000</v>
      </c>
      <c r="C17" s="27">
        <v>812</v>
      </c>
      <c r="D17" s="28">
        <v>812</v>
      </c>
      <c r="E17" s="45" t="s">
        <v>1030</v>
      </c>
      <c r="F17" s="103">
        <v>729</v>
      </c>
      <c r="J17" s="23"/>
    </row>
    <row r="18" spans="1:10" x14ac:dyDescent="0.3">
      <c r="A18" s="22"/>
      <c r="J18" s="23"/>
    </row>
    <row r="19" spans="1:10" x14ac:dyDescent="0.3">
      <c r="A19" s="22"/>
      <c r="J19" s="23"/>
    </row>
    <row r="20" spans="1:10" x14ac:dyDescent="0.3">
      <c r="A20" s="22"/>
      <c r="B20" t="s">
        <v>1063</v>
      </c>
      <c r="C20" t="s">
        <v>1065</v>
      </c>
      <c r="D20" t="s">
        <v>1066</v>
      </c>
      <c r="E20" t="s">
        <v>1067</v>
      </c>
      <c r="J20" s="23"/>
    </row>
    <row r="21" spans="1:10" x14ac:dyDescent="0.3">
      <c r="A21" s="22"/>
      <c r="B21">
        <f>GETPIVOTDATA("Count of Lead ID",$A$12)</f>
        <v>1000</v>
      </c>
      <c r="C21">
        <f>GETPIVOTDATA("Count of Pre-Booking Date",$A$12)</f>
        <v>812</v>
      </c>
      <c r="D21">
        <f>GETPIVOTDATA("Count of Booking Date",$A$12)</f>
        <v>812</v>
      </c>
      <c r="E21">
        <f>GETPIVOTDATA("Lead ID",$E$12)</f>
        <v>729</v>
      </c>
      <c r="J21" s="23"/>
    </row>
    <row r="22" spans="1:10" x14ac:dyDescent="0.3">
      <c r="A22" s="22"/>
      <c r="J22" s="23"/>
    </row>
    <row r="23" spans="1:10" x14ac:dyDescent="0.3">
      <c r="A23" s="22"/>
      <c r="J23" s="23"/>
    </row>
    <row r="24" spans="1:10" x14ac:dyDescent="0.3">
      <c r="A24" s="22"/>
      <c r="J24" s="23"/>
    </row>
    <row r="25" spans="1:10" x14ac:dyDescent="0.3">
      <c r="A25" s="22"/>
      <c r="J25" s="23"/>
    </row>
    <row r="26" spans="1:10" x14ac:dyDescent="0.3">
      <c r="A26" s="22"/>
      <c r="J26" s="23"/>
    </row>
    <row r="27" spans="1:10" x14ac:dyDescent="0.3">
      <c r="A27" s="22"/>
      <c r="J27" s="23"/>
    </row>
    <row r="28" spans="1:10" x14ac:dyDescent="0.3">
      <c r="A28" s="22"/>
      <c r="J28" s="23"/>
    </row>
    <row r="29" spans="1:10" x14ac:dyDescent="0.3">
      <c r="A29" s="22"/>
      <c r="J29" s="23"/>
    </row>
    <row r="30" spans="1:10" x14ac:dyDescent="0.3">
      <c r="A30" s="22"/>
      <c r="J30" s="23"/>
    </row>
    <row r="31" spans="1:10" x14ac:dyDescent="0.3">
      <c r="A31" s="22"/>
      <c r="J31" s="23"/>
    </row>
    <row r="32" spans="1:10" x14ac:dyDescent="0.3">
      <c r="A32" s="22"/>
      <c r="J32" s="23"/>
    </row>
    <row r="33" spans="1:10" x14ac:dyDescent="0.3">
      <c r="A33" s="22"/>
      <c r="J33" s="23"/>
    </row>
    <row r="34" spans="1:10" x14ac:dyDescent="0.3">
      <c r="A34" s="22"/>
      <c r="J34" s="23"/>
    </row>
    <row r="35" spans="1:10" x14ac:dyDescent="0.3">
      <c r="A35" s="22"/>
      <c r="J35" s="23"/>
    </row>
    <row r="36" spans="1:10" x14ac:dyDescent="0.3">
      <c r="A36" s="22"/>
      <c r="J36" s="23"/>
    </row>
    <row r="37" spans="1:10" x14ac:dyDescent="0.3">
      <c r="A37" s="22"/>
      <c r="J37" s="23"/>
    </row>
    <row r="38" spans="1:10" x14ac:dyDescent="0.3">
      <c r="A38" s="22"/>
      <c r="J38" s="23"/>
    </row>
    <row r="39" spans="1:10" x14ac:dyDescent="0.3">
      <c r="A39" s="22"/>
      <c r="J39" s="23"/>
    </row>
    <row r="40" spans="1:10" x14ac:dyDescent="0.3">
      <c r="A40" s="22"/>
      <c r="J40" s="23"/>
    </row>
    <row r="41" spans="1:10" x14ac:dyDescent="0.3">
      <c r="A41" s="22"/>
      <c r="J41" s="23"/>
    </row>
    <row r="42" spans="1:10" x14ac:dyDescent="0.3">
      <c r="A42" s="22"/>
      <c r="J42" s="23"/>
    </row>
    <row r="43" spans="1:10" ht="15" thickBot="1" x14ac:dyDescent="0.35">
      <c r="A43" s="26"/>
      <c r="B43" s="27"/>
      <c r="C43" s="27"/>
      <c r="D43" s="27"/>
      <c r="E43" s="27"/>
      <c r="F43" s="27"/>
      <c r="G43" s="27"/>
      <c r="H43" s="27"/>
      <c r="I43" s="27"/>
      <c r="J43" s="28"/>
    </row>
    <row r="44" spans="1:10" ht="15" thickBot="1" x14ac:dyDescent="0.35"/>
    <row r="45" spans="1:10" x14ac:dyDescent="0.3">
      <c r="A45" s="29"/>
      <c r="B45" s="32"/>
      <c r="C45" s="32"/>
      <c r="D45" s="32"/>
      <c r="E45" s="32"/>
      <c r="F45" s="32"/>
      <c r="G45" s="32"/>
      <c r="H45" s="32"/>
      <c r="I45" s="21"/>
    </row>
    <row r="46" spans="1:10" x14ac:dyDescent="0.3">
      <c r="A46" s="22"/>
      <c r="I46" s="23"/>
    </row>
    <row r="47" spans="1:10" x14ac:dyDescent="0.3">
      <c r="A47" s="22"/>
      <c r="I47" s="23"/>
    </row>
    <row r="48" spans="1:10" x14ac:dyDescent="0.3">
      <c r="A48" s="22"/>
      <c r="I48" s="23"/>
    </row>
    <row r="49" spans="1:15" x14ac:dyDescent="0.3">
      <c r="A49" s="22"/>
      <c r="I49" s="23"/>
    </row>
    <row r="50" spans="1:15" x14ac:dyDescent="0.3">
      <c r="A50" s="62" t="s">
        <v>1088</v>
      </c>
      <c r="I50" s="23"/>
    </row>
    <row r="51" spans="1:15" x14ac:dyDescent="0.3">
      <c r="A51" s="22"/>
      <c r="I51" s="23"/>
    </row>
    <row r="52" spans="1:15" x14ac:dyDescent="0.3">
      <c r="A52" s="22"/>
      <c r="I52" s="23"/>
    </row>
    <row r="53" spans="1:15" ht="15" thickBot="1" x14ac:dyDescent="0.35">
      <c r="A53" s="22"/>
      <c r="I53" s="23"/>
    </row>
    <row r="54" spans="1:15" ht="15" thickBot="1" x14ac:dyDescent="0.35">
      <c r="A54" s="36" t="s">
        <v>1034</v>
      </c>
      <c r="B54" s="41" t="s">
        <v>1057</v>
      </c>
      <c r="C54" s="42" t="s">
        <v>1058</v>
      </c>
      <c r="D54" s="52" t="s">
        <v>1059</v>
      </c>
      <c r="I54" s="23"/>
    </row>
    <row r="55" spans="1:15" x14ac:dyDescent="0.3">
      <c r="A55" s="37" t="s">
        <v>15</v>
      </c>
      <c r="B55" s="49">
        <v>3.1179245283018866</v>
      </c>
      <c r="C55" s="50">
        <v>3.0330188679245285</v>
      </c>
      <c r="D55" s="46">
        <v>4.5141509433962268</v>
      </c>
      <c r="I55" s="23"/>
    </row>
    <row r="56" spans="1:15" x14ac:dyDescent="0.3">
      <c r="A56" s="38" t="s">
        <v>32</v>
      </c>
      <c r="B56" s="55">
        <v>3.1213872832369942</v>
      </c>
      <c r="C56" s="94">
        <v>3.2023121387283235</v>
      </c>
      <c r="D56" s="30">
        <v>4.3872832369942198</v>
      </c>
      <c r="I56" s="23"/>
    </row>
    <row r="57" spans="1:15" x14ac:dyDescent="0.3">
      <c r="A57" s="38" t="s">
        <v>19</v>
      </c>
      <c r="B57" s="55">
        <v>3.0283018867924527</v>
      </c>
      <c r="C57" s="94">
        <v>3.0188679245283021</v>
      </c>
      <c r="D57" s="30">
        <v>4.283018867924528</v>
      </c>
      <c r="I57" s="23"/>
    </row>
    <row r="58" spans="1:15" ht="15" thickBot="1" x14ac:dyDescent="0.35">
      <c r="A58" s="39" t="s">
        <v>21</v>
      </c>
      <c r="B58" s="55">
        <v>2.9767441860465116</v>
      </c>
      <c r="C58" s="94">
        <v>3.0465116279069768</v>
      </c>
      <c r="D58" s="30">
        <v>4.6279069767441863</v>
      </c>
      <c r="I58" s="23"/>
    </row>
    <row r="59" spans="1:15" ht="15" thickBot="1" x14ac:dyDescent="0.35">
      <c r="A59" s="45" t="s">
        <v>1030</v>
      </c>
      <c r="B59" s="51">
        <v>3.0578817733990147</v>
      </c>
      <c r="C59" s="47">
        <v>3.0689655172413794</v>
      </c>
      <c r="D59" s="48">
        <v>4.4568965517241379</v>
      </c>
      <c r="I59" s="23"/>
    </row>
    <row r="60" spans="1:15" x14ac:dyDescent="0.3">
      <c r="A60" s="22"/>
      <c r="I60" s="23"/>
    </row>
    <row r="61" spans="1:15" ht="15" thickBot="1" x14ac:dyDescent="0.35">
      <c r="A61" s="26"/>
      <c r="B61" s="27"/>
      <c r="C61" s="27"/>
      <c r="D61" s="27"/>
      <c r="E61" s="27"/>
      <c r="F61" s="27"/>
      <c r="G61" s="27"/>
      <c r="H61" s="27"/>
      <c r="I61" s="28"/>
    </row>
    <row r="62" spans="1:15" ht="15" thickBot="1" x14ac:dyDescent="0.35"/>
    <row r="63" spans="1:15" x14ac:dyDescent="0.3">
      <c r="A63" s="70" t="s">
        <v>1089</v>
      </c>
      <c r="B63" s="32"/>
      <c r="C63" s="32"/>
      <c r="D63" s="32"/>
      <c r="E63" s="32"/>
      <c r="F63" s="32"/>
      <c r="G63" s="32"/>
      <c r="H63" s="32"/>
      <c r="I63" s="32"/>
      <c r="J63" s="32"/>
      <c r="K63" s="32"/>
      <c r="L63" s="32"/>
      <c r="M63" s="32"/>
      <c r="N63" s="32"/>
      <c r="O63" s="21"/>
    </row>
    <row r="64" spans="1:15" x14ac:dyDescent="0.3">
      <c r="A64" s="22"/>
      <c r="H64" s="84" t="s">
        <v>1096</v>
      </c>
      <c r="O64" s="23"/>
    </row>
    <row r="65" spans="1:15" ht="15" thickBot="1" x14ac:dyDescent="0.35">
      <c r="A65" s="22"/>
      <c r="G65" s="66"/>
      <c r="H65" s="66"/>
      <c r="O65" s="23"/>
    </row>
    <row r="66" spans="1:15" ht="15" thickBot="1" x14ac:dyDescent="0.35">
      <c r="A66" s="76" t="s">
        <v>7</v>
      </c>
      <c r="B66" s="77" t="s">
        <v>23</v>
      </c>
      <c r="G66" s="13"/>
      <c r="H66" s="15"/>
      <c r="O66" s="23"/>
    </row>
    <row r="67" spans="1:15" ht="15" thickBot="1" x14ac:dyDescent="0.35">
      <c r="A67" s="22"/>
      <c r="G67" s="13"/>
      <c r="H67" s="76" t="s">
        <v>4</v>
      </c>
      <c r="I67" s="77" t="s">
        <v>1093</v>
      </c>
      <c r="O67" s="23"/>
    </row>
    <row r="68" spans="1:15" ht="15" thickBot="1" x14ac:dyDescent="0.35">
      <c r="A68" s="36" t="s">
        <v>1037</v>
      </c>
      <c r="B68" s="40" t="s">
        <v>1043</v>
      </c>
      <c r="D68" s="6" t="s">
        <v>1037</v>
      </c>
      <c r="E68" s="17" t="s">
        <v>1071</v>
      </c>
      <c r="G68" s="13"/>
      <c r="H68" s="22"/>
      <c r="O68" s="23"/>
    </row>
    <row r="69" spans="1:15" ht="15" thickBot="1" x14ac:dyDescent="0.35">
      <c r="A69" s="37" t="s">
        <v>22</v>
      </c>
      <c r="B69" s="101">
        <v>188</v>
      </c>
      <c r="D69" s="18" t="s">
        <v>22</v>
      </c>
      <c r="E69">
        <f>GETPIVOTDATA("Lead ID",$A$68,"Lead_Type","Cold")</f>
        <v>188</v>
      </c>
      <c r="G69" s="14"/>
      <c r="H69" s="40" t="s">
        <v>1036</v>
      </c>
      <c r="J69" s="83" t="s">
        <v>1094</v>
      </c>
      <c r="O69" s="23"/>
    </row>
    <row r="70" spans="1:15" ht="15" thickBot="1" x14ac:dyDescent="0.35">
      <c r="A70" s="74" t="s">
        <v>30</v>
      </c>
      <c r="B70" s="111">
        <v>26</v>
      </c>
      <c r="D70" s="19" t="s">
        <v>30</v>
      </c>
      <c r="E70">
        <f>GETPIVOTDATA("Lead ID",$A$68,"Lead_Type","Hot")</f>
        <v>26</v>
      </c>
      <c r="H70" s="40">
        <v>188</v>
      </c>
      <c r="J70" s="34">
        <f>GETPIVOTDATA("Lead ID",$H$69)</f>
        <v>188</v>
      </c>
      <c r="O70" s="23"/>
    </row>
    <row r="71" spans="1:15" ht="15" thickBot="1" x14ac:dyDescent="0.35">
      <c r="A71" s="75" t="s">
        <v>16</v>
      </c>
      <c r="B71" s="111">
        <v>57</v>
      </c>
      <c r="D71" s="19" t="s">
        <v>16</v>
      </c>
      <c r="E71">
        <f>GETPIVOTDATA("Lead ID",$A$68,"Lead_Type","Warm")</f>
        <v>57</v>
      </c>
      <c r="O71" s="23"/>
    </row>
    <row r="72" spans="1:15" ht="15" thickBot="1" x14ac:dyDescent="0.35">
      <c r="A72" s="45" t="s">
        <v>1030</v>
      </c>
      <c r="B72" s="80">
        <v>271</v>
      </c>
      <c r="D72" s="16"/>
      <c r="O72" s="23"/>
    </row>
    <row r="73" spans="1:15" ht="15" thickBot="1" x14ac:dyDescent="0.35">
      <c r="A73" s="22"/>
      <c r="H73" s="76" t="s">
        <v>7</v>
      </c>
      <c r="I73" s="77" t="s">
        <v>23</v>
      </c>
      <c r="O73" s="23"/>
    </row>
    <row r="74" spans="1:15" ht="15" thickBot="1" x14ac:dyDescent="0.35">
      <c r="A74" s="22"/>
      <c r="H74" s="76" t="s">
        <v>5</v>
      </c>
      <c r="I74" s="77" t="s">
        <v>1095</v>
      </c>
      <c r="O74" s="23"/>
    </row>
    <row r="75" spans="1:15" ht="15" thickBot="1" x14ac:dyDescent="0.35">
      <c r="A75" s="22"/>
      <c r="H75" s="22"/>
      <c r="O75" s="23"/>
    </row>
    <row r="76" spans="1:15" ht="15" thickBot="1" x14ac:dyDescent="0.35">
      <c r="A76" s="22"/>
      <c r="H76" s="40" t="s">
        <v>1036</v>
      </c>
      <c r="J76" s="83" t="s">
        <v>1101</v>
      </c>
      <c r="O76" s="23"/>
    </row>
    <row r="77" spans="1:15" ht="15" thickBot="1" x14ac:dyDescent="0.35">
      <c r="A77" s="22"/>
      <c r="H77" s="40">
        <v>83</v>
      </c>
      <c r="J77" s="34">
        <f>GETPIVOTDATA("Lead ID",$H$76)</f>
        <v>83</v>
      </c>
      <c r="O77" s="23"/>
    </row>
    <row r="78" spans="1:15" x14ac:dyDescent="0.3">
      <c r="A78" s="22"/>
      <c r="O78" s="23"/>
    </row>
    <row r="79" spans="1:15" ht="15" thickBot="1" x14ac:dyDescent="0.35">
      <c r="A79" s="22"/>
      <c r="O79" s="23"/>
    </row>
    <row r="80" spans="1:15" ht="15" thickBot="1" x14ac:dyDescent="0.35">
      <c r="A80" s="22"/>
      <c r="O80" s="23"/>
    </row>
    <row r="81" spans="1:15" x14ac:dyDescent="0.3">
      <c r="A81" s="22"/>
      <c r="O81" s="23"/>
    </row>
    <row r="82" spans="1:15" ht="15" thickBot="1" x14ac:dyDescent="0.35">
      <c r="A82" s="22"/>
      <c r="O82" s="23"/>
    </row>
    <row r="83" spans="1:15" ht="15" thickBot="1" x14ac:dyDescent="0.35">
      <c r="A83" s="76" t="s">
        <v>7</v>
      </c>
      <c r="B83" s="77" t="s">
        <v>23</v>
      </c>
      <c r="O83" s="23"/>
    </row>
    <row r="84" spans="1:15" ht="15" thickBot="1" x14ac:dyDescent="0.35">
      <c r="A84" s="22"/>
      <c r="O84" s="23"/>
    </row>
    <row r="85" spans="1:15" ht="15" thickBot="1" x14ac:dyDescent="0.35">
      <c r="A85" s="36" t="s">
        <v>8</v>
      </c>
      <c r="B85" s="40" t="s">
        <v>1045</v>
      </c>
      <c r="D85" s="5" t="s">
        <v>8</v>
      </c>
      <c r="E85" s="17" t="s">
        <v>1072</v>
      </c>
      <c r="O85" s="23"/>
    </row>
    <row r="86" spans="1:15" x14ac:dyDescent="0.3">
      <c r="A86" s="37" t="s">
        <v>33</v>
      </c>
      <c r="B86" s="101">
        <v>51</v>
      </c>
      <c r="D86" s="7" t="s">
        <v>33</v>
      </c>
      <c r="E86">
        <f>GETPIVOTDATA("Lead ID",$A$85,"Cancellation Reason","Changed Mind")</f>
        <v>51</v>
      </c>
      <c r="O86" s="23"/>
    </row>
    <row r="87" spans="1:15" x14ac:dyDescent="0.3">
      <c r="A87" s="74" t="s">
        <v>63</v>
      </c>
      <c r="B87" s="111">
        <v>59</v>
      </c>
      <c r="D87" s="8" t="s">
        <v>63</v>
      </c>
      <c r="E87">
        <f>GETPIVOTDATA("Lead ID",$A$85,"Cancellation Reason","Financing Issue")</f>
        <v>59</v>
      </c>
      <c r="O87" s="23"/>
    </row>
    <row r="88" spans="1:15" x14ac:dyDescent="0.3">
      <c r="A88" s="74" t="s">
        <v>26</v>
      </c>
      <c r="B88" s="111">
        <v>43</v>
      </c>
      <c r="D88" s="8" t="s">
        <v>26</v>
      </c>
      <c r="E88">
        <f>GETPIVOTDATA("Lead ID",$A$85,"Cancellation Reason","Model Unavailable")</f>
        <v>43</v>
      </c>
      <c r="O88" s="23"/>
    </row>
    <row r="89" spans="1:15" x14ac:dyDescent="0.3">
      <c r="A89" s="74" t="s">
        <v>24</v>
      </c>
      <c r="B89" s="111">
        <v>57</v>
      </c>
      <c r="D89" s="8" t="s">
        <v>24</v>
      </c>
      <c r="E89">
        <f>GETPIVOTDATA("Lead ID",$A$85,"Cancellation Reason","Other")</f>
        <v>57</v>
      </c>
      <c r="O89" s="23"/>
    </row>
    <row r="90" spans="1:15" ht="15" thickBot="1" x14ac:dyDescent="0.35">
      <c r="A90" s="75" t="s">
        <v>101</v>
      </c>
      <c r="B90" s="111">
        <v>61</v>
      </c>
      <c r="D90" s="8" t="s">
        <v>101</v>
      </c>
      <c r="E90">
        <f>GETPIVOTDATA("Lead ID",$A$85,"Cancellation Reason","Price")</f>
        <v>61</v>
      </c>
      <c r="O90" s="23"/>
    </row>
    <row r="91" spans="1:15" ht="15" thickBot="1" x14ac:dyDescent="0.35">
      <c r="A91" s="45" t="s">
        <v>1030</v>
      </c>
      <c r="B91" s="80">
        <v>271</v>
      </c>
      <c r="D91" s="16"/>
      <c r="O91" s="23"/>
    </row>
    <row r="92" spans="1:15" x14ac:dyDescent="0.3">
      <c r="A92" s="22"/>
      <c r="O92" s="23"/>
    </row>
    <row r="93" spans="1:15" x14ac:dyDescent="0.3">
      <c r="A93" s="22"/>
      <c r="O93" s="23"/>
    </row>
    <row r="94" spans="1:15" x14ac:dyDescent="0.3">
      <c r="A94" s="22"/>
      <c r="O94" s="23"/>
    </row>
    <row r="95" spans="1:15" x14ac:dyDescent="0.3">
      <c r="A95" s="22"/>
      <c r="O95" s="23"/>
    </row>
    <row r="96" spans="1:15" x14ac:dyDescent="0.3">
      <c r="A96" s="22"/>
      <c r="O96" s="23"/>
    </row>
    <row r="97" spans="1:15" x14ac:dyDescent="0.3">
      <c r="A97" s="22"/>
      <c r="O97" s="23"/>
    </row>
    <row r="98" spans="1:15" x14ac:dyDescent="0.3">
      <c r="A98" s="22"/>
      <c r="O98" s="23"/>
    </row>
    <row r="99" spans="1:15" x14ac:dyDescent="0.3">
      <c r="A99" s="22"/>
      <c r="O99" s="23"/>
    </row>
    <row r="100" spans="1:15" x14ac:dyDescent="0.3">
      <c r="A100" s="22"/>
      <c r="O100" s="23"/>
    </row>
    <row r="101" spans="1:15" x14ac:dyDescent="0.3">
      <c r="A101" s="22"/>
      <c r="O101" s="23"/>
    </row>
    <row r="102" spans="1:15" x14ac:dyDescent="0.3">
      <c r="A102" s="22"/>
      <c r="O102" s="23"/>
    </row>
    <row r="103" spans="1:15" ht="15" thickBot="1" x14ac:dyDescent="0.35">
      <c r="A103" s="22"/>
      <c r="O103" s="23"/>
    </row>
    <row r="104" spans="1:15" ht="15" thickBot="1" x14ac:dyDescent="0.35">
      <c r="A104" s="76" t="s">
        <v>7</v>
      </c>
      <c r="B104" s="77" t="s">
        <v>23</v>
      </c>
      <c r="O104" s="23"/>
    </row>
    <row r="105" spans="1:15" ht="15" thickBot="1" x14ac:dyDescent="0.35">
      <c r="A105" s="22"/>
      <c r="O105" s="23"/>
    </row>
    <row r="106" spans="1:15" ht="15" thickBot="1" x14ac:dyDescent="0.35">
      <c r="A106" s="36" t="s">
        <v>1036</v>
      </c>
      <c r="B106" s="36" t="s">
        <v>1035</v>
      </c>
      <c r="C106" s="41"/>
      <c r="D106" s="78"/>
      <c r="E106" s="78"/>
      <c r="F106" s="78"/>
      <c r="G106" s="79"/>
      <c r="O106" s="23"/>
    </row>
    <row r="107" spans="1:15" ht="15" thickBot="1" x14ac:dyDescent="0.35">
      <c r="A107" s="36" t="s">
        <v>1037</v>
      </c>
      <c r="B107" s="41" t="s">
        <v>33</v>
      </c>
      <c r="C107" s="42" t="s">
        <v>63</v>
      </c>
      <c r="D107" s="42" t="s">
        <v>26</v>
      </c>
      <c r="E107" s="42" t="s">
        <v>24</v>
      </c>
      <c r="F107" s="43" t="s">
        <v>101</v>
      </c>
      <c r="G107" s="40" t="s">
        <v>1030</v>
      </c>
      <c r="I107" s="5" t="s">
        <v>1037</v>
      </c>
      <c r="J107" t="s">
        <v>33</v>
      </c>
      <c r="K107" t="s">
        <v>63</v>
      </c>
      <c r="L107" t="s">
        <v>26</v>
      </c>
      <c r="M107" t="s">
        <v>101</v>
      </c>
      <c r="N107" t="s">
        <v>24</v>
      </c>
      <c r="O107" s="23"/>
    </row>
    <row r="108" spans="1:15" x14ac:dyDescent="0.3">
      <c r="A108" s="37" t="s">
        <v>15</v>
      </c>
      <c r="B108" s="29">
        <v>13</v>
      </c>
      <c r="C108" s="32">
        <v>14</v>
      </c>
      <c r="D108" s="32">
        <v>13</v>
      </c>
      <c r="E108" s="32">
        <v>22</v>
      </c>
      <c r="F108" s="32">
        <v>10</v>
      </c>
      <c r="G108" s="108">
        <v>72</v>
      </c>
      <c r="I108" s="7" t="s">
        <v>15</v>
      </c>
      <c r="J108">
        <f>GETPIVOTDATA("Lead ID",$A$106,"Store Name","Bangalore MBC","Cancellation Reason","Changed Mind")</f>
        <v>13</v>
      </c>
      <c r="K108">
        <f>GETPIVOTDATA("Lead ID",$A$106,"Store Name","Bangalore MBC","Cancellation Reason","Financing Issue")</f>
        <v>14</v>
      </c>
      <c r="L108">
        <f>GETPIVOTDATA("Lead ID",$A$106,"Store Name","Bangalore MBC","Cancellation Reason","Model Unavailable")</f>
        <v>13</v>
      </c>
      <c r="M108">
        <f>GETPIVOTDATA("Lead ID",$A$106,"Store Name","Bangalore MBC","Cancellation Reason","Price")</f>
        <v>10</v>
      </c>
      <c r="N108">
        <f>GETPIVOTDATA("Lead ID",$A$106,"Store Name","Bangalore MBC","Cancellation Reason","Other")</f>
        <v>22</v>
      </c>
      <c r="O108" s="23"/>
    </row>
    <row r="109" spans="1:15" x14ac:dyDescent="0.3">
      <c r="A109" s="74" t="s">
        <v>32</v>
      </c>
      <c r="B109" s="109">
        <v>15</v>
      </c>
      <c r="C109" s="104">
        <v>10</v>
      </c>
      <c r="D109" s="104">
        <v>8</v>
      </c>
      <c r="E109" s="104">
        <v>8</v>
      </c>
      <c r="F109" s="104">
        <v>18</v>
      </c>
      <c r="G109" s="105">
        <v>59</v>
      </c>
      <c r="I109" s="8" t="s">
        <v>32</v>
      </c>
      <c r="J109">
        <f>GETPIVOTDATA("Lead ID",$A$106,"Store Name","Chennai MBC","Cancellation Reason","Changed Mind")</f>
        <v>15</v>
      </c>
      <c r="K109">
        <f>GETPIVOTDATA("Lead ID",$A$106,"Store Name","Chennai MBC","Cancellation Reason","Financing Issue")</f>
        <v>10</v>
      </c>
      <c r="L109">
        <f>GETPIVOTDATA("Lead ID",$A$106,"Store Name","Chennai MBC","Cancellation Reason","Model Unavailable")</f>
        <v>8</v>
      </c>
      <c r="M109">
        <f>GETPIVOTDATA("Lead ID",$A$106,"Store Name","Chennai MBC","Cancellation Reason","Price")</f>
        <v>18</v>
      </c>
      <c r="N109">
        <f>GETPIVOTDATA("Lead ID",$A$106,"Store Name","Chennai MBC","Cancellation Reason","Other")</f>
        <v>8</v>
      </c>
      <c r="O109" s="23"/>
    </row>
    <row r="110" spans="1:15" x14ac:dyDescent="0.3">
      <c r="A110" s="74" t="s">
        <v>19</v>
      </c>
      <c r="B110" s="109">
        <v>14</v>
      </c>
      <c r="C110" s="104">
        <v>21</v>
      </c>
      <c r="D110" s="104">
        <v>13</v>
      </c>
      <c r="E110" s="104">
        <v>13</v>
      </c>
      <c r="F110" s="104">
        <v>16</v>
      </c>
      <c r="G110" s="105">
        <v>77</v>
      </c>
      <c r="I110" s="8" t="s">
        <v>19</v>
      </c>
      <c r="J110">
        <f>GETPIVOTDATA("Lead ID",$A$106,"Store Name","Delhi MBC","Cancellation Reason","Changed Mind")</f>
        <v>14</v>
      </c>
      <c r="K110">
        <f>GETPIVOTDATA("Lead ID",$A$106,"Store Name","Delhi MBC","Cancellation Reason","Financing Issue")</f>
        <v>21</v>
      </c>
      <c r="L110">
        <f>GETPIVOTDATA("Lead ID",$A$106,"Store Name","Delhi MBC","Cancellation Reason","Model Unavailable")</f>
        <v>13</v>
      </c>
      <c r="M110">
        <f>GETPIVOTDATA("Lead ID",$A$106,"Store Name","Delhi MBC","Cancellation Reason","Price")</f>
        <v>16</v>
      </c>
      <c r="N110">
        <f>GETPIVOTDATA("Lead ID",$A$106,"Store Name","Delhi MBC","Cancellation Reason","Other")</f>
        <v>13</v>
      </c>
      <c r="O110" s="23"/>
    </row>
    <row r="111" spans="1:15" ht="15" thickBot="1" x14ac:dyDescent="0.35">
      <c r="A111" s="75" t="s">
        <v>21</v>
      </c>
      <c r="B111" s="110">
        <v>9</v>
      </c>
      <c r="C111" s="106">
        <v>14</v>
      </c>
      <c r="D111" s="106">
        <v>9</v>
      </c>
      <c r="E111" s="106">
        <v>14</v>
      </c>
      <c r="F111" s="106">
        <v>17</v>
      </c>
      <c r="G111" s="107">
        <v>63</v>
      </c>
      <c r="I111" s="9" t="s">
        <v>21</v>
      </c>
      <c r="J111">
        <f>GETPIVOTDATA("Lead ID",$A$106,"Store Name","Mumbai MBC","Cancellation Reason","Changed Mind")</f>
        <v>9</v>
      </c>
      <c r="K111">
        <f>GETPIVOTDATA("Lead ID",$A$106,"Store Name","Mumbai MBC","Cancellation Reason","Financing Issue")</f>
        <v>14</v>
      </c>
      <c r="L111">
        <f>GETPIVOTDATA("Lead ID",$A$106,"Store Name","Mumbai MBC","Cancellation Reason","Model Unavailable")</f>
        <v>9</v>
      </c>
      <c r="M111">
        <f>GETPIVOTDATA("Lead ID",$A$106,"Store Name","Mumbai MBC","Cancellation Reason","Price")</f>
        <v>17</v>
      </c>
      <c r="N111">
        <f>GETPIVOTDATA("Lead ID",$A$106,"Store Name","Mumbai MBC","Cancellation Reason","Other")</f>
        <v>14</v>
      </c>
      <c r="O111" s="23"/>
    </row>
    <row r="112" spans="1:15" x14ac:dyDescent="0.3">
      <c r="A112" s="22"/>
      <c r="O112" s="23"/>
    </row>
    <row r="113" spans="1:15" ht="15" thickBot="1" x14ac:dyDescent="0.35">
      <c r="A113" s="26"/>
      <c r="B113" s="27"/>
      <c r="C113" s="27"/>
      <c r="D113" s="27"/>
      <c r="E113" s="27"/>
      <c r="F113" s="27"/>
      <c r="G113" s="27"/>
      <c r="H113" s="27"/>
      <c r="I113" s="27"/>
      <c r="J113" s="27"/>
      <c r="K113" s="27"/>
      <c r="L113" s="27"/>
      <c r="M113" s="27"/>
      <c r="N113" s="27"/>
      <c r="O113" s="28"/>
    </row>
    <row r="114" spans="1:15" x14ac:dyDescent="0.3">
      <c r="A114" s="29"/>
      <c r="B114" s="32"/>
      <c r="C114" s="32"/>
      <c r="D114" s="32"/>
      <c r="E114" s="32"/>
      <c r="F114" s="32"/>
      <c r="G114" s="32"/>
      <c r="H114" s="32"/>
      <c r="I114" s="21"/>
    </row>
    <row r="115" spans="1:15" x14ac:dyDescent="0.3">
      <c r="A115" s="62" t="s">
        <v>1090</v>
      </c>
      <c r="I115" s="23"/>
    </row>
    <row r="116" spans="1:15" x14ac:dyDescent="0.3">
      <c r="A116" s="22"/>
      <c r="I116" s="23"/>
    </row>
    <row r="117" spans="1:15" x14ac:dyDescent="0.3">
      <c r="A117" s="22"/>
      <c r="I117" s="23"/>
    </row>
    <row r="118" spans="1:15" x14ac:dyDescent="0.3">
      <c r="A118" s="22"/>
      <c r="I118" s="23"/>
    </row>
    <row r="119" spans="1:15" x14ac:dyDescent="0.3">
      <c r="A119" s="22"/>
      <c r="I119" s="23"/>
    </row>
    <row r="120" spans="1:15" x14ac:dyDescent="0.3">
      <c r="A120" s="22"/>
      <c r="I120" s="23"/>
    </row>
    <row r="121" spans="1:15" ht="15" thickBot="1" x14ac:dyDescent="0.35">
      <c r="A121" s="81" t="s">
        <v>1037</v>
      </c>
      <c r="B121" s="80" t="s">
        <v>1036</v>
      </c>
      <c r="D121" s="6" t="s">
        <v>1037</v>
      </c>
      <c r="E121" s="17" t="s">
        <v>1075</v>
      </c>
      <c r="I121" s="23"/>
    </row>
    <row r="122" spans="1:15" x14ac:dyDescent="0.3">
      <c r="A122" s="82" t="s">
        <v>22</v>
      </c>
      <c r="B122" s="113">
        <v>188</v>
      </c>
      <c r="D122" s="18" t="s">
        <v>22</v>
      </c>
      <c r="E122">
        <f>GETPIVOTDATA("Lead ID",$A$121,"Lead_Type","Cold")</f>
        <v>188</v>
      </c>
      <c r="I122" s="23"/>
    </row>
    <row r="123" spans="1:15" x14ac:dyDescent="0.3">
      <c r="A123" s="74" t="s">
        <v>30</v>
      </c>
      <c r="B123" s="111">
        <v>303</v>
      </c>
      <c r="D123" s="19" t="s">
        <v>30</v>
      </c>
      <c r="E123">
        <f>GETPIVOTDATA("Lead ID",$A$121,"Lead_Type","Hot")</f>
        <v>303</v>
      </c>
      <c r="I123" s="23"/>
    </row>
    <row r="124" spans="1:15" ht="15" thickBot="1" x14ac:dyDescent="0.35">
      <c r="A124" s="75" t="s">
        <v>16</v>
      </c>
      <c r="B124" s="112">
        <v>509</v>
      </c>
      <c r="D124" s="20" t="s">
        <v>16</v>
      </c>
      <c r="E124">
        <f>GETPIVOTDATA("Lead ID",$A$121,"Lead_Type","Warm")</f>
        <v>509</v>
      </c>
      <c r="I124" s="23"/>
    </row>
    <row r="125" spans="1:15" x14ac:dyDescent="0.3">
      <c r="A125" s="22"/>
      <c r="I125" s="23"/>
    </row>
    <row r="126" spans="1:15" x14ac:dyDescent="0.3">
      <c r="A126" s="22"/>
      <c r="I126" s="23"/>
    </row>
    <row r="127" spans="1:15" x14ac:dyDescent="0.3">
      <c r="A127" s="22"/>
      <c r="I127" s="23"/>
    </row>
    <row r="128" spans="1:15" x14ac:dyDescent="0.3">
      <c r="A128" s="22"/>
      <c r="I128" s="23"/>
    </row>
    <row r="129" spans="1:10" x14ac:dyDescent="0.3">
      <c r="A129" s="22"/>
      <c r="I129" s="23"/>
    </row>
    <row r="130" spans="1:10" x14ac:dyDescent="0.3">
      <c r="A130" s="22"/>
      <c r="I130" s="23"/>
    </row>
    <row r="131" spans="1:10" x14ac:dyDescent="0.3">
      <c r="A131" s="22"/>
      <c r="I131" s="23"/>
    </row>
    <row r="132" spans="1:10" ht="15" thickBot="1" x14ac:dyDescent="0.35">
      <c r="A132" s="26"/>
      <c r="B132" s="27"/>
      <c r="C132" s="27"/>
      <c r="D132" s="27"/>
      <c r="E132" s="27"/>
      <c r="F132" s="27"/>
      <c r="G132" s="27"/>
      <c r="H132" s="27"/>
      <c r="I132" s="28"/>
    </row>
    <row r="133" spans="1:10" ht="15" thickBot="1" x14ac:dyDescent="0.35"/>
    <row r="134" spans="1:10" x14ac:dyDescent="0.3">
      <c r="A134" s="70" t="s">
        <v>1091</v>
      </c>
      <c r="B134" s="32"/>
      <c r="C134" s="32"/>
      <c r="D134" s="32"/>
      <c r="E134" s="32"/>
      <c r="F134" s="32"/>
      <c r="G134" s="32"/>
      <c r="H134" s="32"/>
      <c r="I134" s="32"/>
      <c r="J134" s="21"/>
    </row>
    <row r="135" spans="1:10" x14ac:dyDescent="0.3">
      <c r="A135" s="22"/>
      <c r="J135" s="23"/>
    </row>
    <row r="136" spans="1:10" x14ac:dyDescent="0.3">
      <c r="A136" s="22"/>
      <c r="J136" s="23"/>
    </row>
    <row r="137" spans="1:10" x14ac:dyDescent="0.3">
      <c r="A137" s="22"/>
      <c r="J137" s="23"/>
    </row>
    <row r="138" spans="1:10" ht="15" thickBot="1" x14ac:dyDescent="0.35">
      <c r="A138" s="22"/>
      <c r="J138" s="23"/>
    </row>
    <row r="139" spans="1:10" ht="15" thickBot="1" x14ac:dyDescent="0.35">
      <c r="A139" s="22"/>
      <c r="B139" s="36" t="s">
        <v>1037</v>
      </c>
      <c r="C139" s="40" t="s">
        <v>1036</v>
      </c>
      <c r="J139" s="23"/>
    </row>
    <row r="140" spans="1:10" x14ac:dyDescent="0.3">
      <c r="A140" s="22"/>
      <c r="B140" s="37" t="s">
        <v>1047</v>
      </c>
      <c r="C140" s="101">
        <v>494</v>
      </c>
      <c r="J140" s="23"/>
    </row>
    <row r="141" spans="1:10" x14ac:dyDescent="0.3">
      <c r="A141" s="22"/>
      <c r="B141" s="74" t="s">
        <v>1048</v>
      </c>
      <c r="C141" s="111">
        <v>131</v>
      </c>
      <c r="J141" s="23"/>
    </row>
    <row r="142" spans="1:10" ht="15" thickBot="1" x14ac:dyDescent="0.35">
      <c r="A142" s="22"/>
      <c r="B142" s="75" t="s">
        <v>1049</v>
      </c>
      <c r="C142" s="112">
        <v>104</v>
      </c>
      <c r="J142" s="23"/>
    </row>
    <row r="143" spans="1:10" x14ac:dyDescent="0.3">
      <c r="A143" s="22"/>
      <c r="J143" s="23"/>
    </row>
    <row r="144" spans="1:10" x14ac:dyDescent="0.3">
      <c r="A144" s="22"/>
      <c r="J144" s="23"/>
    </row>
    <row r="145" spans="1:10" x14ac:dyDescent="0.3">
      <c r="A145" s="22"/>
      <c r="J145" s="23"/>
    </row>
    <row r="146" spans="1:10" x14ac:dyDescent="0.3">
      <c r="A146" s="22"/>
      <c r="J146" s="23"/>
    </row>
    <row r="147" spans="1:10" x14ac:dyDescent="0.3">
      <c r="A147" s="22"/>
      <c r="J147" s="23"/>
    </row>
    <row r="148" spans="1:10" x14ac:dyDescent="0.3">
      <c r="A148" s="22"/>
      <c r="J148" s="23"/>
    </row>
    <row r="149" spans="1:10" x14ac:dyDescent="0.3">
      <c r="A149" s="22"/>
      <c r="J149" s="23"/>
    </row>
    <row r="150" spans="1:10" x14ac:dyDescent="0.3">
      <c r="A150" s="22"/>
      <c r="J150" s="23"/>
    </row>
    <row r="151" spans="1:10" x14ac:dyDescent="0.3">
      <c r="A151" s="22"/>
      <c r="J151" s="23"/>
    </row>
    <row r="152" spans="1:10" x14ac:dyDescent="0.3">
      <c r="A152" s="22"/>
      <c r="J152" s="23"/>
    </row>
    <row r="153" spans="1:10" x14ac:dyDescent="0.3">
      <c r="A153" s="22"/>
      <c r="J153" s="23"/>
    </row>
    <row r="154" spans="1:10" x14ac:dyDescent="0.3">
      <c r="A154" s="22"/>
      <c r="J154" s="23"/>
    </row>
    <row r="155" spans="1:10" x14ac:dyDescent="0.3">
      <c r="A155" s="22"/>
      <c r="J155" s="23"/>
    </row>
    <row r="156" spans="1:10" x14ac:dyDescent="0.3">
      <c r="A156" s="22"/>
      <c r="J156" s="23"/>
    </row>
    <row r="157" spans="1:10" x14ac:dyDescent="0.3">
      <c r="A157" s="22"/>
      <c r="J157" s="23"/>
    </row>
    <row r="158" spans="1:10" x14ac:dyDescent="0.3">
      <c r="A158" s="22"/>
      <c r="J158" s="23"/>
    </row>
    <row r="159" spans="1:10" ht="15" thickBot="1" x14ac:dyDescent="0.35">
      <c r="A159" s="22"/>
      <c r="J159" s="23"/>
    </row>
    <row r="160" spans="1:10" ht="15" thickBot="1" x14ac:dyDescent="0.35">
      <c r="A160" s="22"/>
      <c r="B160" s="36" t="s">
        <v>1037</v>
      </c>
      <c r="C160" s="40" t="s">
        <v>1062</v>
      </c>
      <c r="E160" s="6" t="s">
        <v>1037</v>
      </c>
      <c r="F160" t="s">
        <v>1073</v>
      </c>
      <c r="J160" s="23"/>
    </row>
    <row r="161" spans="1:10" x14ac:dyDescent="0.3">
      <c r="A161" s="22"/>
      <c r="B161" s="37" t="s">
        <v>15</v>
      </c>
      <c r="C161" s="71">
        <v>4.670157068062827</v>
      </c>
      <c r="E161" s="18" t="s">
        <v>15</v>
      </c>
      <c r="F161" s="63">
        <f>GETPIVOTDATA("Customer Rating",$B$160,"Store Name","Bangalore MBC")</f>
        <v>4.670157068062827</v>
      </c>
      <c r="J161" s="23"/>
    </row>
    <row r="162" spans="1:10" x14ac:dyDescent="0.3">
      <c r="A162" s="22"/>
      <c r="B162" s="74" t="s">
        <v>32</v>
      </c>
      <c r="C162" s="72">
        <v>5.0130718954248366</v>
      </c>
      <c r="E162" s="19" t="s">
        <v>32</v>
      </c>
      <c r="F162" s="63">
        <f>GETPIVOTDATA("Customer Rating",$B$160,"Store Name","Chennai MBC")</f>
        <v>5.0130718954248366</v>
      </c>
      <c r="J162" s="23"/>
    </row>
    <row r="163" spans="1:10" x14ac:dyDescent="0.3">
      <c r="A163" s="22"/>
      <c r="B163" s="74" t="s">
        <v>19</v>
      </c>
      <c r="C163" s="72">
        <v>4.897849462365591</v>
      </c>
      <c r="E163" s="19" t="s">
        <v>19</v>
      </c>
      <c r="F163" s="63">
        <f>GETPIVOTDATA("Customer Rating",$B$160,"Store Name","Delhi MBC")</f>
        <v>4.897849462365591</v>
      </c>
      <c r="J163" s="23"/>
    </row>
    <row r="164" spans="1:10" ht="15" thickBot="1" x14ac:dyDescent="0.35">
      <c r="A164" s="22"/>
      <c r="B164" s="75" t="s">
        <v>21</v>
      </c>
      <c r="C164" s="73">
        <v>4.8542713567839195</v>
      </c>
      <c r="E164" s="20" t="s">
        <v>21</v>
      </c>
      <c r="F164" s="63">
        <f>GETPIVOTDATA("Customer Rating",$B$160,"Store Name","Mumbai MBC")</f>
        <v>4.8542713567839195</v>
      </c>
      <c r="J164" s="23"/>
    </row>
    <row r="165" spans="1:10" x14ac:dyDescent="0.3">
      <c r="A165" s="22"/>
      <c r="J165" s="23"/>
    </row>
    <row r="166" spans="1:10" x14ac:dyDescent="0.3">
      <c r="A166" s="22"/>
      <c r="J166" s="23"/>
    </row>
    <row r="167" spans="1:10" ht="15" thickBot="1" x14ac:dyDescent="0.35">
      <c r="A167" s="26"/>
      <c r="B167" s="27"/>
      <c r="C167" s="27"/>
      <c r="D167" s="27"/>
      <c r="E167" s="27"/>
      <c r="F167" s="27"/>
      <c r="G167" s="27"/>
      <c r="H167" s="27"/>
      <c r="I167" s="27"/>
      <c r="J167" s="28"/>
    </row>
    <row r="168" spans="1:10" ht="15" thickBot="1" x14ac:dyDescent="0.35"/>
    <row r="169" spans="1:10" ht="15" thickBot="1" x14ac:dyDescent="0.35">
      <c r="A169" s="29"/>
      <c r="B169" s="32"/>
      <c r="C169" s="32"/>
      <c r="D169" s="32"/>
      <c r="E169" s="32"/>
      <c r="F169" s="32"/>
      <c r="G169" s="32"/>
      <c r="H169" s="32"/>
      <c r="I169" s="32"/>
      <c r="J169" s="21"/>
    </row>
    <row r="170" spans="1:10" x14ac:dyDescent="0.3">
      <c r="A170" s="70" t="s">
        <v>1092</v>
      </c>
      <c r="J170" s="23"/>
    </row>
    <row r="171" spans="1:10" ht="15" thickBot="1" x14ac:dyDescent="0.35">
      <c r="A171" s="22"/>
      <c r="J171" s="23"/>
    </row>
    <row r="172" spans="1:10" ht="15" thickBot="1" x14ac:dyDescent="0.35">
      <c r="A172" s="36" t="s">
        <v>1036</v>
      </c>
      <c r="B172" s="36" t="s">
        <v>1035</v>
      </c>
      <c r="J172" s="23"/>
    </row>
    <row r="173" spans="1:10" ht="15" thickBot="1" x14ac:dyDescent="0.35">
      <c r="A173" s="36" t="s">
        <v>1037</v>
      </c>
      <c r="B173" s="40" t="s">
        <v>1061</v>
      </c>
      <c r="J173" s="23"/>
    </row>
    <row r="174" spans="1:10" x14ac:dyDescent="0.3">
      <c r="A174" s="37" t="s">
        <v>15</v>
      </c>
      <c r="B174" s="101">
        <v>191</v>
      </c>
      <c r="D174" s="6" t="s">
        <v>1044</v>
      </c>
      <c r="E174" t="s">
        <v>1074</v>
      </c>
      <c r="J174" s="23"/>
    </row>
    <row r="175" spans="1:10" x14ac:dyDescent="0.3">
      <c r="A175" s="74" t="s">
        <v>32</v>
      </c>
      <c r="B175" s="111">
        <v>153</v>
      </c>
      <c r="D175" s="18" t="s">
        <v>15</v>
      </c>
      <c r="E175">
        <f>GETPIVOTDATA("Lead ID",$A$172,"Store Name","Bangalore MBC","Lead Potential","High Potential")</f>
        <v>191</v>
      </c>
      <c r="J175" s="23"/>
    </row>
    <row r="176" spans="1:10" x14ac:dyDescent="0.3">
      <c r="A176" s="74" t="s">
        <v>19</v>
      </c>
      <c r="B176" s="111">
        <v>186</v>
      </c>
      <c r="D176" s="19" t="s">
        <v>32</v>
      </c>
      <c r="E176">
        <f>GETPIVOTDATA("Lead ID",$A$172,"Store Name","Chennai MBC","Lead Potential","High Potential")</f>
        <v>153</v>
      </c>
      <c r="J176" s="23"/>
    </row>
    <row r="177" spans="1:10" ht="15" thickBot="1" x14ac:dyDescent="0.35">
      <c r="A177" s="75" t="s">
        <v>21</v>
      </c>
      <c r="B177" s="111">
        <v>199</v>
      </c>
      <c r="D177" s="19" t="s">
        <v>19</v>
      </c>
      <c r="E177">
        <f>GETPIVOTDATA("Lead ID",$A$172,"Store Name","Delhi MBC","Lead Potential","High Potential")</f>
        <v>186</v>
      </c>
      <c r="J177" s="23"/>
    </row>
    <row r="178" spans="1:10" ht="15" thickBot="1" x14ac:dyDescent="0.35">
      <c r="A178" s="45" t="s">
        <v>1030</v>
      </c>
      <c r="B178" s="80">
        <v>729</v>
      </c>
      <c r="D178" s="19" t="s">
        <v>21</v>
      </c>
      <c r="E178">
        <f>GETPIVOTDATA("Lead ID",$A$172,"Store Name","Mumbai MBC","Lead Potential","High Potential")</f>
        <v>199</v>
      </c>
      <c r="J178" s="23"/>
    </row>
    <row r="179" spans="1:10" x14ac:dyDescent="0.3">
      <c r="A179" s="22"/>
      <c r="J179" s="23"/>
    </row>
    <row r="180" spans="1:10" x14ac:dyDescent="0.3">
      <c r="A180" s="22"/>
      <c r="J180" s="23"/>
    </row>
    <row r="181" spans="1:10" x14ac:dyDescent="0.3">
      <c r="A181" s="22"/>
      <c r="J181" s="23"/>
    </row>
    <row r="182" spans="1:10" x14ac:dyDescent="0.3">
      <c r="A182" s="22"/>
      <c r="J182" s="23"/>
    </row>
    <row r="183" spans="1:10" x14ac:dyDescent="0.3">
      <c r="A183" s="22"/>
      <c r="J183" s="23"/>
    </row>
    <row r="184" spans="1:10" x14ac:dyDescent="0.3">
      <c r="A184" s="22"/>
      <c r="J184" s="23"/>
    </row>
    <row r="185" spans="1:10" x14ac:dyDescent="0.3">
      <c r="A185" s="22"/>
      <c r="J185" s="23"/>
    </row>
    <row r="186" spans="1:10" x14ac:dyDescent="0.3">
      <c r="A186" s="22"/>
      <c r="J186" s="23"/>
    </row>
    <row r="187" spans="1:10" x14ac:dyDescent="0.3">
      <c r="A187" s="22"/>
      <c r="J187" s="23"/>
    </row>
    <row r="188" spans="1:10" x14ac:dyDescent="0.3">
      <c r="A188" s="22"/>
      <c r="J188" s="23"/>
    </row>
    <row r="189" spans="1:10" x14ac:dyDescent="0.3">
      <c r="A189" s="22"/>
      <c r="J189" s="23"/>
    </row>
    <row r="190" spans="1:10" x14ac:dyDescent="0.3">
      <c r="A190" s="22"/>
      <c r="J190" s="23"/>
    </row>
    <row r="191" spans="1:10" x14ac:dyDescent="0.3">
      <c r="A191" s="22"/>
      <c r="J191" s="23"/>
    </row>
    <row r="192" spans="1:10" x14ac:dyDescent="0.3">
      <c r="A192" s="22"/>
      <c r="J192" s="23"/>
    </row>
    <row r="193" spans="1:10" x14ac:dyDescent="0.3">
      <c r="A193" s="22"/>
      <c r="J193" s="23"/>
    </row>
    <row r="194" spans="1:10" x14ac:dyDescent="0.3">
      <c r="A194" s="22"/>
      <c r="J194" s="23"/>
    </row>
    <row r="195" spans="1:10" ht="15" thickBot="1" x14ac:dyDescent="0.35">
      <c r="A195" s="26"/>
      <c r="B195" s="27"/>
      <c r="C195" s="27"/>
      <c r="D195" s="27"/>
      <c r="E195" s="27"/>
      <c r="F195" s="27"/>
      <c r="G195" s="27"/>
      <c r="H195" s="27"/>
      <c r="I195" s="27"/>
      <c r="J195" s="28"/>
    </row>
    <row r="196" spans="1:10" ht="15" thickBot="1" x14ac:dyDescent="0.35"/>
    <row r="197" spans="1:10" x14ac:dyDescent="0.3">
      <c r="A197" s="120" t="s">
        <v>1106</v>
      </c>
      <c r="B197" s="32"/>
      <c r="C197" s="32"/>
      <c r="D197" s="32"/>
      <c r="E197" s="21"/>
    </row>
    <row r="198" spans="1:10" x14ac:dyDescent="0.3">
      <c r="A198" s="22"/>
      <c r="E198" s="23"/>
    </row>
    <row r="199" spans="1:10" x14ac:dyDescent="0.3">
      <c r="A199" s="22"/>
      <c r="E199" s="23"/>
    </row>
    <row r="200" spans="1:10" ht="15" thickBot="1" x14ac:dyDescent="0.35">
      <c r="A200" s="96" t="s">
        <v>1105</v>
      </c>
      <c r="B200" s="97" t="s">
        <v>1104</v>
      </c>
      <c r="D200" s="96" t="s">
        <v>1044</v>
      </c>
      <c r="E200" s="97" t="s">
        <v>1104</v>
      </c>
    </row>
    <row r="201" spans="1:10" x14ac:dyDescent="0.3">
      <c r="A201" s="98" t="s">
        <v>1047</v>
      </c>
      <c r="B201" s="99">
        <v>19.629554655870447</v>
      </c>
      <c r="D201" s="98" t="s">
        <v>15</v>
      </c>
      <c r="E201" s="99">
        <v>19.670157068062828</v>
      </c>
    </row>
    <row r="202" spans="1:10" x14ac:dyDescent="0.3">
      <c r="A202" s="100" t="s">
        <v>1048</v>
      </c>
      <c r="B202" s="72">
        <v>20</v>
      </c>
      <c r="D202" s="100" t="s">
        <v>32</v>
      </c>
      <c r="E202" s="72">
        <v>20.300653594771241</v>
      </c>
    </row>
    <row r="203" spans="1:10" x14ac:dyDescent="0.3">
      <c r="A203" s="100" t="s">
        <v>1049</v>
      </c>
      <c r="B203" s="72">
        <v>20.682692307692307</v>
      </c>
      <c r="D203" s="100" t="s">
        <v>19</v>
      </c>
      <c r="E203" s="72">
        <v>20.274193548387096</v>
      </c>
    </row>
    <row r="204" spans="1:10" ht="15" thickBot="1" x14ac:dyDescent="0.35">
      <c r="A204" s="119" t="s">
        <v>1030</v>
      </c>
      <c r="B204" s="97">
        <v>19.846364883401922</v>
      </c>
      <c r="D204" s="100" t="s">
        <v>21</v>
      </c>
      <c r="E204" s="72">
        <v>19.266331658291456</v>
      </c>
    </row>
    <row r="205" spans="1:10" ht="15" thickBot="1" x14ac:dyDescent="0.35">
      <c r="A205" s="22"/>
      <c r="D205" s="119" t="s">
        <v>1030</v>
      </c>
      <c r="E205" s="97">
        <v>19.846364883401922</v>
      </c>
    </row>
    <row r="206" spans="1:10" x14ac:dyDescent="0.3">
      <c r="A206" s="22"/>
      <c r="E206" s="23"/>
    </row>
    <row r="207" spans="1:10" ht="15" thickBot="1" x14ac:dyDescent="0.35">
      <c r="A207" s="26"/>
      <c r="B207" s="27"/>
      <c r="C207" s="27"/>
      <c r="D207" s="27"/>
      <c r="E207" s="28"/>
    </row>
    <row r="209" ht="15" thickBot="1" x14ac:dyDescent="0.35"/>
    <row r="213" ht="15" thickBot="1" x14ac:dyDescent="0.35"/>
  </sheetData>
  <pageMargins left="0.7" right="0.7" top="0.75" bottom="0.75" header="0.3" footer="0.3"/>
  <drawing r:id="rId17"/>
  <tableParts count="5">
    <tablePart r:id="rId18"/>
    <tablePart r:id="rId19"/>
    <tablePart r:id="rId20"/>
    <tablePart r:id="rId21"/>
    <tablePart r:id="rId22"/>
  </tableParts>
  <extLst>
    <ext xmlns:x14="http://schemas.microsoft.com/office/spreadsheetml/2009/9/main" uri="{A8765BA9-456A-4dab-B4F3-ACF838C121DE}">
      <x14:slicerList>
        <x14:slicer r:id="rId2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9288A4-7C77-4B05-A032-6608537F6404}">
  <sheetPr>
    <tabColor rgb="FF00B050"/>
  </sheetPr>
  <dimension ref="A26:A30"/>
  <sheetViews>
    <sheetView showGridLines="0" topLeftCell="B1" zoomScale="44" zoomScaleNormal="85" workbookViewId="0">
      <selection activeCell="AP8" sqref="AP8"/>
    </sheetView>
  </sheetViews>
  <sheetFormatPr defaultRowHeight="14.4" x14ac:dyDescent="0.3"/>
  <sheetData>
    <row r="26" customFormat="1" x14ac:dyDescent="0.3"/>
    <row r="29" customFormat="1" x14ac:dyDescent="0.3"/>
    <row r="30" customFormat="1"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131C09DC-A40F-402B-AAFE-640158B0EBD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Analysis</vt:lpstr>
      <vt:lpstr>calculation</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ashish raj</dc:creator>
  <cp:lastModifiedBy>ashish raj</cp:lastModifiedBy>
  <dcterms:created xsi:type="dcterms:W3CDTF">2025-10-30T11:03:58Z</dcterms:created>
  <dcterms:modified xsi:type="dcterms:W3CDTF">2025-11-02T16:21:05Z</dcterms:modified>
</cp:coreProperties>
</file>